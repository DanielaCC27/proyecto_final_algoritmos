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19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9.xml.rels" ContentType="application/vnd.openxmlformats-package.relationships+xml"/>
  <Override PartName="/xl/worksheets/_rels/sheet18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comments1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11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e" sheetId="1" state="visible" r:id="rId3"/>
    <sheet name="1.1 Levenshtein" sheetId="2" state="visible" r:id="rId4"/>
    <sheet name="1.2 Needleman-Wunsch" sheetId="3" state="visible" r:id="rId5"/>
    <sheet name="1.1b Levenshtein completo" sheetId="4" state="visible" r:id="rId6"/>
    <sheet name="1.2b NW completo" sheetId="5" state="visible" r:id="rId7"/>
    <sheet name="1.3 TF-IDF coseno" sheetId="6" state="visible" r:id="rId8"/>
    <sheet name="1.4 Jaccard" sheetId="7" state="visible" r:id="rId9"/>
    <sheet name="GloVe vectores" sheetId="8" state="visible" r:id="rId10"/>
    <sheet name="1.5 GloVe" sheetId="9" state="visible" r:id="rId11"/>
    <sheet name="1.6 Sentence-BERT" sheetId="10" state="visible" r:id="rId12"/>
    <sheet name="1.7 Resumen Req 1" sheetId="11" state="visible" r:id="rId13"/>
    <sheet name="2.1 Distancias TF-IDF" sheetId="12" state="visible" r:id="rId14"/>
    <sheet name="2.2 Lance-Williams" sheetId="13" state="visible" r:id="rId15"/>
    <sheet name="2.3 Fusiones" sheetId="14" state="visible" r:id="rId16"/>
    <sheet name="2.4 Cofenetica CCC" sheetId="15" state="visible" r:id="rId17"/>
    <sheet name="2.5 Silueta SBERT" sheetId="16" state="visible" r:id="rId18"/>
    <sheet name="3.1 KMP" sheetId="17" state="visible" r:id="rId19"/>
    <sheet name="3.2 Boyer-Moore" sheetId="18" state="visible" r:id="rId20"/>
    <sheet name="3.3 Rabin-Karp" sheetId="19" state="visible" r:id="rId21"/>
    <sheet name="3.4 Tiempos busqueda" sheetId="20" state="visible" r:id="rId22"/>
    <sheet name="Complejidad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df = número de abstracts del corpus (de 20) que contienen el término; lo calcula TfIdf.java línea 60.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Coincidencias / longitud del alineamiento completo (8 / 116), del traceback del programa; el puntaje −100 se verifica en la hoja 1.2b.</t>
        </r>
      </text>
    </comment>
  </commentList>
</comments>
</file>

<file path=xl/comments1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3" authorId="0">
      <text>
        <r>
          <rPr>
            <sz val="10"/>
            <rFont val="Arial"/>
            <family val="2"/>
          </rPr>
          <t xml:space="preserve">VLOOKUP sobre la tabla de carácter malo; si el carácter no está en el patrón da −1.</t>
        </r>
      </text>
    </comment>
  </commentList>
</comments>
</file>

<file path=xl/comments1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9" authorId="0">
      <text>
        <r>
          <rPr>
            <sz val="10"/>
            <rFont val="Arial"/>
            <family val="2"/>
          </rPr>
          <t xml:space="preserve">t(0) = Σ T[k] · d^(m−1−k) mod q, que es lo mismo que aplicar Horner a la primera ventana (RabinKarp.java línea 67).</t>
        </r>
      </text>
    </comment>
  </commentList>
</comments>
</file>

<file path=xl/sharedStrings.xml><?xml version="1.0" encoding="utf-8"?>
<sst xmlns="http://schemas.openxmlformats.org/spreadsheetml/2006/main" count="1990" uniqueCount="629">
  <si>
    <t xml:space="preserve">Cálculos paso a paso del proyecto final de Análisis de algoritmos</t>
  </si>
  <si>
    <t xml:space="preserve">Universidad del Quindío · Corpus: 20 abstracts sobre IA en educación · Cada hoja reproduce con fórmulas un caso del documento técnico.</t>
  </si>
  <si>
    <t xml:space="preserve">Convención de colores</t>
  </si>
  <si>
    <t xml:space="preserve">Texto azul</t>
  </si>
  <si>
    <t xml:space="preserve">Dato de entrada: términos, vectores o tablas que produce el programa Java (no se modifican).</t>
  </si>
  <si>
    <t xml:space="preserve">Texto negro</t>
  </si>
  <si>
    <t xml:space="preserve">Fórmula de Excel que reproduce el cálculo del algoritmo.</t>
  </si>
  <si>
    <t xml:space="preserve">Texto verde</t>
  </si>
  <si>
    <t xml:space="preserve">Referencia a otra hoja.</t>
  </si>
  <si>
    <t xml:space="preserve">Fondo verde</t>
  </si>
  <si>
    <t xml:space="preserve">Resultado que se compara con la salida del programa (columna "Programa Java").</t>
  </si>
  <si>
    <t xml:space="preserve">Hoja</t>
  </si>
  <si>
    <t xml:space="preserve">Contenido</t>
  </si>
  <si>
    <t xml:space="preserve">1.1 Levenshtein</t>
  </si>
  <si>
    <t xml:space="preserve">Subcaso de 7 × 7 términos con la recurrencia D[i][j] (sección 9.1)</t>
  </si>
  <si>
    <t xml:space="preserve">1.1b Levenshtein completo</t>
  </si>
  <si>
    <t xml:space="preserve">Matriz de 115 × 94 celdas de los abstracts 11 y 16: D[114][93] = 108</t>
  </si>
  <si>
    <t xml:space="preserve">1.2 Needleman-Wunsch</t>
  </si>
  <si>
    <t xml:space="preserve">Subcaso 7 × 7 con +1 / −1 / −1 y el alineamiento (sección 9.2)</t>
  </si>
  <si>
    <t xml:space="preserve">1.2b NW completo</t>
  </si>
  <si>
    <t xml:space="preserve">Matriz completa: puntaje F[114][93] = −100</t>
  </si>
  <si>
    <t xml:space="preserve">1.3 TF-IDF coseno</t>
  </si>
  <si>
    <t xml:space="preserve">tf, df, idf = log10(20/df), pesos, producto punto, normas y coseno (sección 9.3)</t>
  </si>
  <si>
    <t xml:space="preserve">1.4 Jaccard</t>
  </si>
  <si>
    <t xml:space="preserve">Conjuntos A, B, intersección y unión (sección 9.4)</t>
  </si>
  <si>
    <t xml:space="preserve">1.5 GloVe</t>
  </si>
  <si>
    <t xml:space="preserve">Promedio de vectores de palabra (100 dimensiones) y coseno (sección 9.5)</t>
  </si>
  <si>
    <t xml:space="preserve">GloVe vectores</t>
  </si>
  <si>
    <t xml:space="preserve">Vectores GloVe de las 137 palabras de los dos abstracts que están en el modelo</t>
  </si>
  <si>
    <t xml:space="preserve">1.6 Sentence-BERT</t>
  </si>
  <si>
    <t xml:space="preserve">Coseno entre los dos vectores de 384 dimensiones (sección 9.6)</t>
  </si>
  <si>
    <t xml:space="preserve">1.7 Resumen Req 1</t>
  </si>
  <si>
    <t xml:space="preserve">Los seis valores calculados en Excel frente a los del programa</t>
  </si>
  <si>
    <t xml:space="preserve">2.1 Distancias TF-IDF</t>
  </si>
  <si>
    <t xml:space="preserve">Matriz d = 1 − coseno de los 20 abstracts</t>
  </si>
  <si>
    <t xml:space="preserve">2.2 Lance-Williams</t>
  </si>
  <si>
    <t xml:space="preserve">Pasos 1 y 2 del agrupamiento con los tres criterios (sección 11.2)</t>
  </si>
  <si>
    <t xml:space="preserve">2.3 Fusiones</t>
  </si>
  <si>
    <t xml:space="preserve">Las 19 fusiones de cada criterio y representación</t>
  </si>
  <si>
    <t xml:space="preserve">2.4 Cofenetica CCC</t>
  </si>
  <si>
    <t xml:space="preserve">Los 190 pares: distancia original, cofenética y correlación cofenética</t>
  </si>
  <si>
    <t xml:space="preserve">2.5 Silueta SBERT</t>
  </si>
  <si>
    <t xml:space="preserve">Silueta del corte en k = 2 con Sentence-BERT y average linkage</t>
  </si>
  <si>
    <t xml:space="preserve">3.1 KMP</t>
  </si>
  <si>
    <t xml:space="preserve">Tabla π y recorrido del patrón "intelligence in" (sección 12.1)</t>
  </si>
  <si>
    <t xml:space="preserve">3.2 Boyer-Moore</t>
  </si>
  <si>
    <t xml:space="preserve">Tablas de carácter malo y sufijo bueno y los 16 desplazamientos (sección 12.2)</t>
  </si>
  <si>
    <t xml:space="preserve">3.3 Rabin-Karp</t>
  </si>
  <si>
    <t xml:space="preserve">Hash del patrón con Horner y hash rodante de las 140 ventanas, q = 97 (sección 12.3)</t>
  </si>
  <si>
    <t xml:space="preserve">3.4 Tiempos busqueda</t>
  </si>
  <si>
    <t xml:space="preserve">Mediciones de los tres algoritmos sobre el corpus y el peor caso (sección 13)</t>
  </si>
  <si>
    <t xml:space="preserve">Complejidad</t>
  </si>
  <si>
    <t xml:space="preserve">T(n) de cada algoritmo evaluado con los tamaños reales</t>
  </si>
  <si>
    <t xml:space="preserve">Levenshtein: subcaso con los 7 primeros términos de cada abstract</t>
  </si>
  <si>
    <t xml:space="preserve">D[i][0] = i, D[0][j] = j;  D[i][j] = min(D[i-1][j] + 1, D[i][j-1] + 1, D[i-1][j-1] + costo), costo = 0 si a_i = b_j. Código: Levenshtein.java líneas 24, 28, 34-39.</t>
  </si>
  <si>
    <t xml:space="preserve">A \ B</t>
  </si>
  <si>
    <t xml:space="preserve">-</t>
  </si>
  <si>
    <t xml:space="preserve">emergence</t>
  </si>
  <si>
    <t xml:space="preserve">generative</t>
  </si>
  <si>
    <t xml:space="preserve">artificial</t>
  </si>
  <si>
    <t xml:space="preserve">intelligence</t>
  </si>
  <si>
    <t xml:space="preserve">ai</t>
  </si>
  <si>
    <t xml:space="preserve">chatgpt</t>
  </si>
  <si>
    <t xml:space="preserve">sparked</t>
  </si>
  <si>
    <t xml:space="preserve">provides</t>
  </si>
  <si>
    <t xml:space="preserve">opportunities</t>
  </si>
  <si>
    <t xml:space="preserve">challenges</t>
  </si>
  <si>
    <t xml:space="preserve">higher</t>
  </si>
  <si>
    <t xml:space="preserve">Distancia D[7][7]</t>
  </si>
  <si>
    <t xml:space="preserve">Programa Java</t>
  </si>
  <si>
    <t xml:space="preserve">Similitud = 1 − D / max(n, m)</t>
  </si>
  <si>
    <t xml:space="preserve">Abstracts completos (hoja 1.1b): D[114][93]</t>
  </si>
  <si>
    <t xml:space="preserve">Similitud de los abstracts completos = 1 − D / 114</t>
  </si>
  <si>
    <t xml:space="preserve">Needleman-Wunsch: subcaso con los 7 primeros términos (+1 coincidencia, −1 sustitución, −1 hueco)</t>
  </si>
  <si>
    <t xml:space="preserve">F[i][0] = −i, F[0][j] = −j;  F[i][j] = max(F[i-1][j-1] + s(a_i, b_j), F[i-1][j] − 1, F[i][j-1] − 1). Código: NeedlemanWunsch.java líneas 36-49.</t>
  </si>
  <si>
    <t xml:space="preserve">Puntaje F[7][7]</t>
  </si>
  <si>
    <t xml:space="preserve">Alineamiento (traceback desde F[7][7], prefiere diagonal, luego arriba, luego izquierda)</t>
  </si>
  <si>
    <t xml:space="preserve">Fila A</t>
  </si>
  <si>
    <t xml:space="preserve">Fila B</t>
  </si>
  <si>
    <t xml:space="preserve">¿Coincide?</t>
  </si>
  <si>
    <t xml:space="preserve">Coincidencias</t>
  </si>
  <si>
    <t xml:space="preserve">Longitud</t>
  </si>
  <si>
    <t xml:space="preserve">Similitud = coincidencias / longitud</t>
  </si>
  <si>
    <t xml:space="preserve">Abstracts completos (hoja 1.2b): puntaje F[114][93]</t>
  </si>
  <si>
    <t xml:space="preserve">Programa Java: puntaje −100, 8 coincidencias, longitud 116, similitud 0,0690</t>
  </si>
  <si>
    <t xml:space="preserve">Levenshtein con los abstracts completos (114 × 93 términos) · resultado:</t>
  </si>
  <si>
    <t xml:space="preserve">Celda final</t>
  </si>
  <si>
    <t xml:space="preserve">Programa Java:</t>
  </si>
  <si>
    <t xml:space="preserve">significant</t>
  </si>
  <si>
    <t xml:space="preserve">assessment</t>
  </si>
  <si>
    <t xml:space="preserve">concerns</t>
  </si>
  <si>
    <t xml:space="preserve">tertiary</t>
  </si>
  <si>
    <t xml:space="preserve">education</t>
  </si>
  <si>
    <t xml:space="preserve">largely</t>
  </si>
  <si>
    <t xml:space="preserve">revolved</t>
  </si>
  <si>
    <t xml:space="preserve">around</t>
  </si>
  <si>
    <t xml:space="preserve">academic</t>
  </si>
  <si>
    <t xml:space="preserve">integrity</t>
  </si>
  <si>
    <t xml:space="preserve">issues</t>
  </si>
  <si>
    <t xml:space="preserve">students</t>
  </si>
  <si>
    <t xml:space="preserve">plagiarism</t>
  </si>
  <si>
    <t xml:space="preserve">cheating</t>
  </si>
  <si>
    <t xml:space="preserve">nonetheless</t>
  </si>
  <si>
    <t xml:space="preserve">critical</t>
  </si>
  <si>
    <t xml:space="preserve">consider</t>
  </si>
  <si>
    <t xml:space="preserve">models</t>
  </si>
  <si>
    <t xml:space="preserve">trained</t>
  </si>
  <si>
    <t xml:space="preserve">information</t>
  </si>
  <si>
    <t xml:space="preserve">retrieved</t>
  </si>
  <si>
    <t xml:space="preserve">internet</t>
  </si>
  <si>
    <t xml:space="preserve">produce</t>
  </si>
  <si>
    <t xml:space="preserve">biased</t>
  </si>
  <si>
    <t xml:space="preserve">discriminatory</t>
  </si>
  <si>
    <t xml:space="preserve">outputs</t>
  </si>
  <si>
    <t xml:space="preserve">hallucination</t>
  </si>
  <si>
    <t xml:space="preserve">large</t>
  </si>
  <si>
    <t xml:space="preserve">language</t>
  </si>
  <si>
    <t xml:space="preserve">acts</t>
  </si>
  <si>
    <t xml:space="preserve">provide</t>
  </si>
  <si>
    <t xml:space="preserve">made</t>
  </si>
  <si>
    <t xml:space="preserve">untruthful</t>
  </si>
  <si>
    <t xml:space="preserve">article</t>
  </si>
  <si>
    <t xml:space="preserve">considers</t>
  </si>
  <si>
    <t xml:space="preserve">affordances</t>
  </si>
  <si>
    <t xml:space="preserve">specific</t>
  </si>
  <si>
    <t xml:space="preserve">assessments</t>
  </si>
  <si>
    <t xml:space="preserve">illustrates</t>
  </si>
  <si>
    <t xml:space="preserve">considerations</t>
  </si>
  <si>
    <t xml:space="preserve">redesign</t>
  </si>
  <si>
    <t xml:space="preserve">existence</t>
  </si>
  <si>
    <t xml:space="preserve">proposes</t>
  </si>
  <si>
    <t xml:space="preserve">avoid</t>
  </si>
  <si>
    <t xml:space="preserve">adopt</t>
  </si>
  <si>
    <t xml:space="preserve">aaa</t>
  </si>
  <si>
    <t xml:space="preserve">principle</t>
  </si>
  <si>
    <t xml:space="preserve">rethink</t>
  </si>
  <si>
    <t xml:space="preserve">argues</t>
  </si>
  <si>
    <t xml:space="preserve">tools</t>
  </si>
  <si>
    <t xml:space="preserve">emerge</t>
  </si>
  <si>
    <t xml:space="preserve">exponentially</t>
  </si>
  <si>
    <t xml:space="preserve">hence</t>
  </si>
  <si>
    <t xml:space="preserve">engaging</t>
  </si>
  <si>
    <t xml:space="preserve">arms</t>
  </si>
  <si>
    <t xml:space="preserve">race</t>
  </si>
  <si>
    <t xml:space="preserve">policing</t>
  </si>
  <si>
    <t xml:space="preserve">use</t>
  </si>
  <si>
    <t xml:space="preserve">technologies</t>
  </si>
  <si>
    <t xml:space="preserve">address</t>
  </si>
  <si>
    <t xml:space="preserve">fundamental</t>
  </si>
  <si>
    <t xml:space="preserve">existing</t>
  </si>
  <si>
    <t xml:space="preserve">literature</t>
  </si>
  <si>
    <t xml:space="preserve">properly</t>
  </si>
  <si>
    <t xml:space="preserve">investigated</t>
  </si>
  <si>
    <t xml:space="preserve">technology</t>
  </si>
  <si>
    <t xml:space="preserve">impact</t>
  </si>
  <si>
    <t xml:space="preserve">scoping</t>
  </si>
  <si>
    <t xml:space="preserve">review</t>
  </si>
  <si>
    <t xml:space="preserve">took</t>
  </si>
  <si>
    <t xml:space="preserve">forward</t>
  </si>
  <si>
    <t xml:space="preserve">thinking</t>
  </si>
  <si>
    <t xml:space="preserve">approach</t>
  </si>
  <si>
    <t xml:space="preserve">investigate</t>
  </si>
  <si>
    <t xml:space="preserve">transforms</t>
  </si>
  <si>
    <t xml:space="preserve">used</t>
  </si>
  <si>
    <t xml:space="preserve">prisma</t>
  </si>
  <si>
    <t xml:space="preserve">extension</t>
  </si>
  <si>
    <t xml:space="preserve">reviews</t>
  </si>
  <si>
    <t xml:space="preserve">select</t>
  </si>
  <si>
    <t xml:space="preserve">articles</t>
  </si>
  <si>
    <t xml:space="preserve">report</t>
  </si>
  <si>
    <t xml:space="preserve">results</t>
  </si>
  <si>
    <t xml:space="preserve">screening</t>
  </si>
  <si>
    <t xml:space="preserve">selected</t>
  </si>
  <si>
    <t xml:space="preserve">empirical</t>
  </si>
  <si>
    <t xml:space="preserve">studies</t>
  </si>
  <si>
    <t xml:space="preserve">analysis</t>
  </si>
  <si>
    <t xml:space="preserve">published</t>
  </si>
  <si>
    <t xml:space="preserve">three</t>
  </si>
  <si>
    <t xml:space="preserve">levels</t>
  </si>
  <si>
    <t xml:space="preserve">teachers</t>
  </si>
  <si>
    <t xml:space="preserve">institutions</t>
  </si>
  <si>
    <t xml:space="preserve">analyses</t>
  </si>
  <si>
    <t xml:space="preserve">suggested</t>
  </si>
  <si>
    <t xml:space="preserve">transformed</t>
  </si>
  <si>
    <t xml:space="preserve">cultivate</t>
  </si>
  <si>
    <t xml:space="preserve">self</t>
  </si>
  <si>
    <t xml:space="preserve">regulated</t>
  </si>
  <si>
    <t xml:space="preserve">learning</t>
  </si>
  <si>
    <t xml:space="preserve">skills</t>
  </si>
  <si>
    <t xml:space="preserve">responsible</t>
  </si>
  <si>
    <t xml:space="preserve">successfully</t>
  </si>
  <si>
    <t xml:space="preserve">transform</t>
  </si>
  <si>
    <t xml:space="preserve">teacher</t>
  </si>
  <si>
    <t xml:space="preserve">professional</t>
  </si>
  <si>
    <t xml:space="preserve">development</t>
  </si>
  <si>
    <t xml:space="preserve">activities</t>
  </si>
  <si>
    <t xml:space="preserve">digital</t>
  </si>
  <si>
    <t xml:space="preserve">literacy</t>
  </si>
  <si>
    <t xml:space="preserve">provided</t>
  </si>
  <si>
    <t xml:space="preserve">ii</t>
  </si>
  <si>
    <t xml:space="preserve">beliefs</t>
  </si>
  <si>
    <t xml:space="preserve">human</t>
  </si>
  <si>
    <t xml:space="preserve">strengthened</t>
  </si>
  <si>
    <t xml:space="preserve">iii</t>
  </si>
  <si>
    <t xml:space="preserve">innovative</t>
  </si>
  <si>
    <t xml:space="preserve">holistic</t>
  </si>
  <si>
    <t xml:space="preserve">teaching</t>
  </si>
  <si>
    <t xml:space="preserve">reflect</t>
  </si>
  <si>
    <t xml:space="preserve">transformation</t>
  </si>
  <si>
    <t xml:space="preserve">educational</t>
  </si>
  <si>
    <t xml:space="preserve">recommended</t>
  </si>
  <si>
    <t xml:space="preserve">policies</t>
  </si>
  <si>
    <t xml:space="preserve">inter</t>
  </si>
  <si>
    <t xml:space="preserve">disciplinary</t>
  </si>
  <si>
    <t xml:space="preserve">programs</t>
  </si>
  <si>
    <t xml:space="preserve">Needleman-Wunsch con los abstracts completos (114 × 93 términos) · resultado:</t>
  </si>
  <si>
    <t xml:space="preserve">Coseno con TF-IDF entre los abstracts 11 y 16</t>
  </si>
  <si>
    <t xml:space="preserve">tf = veces que el término aparece en el abstract (COUNTIF sobre las columnas M y N);  idf = log10(N / df);  w = tf · idf;  cos = Σ wA·wB / (|A| |B|). Código: TfIdf.java 48-71, Vectores.java 32.</t>
  </si>
  <si>
    <t xml:space="preserve">N (abstracts del corpus)</t>
  </si>
  <si>
    <t xml:space="preserve">Producto punto A·B</t>
  </si>
  <si>
    <t xml:space="preserve">Términos de A (art. 11)</t>
  </si>
  <si>
    <t xml:space="preserve">|A|</t>
  </si>
  <si>
    <t xml:space="preserve">Términos de B (art. 16)</t>
  </si>
  <si>
    <t xml:space="preserve">|B|</t>
  </si>
  <si>
    <t xml:space="preserve">cos θ = A·B / (|A| |B|)</t>
  </si>
  <si>
    <t xml:space="preserve">θ (grados)</t>
  </si>
  <si>
    <t xml:space="preserve">Término</t>
  </si>
  <si>
    <t xml:space="preserve">tf A</t>
  </si>
  <si>
    <t xml:space="preserve">tf B</t>
  </si>
  <si>
    <t xml:space="preserve">df</t>
  </si>
  <si>
    <t xml:space="preserve">idf</t>
  </si>
  <si>
    <t xml:space="preserve">w A</t>
  </si>
  <si>
    <t xml:space="preserve">w B</t>
  </si>
  <si>
    <t xml:space="preserve">wA · wB</t>
  </si>
  <si>
    <t xml:space="preserve">wA²</t>
  </si>
  <si>
    <t xml:space="preserve">wB²</t>
  </si>
  <si>
    <t xml:space="preserve">Secuencia A</t>
  </si>
  <si>
    <t xml:space="preserve">Secuencia B</t>
  </si>
  <si>
    <t xml:space="preserve">Coeficiente de Jaccard entre los conjuntos de términos de 11 y 16</t>
  </si>
  <si>
    <t xml:space="preserve">J(A, B) = |A ∩ B| / |A ∪ B|, con |A ∪ B| = |A| + |B| − |A ∩ B|. Los conjuntos ignoran repeticiones y orden. Código: Jaccard.java 41-46.</t>
  </si>
  <si>
    <t xml:space="preserve">|A ∩ B|</t>
  </si>
  <si>
    <t xml:space="preserve">|A ∪ B| = |A| + |B| − |A ∩ B|</t>
  </si>
  <si>
    <t xml:space="preserve">J = |A ∩ B| / |A ∪ B|</t>
  </si>
  <si>
    <t xml:space="preserve">Término de A ∪ B</t>
  </si>
  <si>
    <t xml:space="preserve">∈ A</t>
  </si>
  <si>
    <t xml:space="preserve">∈ B</t>
  </si>
  <si>
    <t xml:space="preserve">∈ A ∩ B</t>
  </si>
  <si>
    <t xml:space="preserve">Vectores GloVe (glove-wiki-gigaword-100) de las palabras de los abstracts 11 y 16 · cuenta A y cuenta B = veces que aparece la palabra en cada abstract</t>
  </si>
  <si>
    <t xml:space="preserve">Palabra</t>
  </si>
  <si>
    <t xml:space="preserve">cuenta A</t>
  </si>
  <si>
    <t xml:space="preserve">cuenta B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</si>
  <si>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</si>
  <si>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</si>
  <si>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</si>
  <si>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</si>
  <si>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</si>
  <si>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</si>
  <si>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</si>
  <si>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</si>
  <si>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</si>
  <si>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</si>
  <si>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</si>
  <si>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</si>
  <si>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</si>
  <si>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</si>
  <si>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</si>
  <si>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</si>
  <si>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</si>
  <si>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</si>
  <si>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</si>
  <si>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</si>
  <si>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</si>
  <si>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</si>
  <si>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</si>
  <si>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</si>
  <si>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</si>
  <si>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</si>
  <si>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d27</t>
  </si>
  <si>
    <t xml:space="preserve">d28</t>
  </si>
  <si>
    <t xml:space="preserve">d29</t>
  </si>
  <si>
    <t xml:space="preserve">d30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</si>
  <si>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</si>
  <si>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</si>
  <si>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</si>
  <si>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</si>
  <si>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</si>
  <si>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</si>
  <si>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</si>
  <si>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</si>
  <si>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</si>
  <si>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</si>
  <si>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</si>
  <si>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</si>
  <si>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</si>
  <si>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</si>
  <si>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</si>
  <si>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d46</t>
  </si>
  <si>
    <t xml:space="preserve">d47</t>
  </si>
  <si>
    <t xml:space="preserve">d48</t>
  </si>
  <si>
    <t xml:space="preserve">d49</t>
  </si>
  <si>
    <t xml:space="preserve">d50</t>
  </si>
  <si>
    <t xml:space="preserve">d51</t>
  </si>
  <si>
    <t xml:space="preserve">d52</t>
  </si>
  <si>
    <t xml:space="preserve">d53</t>
  </si>
  <si>
    <t xml:space="preserve">d54</t>
  </si>
  <si>
    <t xml:space="preserve">d55</t>
  </si>
  <si>
    <t xml:space="preserve">d56</t>
  </si>
  <si>
    <t xml:space="preserve">d57</t>
  </si>
  <si>
    <t xml:space="preserve">d58</t>
  </si>
  <si>
    <t xml:space="preserve">d59</t>
  </si>
  <si>
    <t xml:space="preserve">d60</t>
  </si>
  <si>
    <t xml:space="preserve">d61</t>
  </si>
  <si>
    <t xml:space="preserve">d62</t>
  </si>
  <si>
    <t xml:space="preserve">d63</t>
  </si>
  <si>
    <t xml:space="preserve">d64</t>
  </si>
  <si>
    <t xml:space="preserve">d65</t>
  </si>
  <si>
    <t xml:space="preserve">d66</t>
  </si>
  <si>
    <t xml:space="preserve">d67</t>
  </si>
  <si>
    <t xml:space="preserve">d68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</si>
  <si>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</si>
  <si>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</si>
  <si>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</si>
  <si>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</si>
  <si>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</si>
  <si>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</si>
  <si>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d75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</si>
  <si>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</si>
  <si>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</si>
  <si>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</si>
  <si>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</si>
  <si>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</si>
  <si>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d81</t>
  </si>
  <si>
    <t xml:space="preserve">d82</t>
  </si>
  <si>
    <t xml:space="preserve">d83</t>
  </si>
  <si>
    <t xml:space="preserve">d84</t>
  </si>
  <si>
    <t xml:space="preserve">d85</t>
  </si>
  <si>
    <t xml:space="preserve">d86</t>
  </si>
  <si>
    <t xml:space="preserve">d87</t>
  </si>
  <si>
    <t xml:space="preserve">d88</t>
  </si>
  <si>
    <t xml:space="preserve">d89</t>
  </si>
  <si>
    <t xml:space="preserve">d90</t>
  </si>
  <si>
    <t xml:space="preserve">d91</t>
  </si>
  <si>
    <t xml:space="preserve">d92</t>
  </si>
  <si>
    <t xml:space="preserve">d93</t>
  </si>
  <si>
    <t xml:space="preserve">d94</t>
  </si>
  <si>
    <t xml:space="preserve">d95</t>
  </si>
  <si>
    <t xml:space="preserve">d96</t>
  </si>
  <si>
    <t xml:space="preserve">d97</t>
  </si>
  <si>
    <t xml:space="preserve">d98</t>
  </si>
  <si>
    <t xml:space="preserve">d99</t>
  </si>
  <si>
    <t xml:space="preserve">d100</t>
  </si>
  <si>
    <t xml:space="preserve">GloVe: promedio de vectores de palabra y coseno</t>
  </si>
  <si>
    <t xml:space="preserve">v(abstract) = (1/k) Σ v(palabra) sobre las k palabras que tienen vector (chatgpt no está en GloVe);  cos = vA·vB / (|vA| |vB|). Código: EmbeddingsGlove.java 60-81.</t>
  </si>
  <si>
    <t xml:space="preserve">Palabras de A con vector (k_A)</t>
  </si>
  <si>
    <t xml:space="preserve">Programa: 114 de 114</t>
  </si>
  <si>
    <t xml:space="preserve">vA · vB</t>
  </si>
  <si>
    <t xml:space="preserve">Palabras de B con vector (k_B)</t>
  </si>
  <si>
    <t xml:space="preserve">Programa: 92 de 93</t>
  </si>
  <si>
    <t xml:space="preserve">|vA|</t>
  </si>
  <si>
    <t xml:space="preserve">|vB|</t>
  </si>
  <si>
    <t xml:space="preserve">Dimensión</t>
  </si>
  <si>
    <t xml:space="preserve">vA promedio</t>
  </si>
  <si>
    <t xml:space="preserve">vB promedio</t>
  </si>
  <si>
    <t xml:space="preserve">vA²</t>
  </si>
  <si>
    <t xml:space="preserve">vB²</t>
  </si>
  <si>
    <t xml:space="preserve">cos θ</t>
  </si>
  <si>
    <t xml:space="preserve">Distancia euclidiana</t>
  </si>
  <si>
    <t xml:space="preserve">Sentence-BERT all-MiniLM-L6-v2: coseno entre los vectores de los abstracts 11 y 16</t>
  </si>
  <si>
    <t xml:space="preserve">Los vectores (384 dimensiones, normalizados) salen de embeddings/generar_embeddings_sbert.py. Java solo calcula cos = Σ a_k b_k / (|a| |b|) y la distancia euclidiana = raíz(2 − 2 cos).</t>
  </si>
  <si>
    <t xml:space="preserve">A·B</t>
  </si>
  <si>
    <t xml:space="preserve">k</t>
  </si>
  <si>
    <t xml:space="preserve">a_k (art. 11)</t>
  </si>
  <si>
    <t xml:space="preserve">b_k (art. 16)</t>
  </si>
  <si>
    <t xml:space="preserve">a_k · b_k</t>
  </si>
  <si>
    <t xml:space="preserve">a_k²</t>
  </si>
  <si>
    <t xml:space="preserve">b_k²</t>
  </si>
  <si>
    <t xml:space="preserve">Euclidiana = raíz(2 − 2 cos)</t>
  </si>
  <si>
    <t xml:space="preserve">Suma de los 5 primeros productos</t>
  </si>
  <si>
    <t xml:space="preserve">Requerimiento 1: los seis valores de similitud del caso 11 vs 16</t>
  </si>
  <si>
    <t xml:space="preserve">Cada valor se trae de su hoja; la diferencia con el programa debe ser menor que 0,0001 (redondeo).</t>
  </si>
  <si>
    <t xml:space="preserve">Algoritmo</t>
  </si>
  <si>
    <t xml:space="preserve">Tipo</t>
  </si>
  <si>
    <t xml:space="preserve">Excel</t>
  </si>
  <si>
    <t xml:space="preserve">Diferencia</t>
  </si>
  <si>
    <t xml:space="preserve">Levenshtein</t>
  </si>
  <si>
    <t xml:space="preserve">Clásico (programación dinámica)</t>
  </si>
  <si>
    <t xml:space="preserve">Needleman-Wunsch</t>
  </si>
  <si>
    <t xml:space="preserve">Coseno TF-IDF</t>
  </si>
  <si>
    <t xml:space="preserve">Clásico (espacio vectorial)</t>
  </si>
  <si>
    <t xml:space="preserve">Jaccard</t>
  </si>
  <si>
    <t xml:space="preserve">Clásico (conjuntos)</t>
  </si>
  <si>
    <t xml:space="preserve">GloVe promedio</t>
  </si>
  <si>
    <t xml:space="preserve">IA (embeddings de palabra)</t>
  </si>
  <si>
    <t xml:space="preserve">Sentence-BERT</t>
  </si>
  <si>
    <t xml:space="preserve">IA (embeddings de oración)</t>
  </si>
  <si>
    <t xml:space="preserve">Matriz de distancias d(i, j) = 1 − cos(TF-IDF) entre los 20 abstracts</t>
  </si>
  <si>
    <t xml:space="preserve">Sale de Experimentos.matrizDistancias (línea 52). La distancia menor de toda la matriz (sin la diagonal) es la primera fusión.</t>
  </si>
  <si>
    <t xml:space="preserve">Mínimo fuera de la diagonal</t>
  </si>
  <si>
    <t xml:space="preserve">Programa: paso 1 une {2} y {6} a 0,8016</t>
  </si>
  <si>
    <t xml:space="preserve">Pasos 1 y 2 del agrupamiento con TF-IDF</t>
  </si>
  <si>
    <t xml:space="preserve">Paso 1: se une el par más cercano, G20 = {2, 6}. Paso 2: distancia de cada abstract k a G20 con cada criterio. single = min, complete = max, average = (|A| d(A,k) + |B| d(B,k)) / (|A| + |B|). Código: AgrupamientoJerarquico.java 80-88.</t>
  </si>
  <si>
    <t xml:space="preserve">d(2, 6)</t>
  </si>
  <si>
    <t xml:space="preserve">|{2}| = |{6}|</t>
  </si>
  <si>
    <t xml:space="preserve">d(2, k)</t>
  </si>
  <si>
    <t xml:space="preserve">d(6, k)</t>
  </si>
  <si>
    <t xml:space="preserve">single</t>
  </si>
  <si>
    <t xml:space="preserve">complete</t>
  </si>
  <si>
    <t xml:space="preserve">average</t>
  </si>
  <si>
    <t xml:space="preserve">Mínimo de la columna</t>
  </si>
  <si>
    <t xml:space="preserve">k que lo alcanza</t>
  </si>
  <si>
    <t xml:space="preserve">Programa Java: en el paso 2 se une {9} a G20 a 0,8402 (single), 0,8442 (complete) y 0,8422 (average). Hay que comparar también con los demás pares de la matriz; el siguiente par, d(12, 20) = 0,8581, es mayor, así que el paso 2 es la unión de 9 con G20 en los tres criterios.</t>
  </si>
  <si>
    <t xml:space="preserve">Grupo = número del abstract (1-20) o G20…G38 para los grupos formados. Altura = distancia de la fusión, que es la posición del corchete en el dendrograma.</t>
  </si>
  <si>
    <t xml:space="preserve">TF-IDF · single</t>
  </si>
  <si>
    <t xml:space="preserve">TF-IDF · complete</t>
  </si>
  <si>
    <t xml:space="preserve">TF-IDF · average</t>
  </si>
  <si>
    <t xml:space="preserve">GloVe · single</t>
  </si>
  <si>
    <t xml:space="preserve">GloVe · complete</t>
  </si>
  <si>
    <t xml:space="preserve">GloVe · average</t>
  </si>
  <si>
    <t xml:space="preserve">SBERT · single</t>
  </si>
  <si>
    <t xml:space="preserve">SBERT · complete</t>
  </si>
  <si>
    <t xml:space="preserve">SBERT · average</t>
  </si>
  <si>
    <t xml:space="preserve">Paso</t>
  </si>
  <si>
    <t xml:space="preserve">Izquierdo</t>
  </si>
  <si>
    <t xml:space="preserve">Derecho</t>
  </si>
  <si>
    <t xml:space="preserve">Altura</t>
  </si>
  <si>
    <t xml:space="preserve">Tamaño</t>
  </si>
  <si>
    <t xml:space="preserve">2</t>
  </si>
  <si>
    <t xml:space="preserve">6</t>
  </si>
  <si>
    <t xml:space="preserve">17</t>
  </si>
  <si>
    <t xml:space="preserve">20</t>
  </si>
  <si>
    <t xml:space="preserve">9</t>
  </si>
  <si>
    <t xml:space="preserve">G20</t>
  </si>
  <si>
    <t xml:space="preserve">15</t>
  </si>
  <si>
    <t xml:space="preserve">1</t>
  </si>
  <si>
    <t xml:space="preserve">3</t>
  </si>
  <si>
    <t xml:space="preserve">12</t>
  </si>
  <si>
    <t xml:space="preserve">19</t>
  </si>
  <si>
    <t xml:space="preserve">G21</t>
  </si>
  <si>
    <t xml:space="preserve">5</t>
  </si>
  <si>
    <t xml:space="preserve">11</t>
  </si>
  <si>
    <t xml:space="preserve">16</t>
  </si>
  <si>
    <t xml:space="preserve">8</t>
  </si>
  <si>
    <t xml:space="preserve">10</t>
  </si>
  <si>
    <t xml:space="preserve">G22</t>
  </si>
  <si>
    <t xml:space="preserve">18</t>
  </si>
  <si>
    <t xml:space="preserve">G23</t>
  </si>
  <si>
    <t xml:space="preserve">G24</t>
  </si>
  <si>
    <t xml:space="preserve">G25</t>
  </si>
  <si>
    <t xml:space="preserve">13</t>
  </si>
  <si>
    <t xml:space="preserve">7</t>
  </si>
  <si>
    <t xml:space="preserve">G26</t>
  </si>
  <si>
    <t xml:space="preserve">G27</t>
  </si>
  <si>
    <t xml:space="preserve">4</t>
  </si>
  <si>
    <t xml:space="preserve">G28</t>
  </si>
  <si>
    <t xml:space="preserve">G29</t>
  </si>
  <si>
    <t xml:space="preserve">G30</t>
  </si>
  <si>
    <t xml:space="preserve">G31</t>
  </si>
  <si>
    <t xml:space="preserve">14</t>
  </si>
  <si>
    <t xml:space="preserve">G32</t>
  </si>
  <si>
    <t xml:space="preserve">G33</t>
  </si>
  <si>
    <t xml:space="preserve">G34</t>
  </si>
  <si>
    <t xml:space="preserve">G35</t>
  </si>
  <si>
    <t xml:space="preserve">G36</t>
  </si>
  <si>
    <t xml:space="preserve">G37</t>
  </si>
  <si>
    <t xml:space="preserve">Correlación cofenética: los 190 pares (i &lt; j)</t>
  </si>
  <si>
    <t xml:space="preserve">c(i, j) = altura de la fusión donde i y j quedan juntos por primera vez (Evaluacion.matrizCofenetica). CCC = correlación de Pearson entre d y c (Evaluacion.correlacionCofenetica).</t>
  </si>
  <si>
    <t xml:space="preserve">CCC (Excel)</t>
  </si>
  <si>
    <t xml:space="preserve">Mayor CCC por representación: average linkage en las tres.</t>
  </si>
  <si>
    <t xml:space="preserve">i</t>
  </si>
  <si>
    <t xml:space="preserve">j</t>
  </si>
  <si>
    <t xml:space="preserve">d tfidf</t>
  </si>
  <si>
    <t xml:space="preserve">c tfidf single</t>
  </si>
  <si>
    <t xml:space="preserve">c tfidf complete</t>
  </si>
  <si>
    <t xml:space="preserve">c tfidf average</t>
  </si>
  <si>
    <t xml:space="preserve">d glove</t>
  </si>
  <si>
    <t xml:space="preserve">c glove single</t>
  </si>
  <si>
    <t xml:space="preserve">c glove complete</t>
  </si>
  <si>
    <t xml:space="preserve">c glove average</t>
  </si>
  <si>
    <t xml:space="preserve">d sbert</t>
  </si>
  <si>
    <t xml:space="preserve">c sbert single</t>
  </si>
  <si>
    <t xml:space="preserve">c sbert complete</t>
  </si>
  <si>
    <t xml:space="preserve">c sbert average</t>
  </si>
  <si>
    <t xml:space="preserve">Silueta del corte en k = 2 (Sentence-BERT, average linkage)</t>
  </si>
  <si>
    <t xml:space="preserve">a(i) = distancia promedio de i a los de su grupo; b(i) = distancia promedio al otro grupo; s(i) = (b − a) / max(a, b). Código: Evaluacion.silueta, línea 107.</t>
  </si>
  <si>
    <t xml:space="preserve">Abstract</t>
  </si>
  <si>
    <t xml:space="preserve">Grupo (corte k = 2)</t>
  </si>
  <si>
    <t xml:space="preserve">a(i)</t>
  </si>
  <si>
    <t xml:space="preserve">b(i)</t>
  </si>
  <si>
    <t xml:space="preserve">s(i)</t>
  </si>
  <si>
    <t xml:space="preserve">Silueta promedio</t>
  </si>
  <si>
    <t xml:space="preserve">Grupo</t>
  </si>
  <si>
    <t xml:space="preserve">KMP: función de prefijos π del patrón "intelligence in" y recorrido del texto</t>
  </si>
  <si>
    <t xml:space="preserve">π[q] = longitud del prefijo más largo de P[0..q] que también es sufijo. Ante un fallo q = π[q−1]; el índice del texto nunca retrocede. Código: KMP.java 26-63.</t>
  </si>
  <si>
    <t xml:space="preserve">q</t>
  </si>
  <si>
    <t xml:space="preserve">P[q]</t>
  </si>
  <si>
    <t xml:space="preserve">n</t>
  </si>
  <si>
    <t xml:space="preserve">t</t>
  </si>
  <si>
    <t xml:space="preserve">e</t>
  </si>
  <si>
    <t xml:space="preserve">l</t>
  </si>
  <si>
    <t xml:space="preserve">g</t>
  </si>
  <si>
    <t xml:space="preserve">c</t>
  </si>
  <si>
    <t xml:space="preserve">␣</t>
  </si>
  <si>
    <t xml:space="preserve">π[q]</t>
  </si>
  <si>
    <t xml:space="preserve">Comprobación</t>
  </si>
  <si>
    <t xml:space="preserve">Texto (n = 154)</t>
  </si>
  <si>
    <t xml:space="preserve">according to various international reports, artificial intelligence in education (aied) is one of the currently emerging fields in educational technology.</t>
  </si>
  <si>
    <t xml:space="preserve">Longitud n</t>
  </si>
  <si>
    <t xml:space="preserve">i (texto)</t>
  </si>
  <si>
    <t xml:space="preserve">T[i]</t>
  </si>
  <si>
    <t xml:space="preserve">q antes</t>
  </si>
  <si>
    <t xml:space="preserve">Evento</t>
  </si>
  <si>
    <t xml:space="preserve">Comparaciones = n + fallos que retroceden</t>
  </si>
  <si>
    <t xml:space="preserve">falla con P[2]=t -&gt; q = π[1] = 0</t>
  </si>
  <si>
    <t xml:space="preserve">falla con P[1]=n -&gt; q = π[0] = 0</t>
  </si>
  <si>
    <t xml:space="preserve">retrocesos del while</t>
  </si>
  <si>
    <t xml:space="preserve">falla con P[4]=l -&gt; q = π[3] = 0</t>
  </si>
  <si>
    <t xml:space="preserve">Total</t>
  </si>
  <si>
    <t xml:space="preserve">falla con P[1]=n -&gt; q = 0</t>
  </si>
  <si>
    <t xml:space="preserve">Posición encontrada (comprobación con MID)</t>
  </si>
  <si>
    <t xml:space="preserve">q = 15 -&gt; OCURRENCIA en s = 69 − 15 + 1 = 55; q = π[14] = 2</t>
  </si>
  <si>
    <t xml:space="preserve">falla -&gt; q = 0</t>
  </si>
  <si>
    <t xml:space="preserve">falla con P[2]=t -&gt; q = 0</t>
  </si>
  <si>
    <t xml:space="preserve">Boyer-Moore: tablas y desplazamientos</t>
  </si>
  <si>
    <t xml:space="preserve">ultimo[c] = última posición de c en P (−1 si no está). Desplazamiento = max(j − ultimo[T[s+j]], desplaz.[j+1]). Código: BoyerMoore.java 48-124.</t>
  </si>
  <si>
    <t xml:space="preserve">P[j]</t>
  </si>
  <si>
    <t xml:space="preserve"> </t>
  </si>
  <si>
    <t xml:space="preserve">Carácter c</t>
  </si>
  <si>
    <t xml:space="preserve">ultimo[c]</t>
  </si>
  <si>
    <t xml:space="preserve">Sufijo bueno</t>
  </si>
  <si>
    <t xml:space="preserve">borde[j]</t>
  </si>
  <si>
    <t xml:space="preserve">desplaz.[j]</t>
  </si>
  <si>
    <t xml:space="preserve">otro</t>
  </si>
  <si>
    <t xml:space="preserve">Texto</t>
  </si>
  <si>
    <t xml:space="preserve">s</t>
  </si>
  <si>
    <t xml:space="preserve">Ventana T[s..s+14]</t>
  </si>
  <si>
    <t xml:space="preserve">j del fallo</t>
  </si>
  <si>
    <t xml:space="preserve">T[s+j]</t>
  </si>
  <si>
    <t xml:space="preserve">ultimo[T[s+j]]</t>
  </si>
  <si>
    <t xml:space="preserve">Carácter malo j − ultimo</t>
  </si>
  <si>
    <t xml:space="preserve">Sufijo bueno desplaz.[j+1]</t>
  </si>
  <si>
    <t xml:space="preserve">Salto</t>
  </si>
  <si>
    <t xml:space="preserve">Comparaciones en esta alineación</t>
  </si>
  <si>
    <t xml:space="preserve">coincide</t>
  </si>
  <si>
    <t xml:space="preserve">Comparaciones totales</t>
  </si>
  <si>
    <t xml:space="preserve">Programa Java: 16 alineaciones, 32 comparaciones, ocurrencia en s = 55</t>
  </si>
  <si>
    <t xml:space="preserve">Rabin-Karp con d = 256 y q = 97</t>
  </si>
  <si>
    <t xml:space="preserve">h = d^(m−1) mod q;  hash(P) por Horner;  t(s+1) = (d (t(s) − T[s] h) + T[s+m]) mod q. Si hash(P) = t(s) se verifica carácter por carácter. Código: RabinKarp.java 41-98.</t>
  </si>
  <si>
    <t xml:space="preserve">d</t>
  </si>
  <si>
    <t xml:space="preserve">m</t>
  </si>
  <si>
    <t xml:space="preserve">Patrón</t>
  </si>
  <si>
    <t xml:space="preserve">intelligence in</t>
  </si>
  <si>
    <t xml:space="preserve">paso</t>
  </si>
  <si>
    <t xml:space="preserve">P[paso]</t>
  </si>
  <si>
    <t xml:space="preserve">código</t>
  </si>
  <si>
    <t xml:space="preserve">hash parcial de P (Horner)</t>
  </si>
  <si>
    <t xml:space="preserve">d^paso mod q</t>
  </si>
  <si>
    <t xml:space="preserve">hash parcial de la 1.ª ventana</t>
  </si>
  <si>
    <t xml:space="preserve">hash(P)</t>
  </si>
  <si>
    <t xml:space="preserve">Programa: 64</t>
  </si>
  <si>
    <t xml:space="preserve">h = d^(m−1) mod q</t>
  </si>
  <si>
    <t xml:space="preserve">Programa: 61</t>
  </si>
  <si>
    <t xml:space="preserve">t(0) primera ventana</t>
  </si>
  <si>
    <t xml:space="preserve">Programa: 13</t>
  </si>
  <si>
    <t xml:space="preserve">Ventana</t>
  </si>
  <si>
    <t xml:space="preserve">T[s]</t>
  </si>
  <si>
    <t xml:space="preserve">T[s+m]</t>
  </si>
  <si>
    <t xml:space="preserve">t(s)</t>
  </si>
  <si>
    <t xml:space="preserve">¿t(s) = hash(P)?</t>
  </si>
  <si>
    <t xml:space="preserve">Verificación</t>
  </si>
  <si>
    <t xml:space="preserve">Caracteres comparados</t>
  </si>
  <si>
    <t xml:space="preserve">Resumen</t>
  </si>
  <si>
    <t xml:space="preserve">Ventanas</t>
  </si>
  <si>
    <t xml:space="preserve">Hash igual</t>
  </si>
  <si>
    <t xml:space="preserve">Ocurrencias</t>
  </si>
  <si>
    <t xml:space="preserve">Colisiones</t>
  </si>
  <si>
    <t xml:space="preserve">Comparaciones = ventanas (hash) + caracteres verificados</t>
  </si>
  <si>
    <t xml:space="preserve">Programa Java: 140 ventanas, ocurrencia en 55, colisión en 129, 156 comparaciones</t>
  </si>
  <si>
    <t xml:space="preserve">Mediciones de los tres algoritmos (promedio de 200 repeticiones)</t>
  </si>
  <si>
    <t xml:space="preserve">Texto = los 20 abstracts en minúscula, copiado 1, 10 y 100 veces. comparaciones / n se calcula con fórmula.</t>
  </si>
  <si>
    <t xml:space="preserve">copias</t>
  </si>
  <si>
    <t xml:space="preserve">patrón</t>
  </si>
  <si>
    <t xml:space="preserve">algoritmo</t>
  </si>
  <si>
    <t xml:space="preserve">ocurrencias</t>
  </si>
  <si>
    <t xml:space="preserve">preprocesamiento (ms)</t>
  </si>
  <si>
    <t xml:space="preserve">búsqueda (ms)</t>
  </si>
  <si>
    <t xml:space="preserve">comparaciones</t>
  </si>
  <si>
    <t xml:space="preserve">comparaciones / n</t>
  </si>
  <si>
    <t xml:space="preserve">% preprocesamiento</t>
  </si>
  <si>
    <t xml:space="preserve">KMP</t>
  </si>
  <si>
    <t xml:space="preserve">Boyer-Moore</t>
  </si>
  <si>
    <t xml:space="preserve">Rabin-Karp</t>
  </si>
  <si>
    <t xml:space="preserve">data</t>
  </si>
  <si>
    <t xml:space="preserve">generative artificial intelligence</t>
  </si>
  <si>
    <t xml:space="preserve">artificial intelligence in education</t>
  </si>
  <si>
    <t xml:space="preserve">systematic literature review on opportunities</t>
  </si>
  <si>
    <t xml:space="preserve">Promedio de comparaciones / n por algoritmo</t>
  </si>
  <si>
    <t xml:space="preserve">← columna K: máximo % del tiempo que se va en preprocesar</t>
  </si>
  <si>
    <t xml:space="preserve">Peor caso: texto de 100 000 letras a, patrón a^10</t>
  </si>
  <si>
    <t xml:space="preserve">T(n) contado línea por línea y evaluado con los tamaños reales</t>
  </si>
  <si>
    <t xml:space="preserve">Cambie los tamaños en azul para ver cómo crece cada T(n).</t>
  </si>
  <si>
    <t xml:space="preserve">n (términos de A)</t>
  </si>
  <si>
    <t xml:space="preserve">m (términos de B)</t>
  </si>
  <si>
    <t xml:space="preserve">V (vocabulario)</t>
  </si>
  <si>
    <t xml:space="preserve">d (dimensión GloVe)</t>
  </si>
  <si>
    <t xml:space="preserve">N (abstracts, clustering)</t>
  </si>
  <si>
    <t xml:space="preserve">m patrón (KMP)</t>
  </si>
  <si>
    <t xml:space="preserve">T(n)</t>
  </si>
  <si>
    <t xml:space="preserve">Valor</t>
  </si>
  <si>
    <t xml:space="preserve">Orden</t>
  </si>
  <si>
    <t xml:space="preserve">15nm + 7n + 3m + 18</t>
  </si>
  <si>
    <t xml:space="preserve">O(n·m)</t>
  </si>
  <si>
    <t xml:space="preserve">Needleman-Wunsch (llenado)</t>
  </si>
  <si>
    <t xml:space="preserve">21nm + 7n + 3m + 19</t>
  </si>
  <si>
    <t xml:space="preserve">Coseno</t>
  </si>
  <si>
    <t xml:space="preserve">9V + 28</t>
  </si>
  <si>
    <t xml:space="preserve">O(V)</t>
  </si>
  <si>
    <t xml:space="preserve">Jaccard (cota)</t>
  </si>
  <si>
    <t xml:space="preserve">6n + 3m + 15</t>
  </si>
  <si>
    <t xml:space="preserve">O(n + m)</t>
  </si>
  <si>
    <t xml:space="preserve">GloVe vectorAbstract</t>
  </si>
  <si>
    <t xml:space="preserve">3dn + 7n + 3d + 9</t>
  </si>
  <si>
    <t xml:space="preserve">O(n·d)</t>
  </si>
  <si>
    <t xml:space="preserve">Clustering: comparaciones del par más cercano</t>
  </si>
  <si>
    <t xml:space="preserve">C(2N−1, 3) − C(N, 3)</t>
  </si>
  <si>
    <t xml:space="preserve">O(N³)</t>
  </si>
  <si>
    <t xml:space="preserve">KMP preprocesamiento (cota)</t>
  </si>
  <si>
    <t xml:space="preserve">7m + 1</t>
  </si>
  <si>
    <t xml:space="preserve">O(m)</t>
  </si>
  <si>
    <t xml:space="preserve">Programa / documento: Levenshtein 160 125; clustering 7 999 comparaciones para N = 20.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</si>
</sst>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000"/>
    <numFmt numFmtId="167" formatCode="0.00"/>
    <numFmt numFmtId="168" formatCode="0.000000"/>
    <numFmt numFmtId="169" formatCode="0.00000"/>
    <numFmt numFmtId="170" formatCode="0.000"/>
    <numFmt numFmtId="171" formatCode="0.0%"/>
    <numFmt numFmtId="172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DEDED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EDE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alculos_paso_a_paso.xlsx" TargetMode="External"/><Relationship Id="rId2" Type="http://schemas.openxmlformats.org/officeDocument/2006/relationships/hyperlink" Target="calculos_paso_a_paso.xlsx" TargetMode="External"/><Relationship Id="rId3" Type="http://schemas.openxmlformats.org/officeDocument/2006/relationships/hyperlink" Target="calculos_paso_a_paso.xlsx" TargetMode="External"/><Relationship Id="rId4" Type="http://schemas.openxmlformats.org/officeDocument/2006/relationships/hyperlink" Target="calculos_paso_a_paso.xlsx" TargetMode="External"/><Relationship Id="rId5" Type="http://schemas.openxmlformats.org/officeDocument/2006/relationships/hyperlink" Target="calculos_paso_a_paso.xlsx" TargetMode="External"/><Relationship Id="rId6" Type="http://schemas.openxmlformats.org/officeDocument/2006/relationships/hyperlink" Target="calculos_paso_a_paso.xlsx" TargetMode="External"/><Relationship Id="rId7" Type="http://schemas.openxmlformats.org/officeDocument/2006/relationships/hyperlink" Target="calculos_paso_a_paso.xlsx" TargetMode="External"/><Relationship Id="rId8" Type="http://schemas.openxmlformats.org/officeDocument/2006/relationships/hyperlink" Target="calculos_paso_a_paso.xlsx" TargetMode="External"/><Relationship Id="rId9" Type="http://schemas.openxmlformats.org/officeDocument/2006/relationships/hyperlink" Target="calculos_paso_a_paso.xlsx" TargetMode="External"/><Relationship Id="rId10" Type="http://schemas.openxmlformats.org/officeDocument/2006/relationships/hyperlink" Target="calculos_paso_a_paso.xlsx" TargetMode="External"/><Relationship Id="rId11" Type="http://schemas.openxmlformats.org/officeDocument/2006/relationships/hyperlink" Target="calculos_paso_a_paso.xlsx" TargetMode="External"/><Relationship Id="rId12" Type="http://schemas.openxmlformats.org/officeDocument/2006/relationships/hyperlink" Target="calculos_paso_a_paso.xlsx" TargetMode="External"/><Relationship Id="rId13" Type="http://schemas.openxmlformats.org/officeDocument/2006/relationships/hyperlink" Target="calculos_paso_a_paso.xlsx" TargetMode="External"/><Relationship Id="rId14" Type="http://schemas.openxmlformats.org/officeDocument/2006/relationships/hyperlink" Target="calculos_paso_a_paso.xlsx" TargetMode="External"/><Relationship Id="rId15" Type="http://schemas.openxmlformats.org/officeDocument/2006/relationships/hyperlink" Target="calculos_paso_a_paso.xlsx" TargetMode="External"/><Relationship Id="rId16" Type="http://schemas.openxmlformats.org/officeDocument/2006/relationships/hyperlink" Target="calculos_paso_a_paso.xlsx" TargetMode="External"/><Relationship Id="rId17" Type="http://schemas.openxmlformats.org/officeDocument/2006/relationships/hyperlink" Target="calculos_paso_a_paso.xlsx" TargetMode="External"/><Relationship Id="rId18" Type="http://schemas.openxmlformats.org/officeDocument/2006/relationships/hyperlink" Target="calculos_paso_a_paso.xlsx" TargetMode="External"/><Relationship Id="rId19" Type="http://schemas.openxmlformats.org/officeDocument/2006/relationships/hyperlink" Target="calculos_paso_a_paso.xlsx" TargetMode="External"/><Relationship Id="rId20" Type="http://schemas.openxmlformats.org/officeDocument/2006/relationships/hyperlink" Target="calculos_paso_a_paso.xlsx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2.v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3.v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6</v>
      </c>
    </row>
    <row r="7" customFormat="false" ht="15" hidden="false" customHeight="false" outlineLevel="0" collapsed="false">
      <c r="A7" s="5" t="s">
        <v>7</v>
      </c>
      <c r="B7" s="2" t="s">
        <v>8</v>
      </c>
    </row>
    <row r="8" customFormat="false" ht="15" hidden="false" customHeight="false" outlineLevel="0" collapsed="false">
      <c r="A8" s="6" t="s">
        <v>9</v>
      </c>
      <c r="B8" s="2" t="s">
        <v>10</v>
      </c>
    </row>
    <row r="10" customFormat="false" ht="15" hidden="false" customHeight="false" outlineLevel="0" collapsed="false">
      <c r="A10" s="7" t="s">
        <v>11</v>
      </c>
      <c r="B10" s="7" t="s">
        <v>12</v>
      </c>
    </row>
    <row r="11" customFormat="false" ht="15" hidden="false" customHeight="false" outlineLevel="0" collapsed="false">
      <c r="A11" s="8" t="s">
        <v>13</v>
      </c>
      <c r="B11" s="2" t="s">
        <v>14</v>
      </c>
    </row>
    <row r="12" customFormat="false" ht="15" hidden="false" customHeight="false" outlineLevel="0" collapsed="false">
      <c r="A12" s="8" t="s">
        <v>15</v>
      </c>
      <c r="B12" s="2" t="s">
        <v>16</v>
      </c>
    </row>
    <row r="13" customFormat="false" ht="15" hidden="false" customHeight="false" outlineLevel="0" collapsed="false">
      <c r="A13" s="8" t="s">
        <v>17</v>
      </c>
      <c r="B13" s="2" t="s">
        <v>18</v>
      </c>
    </row>
    <row r="14" customFormat="false" ht="15" hidden="false" customHeight="false" outlineLevel="0" collapsed="false">
      <c r="A14" s="8" t="s">
        <v>19</v>
      </c>
      <c r="B14" s="2" t="s">
        <v>20</v>
      </c>
    </row>
    <row r="15" customFormat="false" ht="15" hidden="false" customHeight="false" outlineLevel="0" collapsed="false">
      <c r="A15" s="8" t="s">
        <v>21</v>
      </c>
      <c r="B15" s="2" t="s">
        <v>22</v>
      </c>
    </row>
    <row r="16" customFormat="false" ht="15" hidden="false" customHeight="false" outlineLevel="0" collapsed="false">
      <c r="A16" s="8" t="s">
        <v>23</v>
      </c>
      <c r="B16" s="2" t="s">
        <v>24</v>
      </c>
    </row>
    <row r="17" customFormat="false" ht="15" hidden="false" customHeight="false" outlineLevel="0" collapsed="false">
      <c r="A17" s="8" t="s">
        <v>25</v>
      </c>
      <c r="B17" s="2" t="s">
        <v>26</v>
      </c>
    </row>
    <row r="18" customFormat="false" ht="15" hidden="false" customHeight="false" outlineLevel="0" collapsed="false">
      <c r="A18" s="8" t="s">
        <v>27</v>
      </c>
      <c r="B18" s="2" t="s">
        <v>28</v>
      </c>
    </row>
    <row r="19" customFormat="false" ht="15" hidden="false" customHeight="false" outlineLevel="0" collapsed="false">
      <c r="A19" s="8" t="s">
        <v>29</v>
      </c>
      <c r="B19" s="2" t="s">
        <v>30</v>
      </c>
    </row>
    <row r="20" customFormat="false" ht="15" hidden="false" customHeight="false" outlineLevel="0" collapsed="false">
      <c r="A20" s="8" t="s">
        <v>31</v>
      </c>
      <c r="B20" s="2" t="s">
        <v>32</v>
      </c>
    </row>
    <row r="21" customFormat="false" ht="15" hidden="false" customHeight="false" outlineLevel="0" collapsed="false">
      <c r="A21" s="8" t="s">
        <v>33</v>
      </c>
      <c r="B21" s="2" t="s">
        <v>34</v>
      </c>
    </row>
    <row r="22" customFormat="false" ht="15" hidden="false" customHeight="false" outlineLevel="0" collapsed="false">
      <c r="A22" s="8" t="s">
        <v>35</v>
      </c>
      <c r="B22" s="2" t="s">
        <v>36</v>
      </c>
    </row>
    <row r="23" customFormat="false" ht="15" hidden="false" customHeight="false" outlineLevel="0" collapsed="false">
      <c r="A23" s="8" t="s">
        <v>37</v>
      </c>
      <c r="B23" s="2" t="s">
        <v>38</v>
      </c>
    </row>
    <row r="24" customFormat="false" ht="15" hidden="false" customHeight="false" outlineLevel="0" collapsed="false">
      <c r="A24" s="8" t="s">
        <v>39</v>
      </c>
      <c r="B24" s="2" t="s">
        <v>40</v>
      </c>
    </row>
    <row r="25" customFormat="false" ht="15" hidden="false" customHeight="false" outlineLevel="0" collapsed="false">
      <c r="A25" s="8" t="s">
        <v>41</v>
      </c>
      <c r="B25" s="2" t="s">
        <v>42</v>
      </c>
    </row>
    <row r="26" customFormat="false" ht="15" hidden="false" customHeight="false" outlineLevel="0" collapsed="false">
      <c r="A26" s="8" t="s">
        <v>43</v>
      </c>
      <c r="B26" s="2" t="s">
        <v>44</v>
      </c>
    </row>
    <row r="27" customFormat="false" ht="15" hidden="false" customHeight="false" outlineLevel="0" collapsed="false">
      <c r="A27" s="8" t="s">
        <v>45</v>
      </c>
      <c r="B27" s="2" t="s">
        <v>46</v>
      </c>
    </row>
    <row r="28" customFormat="false" ht="15" hidden="false" customHeight="false" outlineLevel="0" collapsed="false">
      <c r="A28" s="8" t="s">
        <v>47</v>
      </c>
      <c r="B28" s="2" t="s">
        <v>48</v>
      </c>
    </row>
    <row r="29" customFormat="false" ht="15" hidden="false" customHeight="false" outlineLevel="0" collapsed="false">
      <c r="A29" s="8" t="s">
        <v>49</v>
      </c>
      <c r="B29" s="2" t="s">
        <v>50</v>
      </c>
    </row>
    <row r="30" customFormat="false" ht="15" hidden="false" customHeight="false" outlineLevel="0" collapsed="false">
      <c r="A30" s="8" t="s">
        <v>51</v>
      </c>
      <c r="B30" s="2" t="s">
        <v>52</v>
      </c>
    </row>
  </sheetData>
  <hyperlinks>
    <hyperlink ref="A11" r:id="rId1" location="'1.1%20Levenshtein'!A1" display="1.1 Levenshtein"/>
    <hyperlink ref="A12" r:id="rId2" location="'1.1b%20Levenshtein%20completo'!A1" display="1.1b Levenshtein completo"/>
    <hyperlink ref="A13" r:id="rId3" location="'1.2%20Needleman-Wunsch'!A1" display="1.2 Needleman-Wunsch"/>
    <hyperlink ref="A14" r:id="rId4" location="'1.2b%20NW%20completo'!A1" display="1.2b NW completo"/>
    <hyperlink ref="A15" r:id="rId5" location="'1.3%20TF-IDF%20coseno'!A1" display="1.3 TF-IDF coseno"/>
    <hyperlink ref="A16" r:id="rId6" location="'1.4%20Jaccard'!A1" display="1.4 Jaccard"/>
    <hyperlink ref="A17" r:id="rId7" location="'1.5%20GloVe'!A1" display="1.5 GloVe"/>
    <hyperlink ref="A18" r:id="rId8" location="'GloVe%20vectores'!A1" display="GloVe vectores"/>
    <hyperlink ref="A19" r:id="rId9" location="'1.6%20Sentence-BERT'!A1" display="1.6 Sentence-BERT"/>
    <hyperlink ref="A20" r:id="rId10" location="'1.7%20Resumen%20Req%201'!A1" display="1.7 Resumen Req 1"/>
    <hyperlink ref="A21" r:id="rId11" location="'2.1%20Distancias%20TF-IDF'!A1" display="2.1 Distancias TF-IDF"/>
    <hyperlink ref="A22" r:id="rId12" location="'2.2%20Lance-Williams'!A1" display="2.2 Lance-Williams"/>
    <hyperlink ref="A23" r:id="rId13" location="'2.3%20Fusiones'!A1" display="2.3 Fusiones"/>
    <hyperlink ref="A24" r:id="rId14" location="'2.4%20Cofenetica%20CCC'!A1" display="2.4 Cofenetica CCC"/>
    <hyperlink ref="A25" r:id="rId15" location="'2.5%20Silueta%20SBERT'!A1" display="2.5 Silueta SBERT"/>
    <hyperlink ref="A26" r:id="rId16" location="'3.1%20KMP'!A1" display="3.1 KMP"/>
    <hyperlink ref="A27" r:id="rId17" location="'3.2%20Boyer-Moore'!A1" display="3.2 Boyer-Moore"/>
    <hyperlink ref="A28" r:id="rId18" location="'3.3%20Rabin-Karp'!A1" display="3.3 Rabin-Karp"/>
    <hyperlink ref="A29" r:id="rId19" location="'3.4%20Tiempos%20busqueda'!A1" display="3.4 Tiempos busqueda"/>
    <hyperlink ref="A30" r:id="rId20" location="'Complejidad'!A1" display="Complejid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9" t="s">
        <v>53</v>
      </c>
    </row>
    <row r="2" customFormat="false" ht="15" hidden="false" customHeight="false" outlineLevel="0" collapsed="false">
      <c r="A2" s="10" t="s">
        <v>54</v>
      </c>
    </row>
    <row r="4" customFormat="false" ht="15" hidden="false" customHeight="false" outlineLevel="0" collapsed="false">
      <c r="A4" s="3" t="s">
        <v>55</v>
      </c>
      <c r="B4" s="3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  <c r="I4" s="11" t="s">
        <v>63</v>
      </c>
    </row>
    <row r="5" customFormat="false" ht="15" hidden="false" customHeight="false" outlineLevel="0" collapsed="false">
      <c r="A5" s="3" t="s">
        <v>56</v>
      </c>
      <c r="B5" s="12" t="n">
        <v>0</v>
      </c>
      <c r="C5" s="12" t="n">
        <v>1</v>
      </c>
      <c r="D5" s="12" t="n">
        <v>2</v>
      </c>
      <c r="E5" s="12" t="n">
        <v>3</v>
      </c>
      <c r="F5" s="12" t="n">
        <v>4</v>
      </c>
      <c r="G5" s="12" t="n">
        <v>5</v>
      </c>
      <c r="H5" s="12" t="n">
        <v>6</v>
      </c>
      <c r="I5" s="12" t="n">
        <v>7</v>
      </c>
    </row>
    <row r="6" customFormat="false" ht="15" hidden="false" customHeight="false" outlineLevel="0" collapsed="false">
      <c r="A6" s="4" t="s">
        <v>58</v>
      </c>
      <c r="B6" s="12" t="n">
        <v>1</v>
      </c>
      <c r="C6" s="2" t="n">
        <f aca="false">MIN(C5+1,B6+1,B5+IF($A6=C$4,0,1))</f>
        <v>1</v>
      </c>
      <c r="D6" s="2" t="n">
        <f aca="false">MIN(D5+1,C6+1,C5+IF($A6=D$4,0,1))</f>
        <v>1</v>
      </c>
      <c r="E6" s="2" t="n">
        <f aca="false">MIN(E5+1,D6+1,D5+IF($A6=E$4,0,1))</f>
        <v>2</v>
      </c>
      <c r="F6" s="2" t="n">
        <f aca="false">MIN(F5+1,E6+1,E5+IF($A6=F$4,0,1))</f>
        <v>3</v>
      </c>
      <c r="G6" s="2" t="n">
        <f aca="false">MIN(G5+1,F6+1,F5+IF($A6=G$4,0,1))</f>
        <v>4</v>
      </c>
      <c r="H6" s="2" t="n">
        <f aca="false">MIN(H5+1,G6+1,G5+IF($A6=H$4,0,1))</f>
        <v>5</v>
      </c>
      <c r="I6" s="2" t="n">
        <f aca="false">MIN(I5+1,H6+1,H5+IF($A6=I$4,0,1))</f>
        <v>6</v>
      </c>
    </row>
    <row r="7" customFormat="false" ht="15" hidden="false" customHeight="false" outlineLevel="0" collapsed="false">
      <c r="A7" s="4" t="s">
        <v>59</v>
      </c>
      <c r="B7" s="12" t="n">
        <v>2</v>
      </c>
      <c r="C7" s="2" t="n">
        <f aca="false">MIN(C6+1,B7+1,B6+IF($A7=C$4,0,1))</f>
        <v>2</v>
      </c>
      <c r="D7" s="2" t="n">
        <f aca="false">MIN(D6+1,C7+1,C6+IF($A7=D$4,0,1))</f>
        <v>2</v>
      </c>
      <c r="E7" s="2" t="n">
        <f aca="false">MIN(E6+1,D7+1,D6+IF($A7=E$4,0,1))</f>
        <v>1</v>
      </c>
      <c r="F7" s="2" t="n">
        <f aca="false">MIN(F6+1,E7+1,E6+IF($A7=F$4,0,1))</f>
        <v>2</v>
      </c>
      <c r="G7" s="2" t="n">
        <f aca="false">MIN(G6+1,F7+1,F6+IF($A7=G$4,0,1))</f>
        <v>3</v>
      </c>
      <c r="H7" s="2" t="n">
        <f aca="false">MIN(H6+1,G7+1,G6+IF($A7=H$4,0,1))</f>
        <v>4</v>
      </c>
      <c r="I7" s="2" t="n">
        <f aca="false">MIN(I6+1,H7+1,H6+IF($A7=I$4,0,1))</f>
        <v>5</v>
      </c>
    </row>
    <row r="8" customFormat="false" ht="15" hidden="false" customHeight="false" outlineLevel="0" collapsed="false">
      <c r="A8" s="4" t="s">
        <v>60</v>
      </c>
      <c r="B8" s="12" t="n">
        <v>3</v>
      </c>
      <c r="C8" s="2" t="n">
        <f aca="false">MIN(C7+1,B8+1,B7+IF($A8=C$4,0,1))</f>
        <v>3</v>
      </c>
      <c r="D8" s="2" t="n">
        <f aca="false">MIN(D7+1,C8+1,C7+IF($A8=D$4,0,1))</f>
        <v>3</v>
      </c>
      <c r="E8" s="2" t="n">
        <f aca="false">MIN(E7+1,D8+1,D7+IF($A8=E$4,0,1))</f>
        <v>2</v>
      </c>
      <c r="F8" s="2" t="n">
        <f aca="false">MIN(F7+1,E8+1,E7+IF($A8=F$4,0,1))</f>
        <v>1</v>
      </c>
      <c r="G8" s="2" t="n">
        <f aca="false">MIN(G7+1,F8+1,F7+IF($A8=G$4,0,1))</f>
        <v>2</v>
      </c>
      <c r="H8" s="2" t="n">
        <f aca="false">MIN(H7+1,G8+1,G7+IF($A8=H$4,0,1))</f>
        <v>3</v>
      </c>
      <c r="I8" s="2" t="n">
        <f aca="false">MIN(I7+1,H8+1,H7+IF($A8=I$4,0,1))</f>
        <v>4</v>
      </c>
    </row>
    <row r="9" customFormat="false" ht="15" hidden="false" customHeight="false" outlineLevel="0" collapsed="false">
      <c r="A9" s="4" t="s">
        <v>64</v>
      </c>
      <c r="B9" s="12" t="n">
        <v>4</v>
      </c>
      <c r="C9" s="2" t="n">
        <f aca="false">MIN(C8+1,B9+1,B8+IF($A9=C$4,0,1))</f>
        <v>4</v>
      </c>
      <c r="D9" s="2" t="n">
        <f aca="false">MIN(D8+1,C9+1,C8+IF($A9=D$4,0,1))</f>
        <v>4</v>
      </c>
      <c r="E9" s="2" t="n">
        <f aca="false">MIN(E8+1,D9+1,D8+IF($A9=E$4,0,1))</f>
        <v>3</v>
      </c>
      <c r="F9" s="2" t="n">
        <f aca="false">MIN(F8+1,E9+1,E8+IF($A9=F$4,0,1))</f>
        <v>2</v>
      </c>
      <c r="G9" s="2" t="n">
        <f aca="false">MIN(G8+1,F9+1,F8+IF($A9=G$4,0,1))</f>
        <v>2</v>
      </c>
      <c r="H9" s="2" t="n">
        <f aca="false">MIN(H8+1,G9+1,G8+IF($A9=H$4,0,1))</f>
        <v>3</v>
      </c>
      <c r="I9" s="2" t="n">
        <f aca="false">MIN(I8+1,H9+1,H8+IF($A9=I$4,0,1))</f>
        <v>4</v>
      </c>
    </row>
    <row r="10" customFormat="false" ht="15" hidden="false" customHeight="false" outlineLevel="0" collapsed="false">
      <c r="A10" s="4" t="s">
        <v>65</v>
      </c>
      <c r="B10" s="12" t="n">
        <v>5</v>
      </c>
      <c r="C10" s="2" t="n">
        <f aca="false">MIN(C9+1,B10+1,B9+IF($A10=C$4,0,1))</f>
        <v>5</v>
      </c>
      <c r="D10" s="2" t="n">
        <f aca="false">MIN(D9+1,C10+1,C9+IF($A10=D$4,0,1))</f>
        <v>5</v>
      </c>
      <c r="E10" s="2" t="n">
        <f aca="false">MIN(E9+1,D10+1,D9+IF($A10=E$4,0,1))</f>
        <v>4</v>
      </c>
      <c r="F10" s="2" t="n">
        <f aca="false">MIN(F9+1,E10+1,E9+IF($A10=F$4,0,1))</f>
        <v>3</v>
      </c>
      <c r="G10" s="2" t="n">
        <f aca="false">MIN(G9+1,F10+1,F9+IF($A10=G$4,0,1))</f>
        <v>3</v>
      </c>
      <c r="H10" s="2" t="n">
        <f aca="false">MIN(H9+1,G10+1,G9+IF($A10=H$4,0,1))</f>
        <v>3</v>
      </c>
      <c r="I10" s="2" t="n">
        <f aca="false">MIN(I9+1,H10+1,H9+IF($A10=I$4,0,1))</f>
        <v>4</v>
      </c>
    </row>
    <row r="11" customFormat="false" ht="15" hidden="false" customHeight="false" outlineLevel="0" collapsed="false">
      <c r="A11" s="4" t="s">
        <v>66</v>
      </c>
      <c r="B11" s="12" t="n">
        <v>6</v>
      </c>
      <c r="C11" s="2" t="n">
        <f aca="false">MIN(C10+1,B11+1,B10+IF($A11=C$4,0,1))</f>
        <v>6</v>
      </c>
      <c r="D11" s="2" t="n">
        <f aca="false">MIN(D10+1,C11+1,C10+IF($A11=D$4,0,1))</f>
        <v>6</v>
      </c>
      <c r="E11" s="2" t="n">
        <f aca="false">MIN(E10+1,D11+1,D10+IF($A11=E$4,0,1))</f>
        <v>5</v>
      </c>
      <c r="F11" s="2" t="n">
        <f aca="false">MIN(F10+1,E11+1,E10+IF($A11=F$4,0,1))</f>
        <v>4</v>
      </c>
      <c r="G11" s="2" t="n">
        <f aca="false">MIN(G10+1,F11+1,F10+IF($A11=G$4,0,1))</f>
        <v>4</v>
      </c>
      <c r="H11" s="2" t="n">
        <f aca="false">MIN(H10+1,G11+1,G10+IF($A11=H$4,0,1))</f>
        <v>4</v>
      </c>
      <c r="I11" s="2" t="n">
        <f aca="false">MIN(I10+1,H11+1,H10+IF($A11=I$4,0,1))</f>
        <v>4</v>
      </c>
    </row>
    <row r="12" customFormat="false" ht="15" hidden="false" customHeight="false" outlineLevel="0" collapsed="false">
      <c r="A12" s="4" t="s">
        <v>67</v>
      </c>
      <c r="B12" s="12" t="n">
        <v>7</v>
      </c>
      <c r="C12" s="2" t="n">
        <f aca="false">MIN(C11+1,B12+1,B11+IF($A12=C$4,0,1))</f>
        <v>7</v>
      </c>
      <c r="D12" s="2" t="n">
        <f aca="false">MIN(D11+1,C12+1,C11+IF($A12=D$4,0,1))</f>
        <v>7</v>
      </c>
      <c r="E12" s="2" t="n">
        <f aca="false">MIN(E11+1,D12+1,D11+IF($A12=E$4,0,1))</f>
        <v>6</v>
      </c>
      <c r="F12" s="2" t="n">
        <f aca="false">MIN(F11+1,E12+1,E11+IF($A12=F$4,0,1))</f>
        <v>5</v>
      </c>
      <c r="G12" s="2" t="n">
        <f aca="false">MIN(G11+1,F12+1,F11+IF($A12=G$4,0,1))</f>
        <v>5</v>
      </c>
      <c r="H12" s="2" t="n">
        <f aca="false">MIN(H11+1,G12+1,G11+IF($A12=H$4,0,1))</f>
        <v>5</v>
      </c>
      <c r="I12" s="2" t="n">
        <f aca="false">MIN(I11+1,H12+1,H11+IF($A12=I$4,0,1))</f>
        <v>5</v>
      </c>
    </row>
    <row r="14" customFormat="false" ht="15" hidden="false" customHeight="false" outlineLevel="0" collapsed="false">
      <c r="A14" s="3" t="s">
        <v>68</v>
      </c>
      <c r="B14" s="13" t="n">
        <f aca="false">I12</f>
        <v>5</v>
      </c>
      <c r="C14" s="3" t="s">
        <v>69</v>
      </c>
      <c r="D14" s="4" t="n">
        <v>5</v>
      </c>
    </row>
    <row r="15" customFormat="false" ht="15" hidden="false" customHeight="false" outlineLevel="0" collapsed="false">
      <c r="A15" s="3" t="s">
        <v>70</v>
      </c>
      <c r="B15" s="14" t="n">
        <f aca="false">1-B14/MAX(7,7)</f>
        <v>0.285714285714286</v>
      </c>
      <c r="C15" s="3" t="s">
        <v>69</v>
      </c>
      <c r="D15" s="15" t="n">
        <v>0.2857</v>
      </c>
    </row>
    <row r="17" customFormat="false" ht="15" hidden="false" customHeight="false" outlineLevel="0" collapsed="false">
      <c r="A17" s="3" t="s">
        <v>71</v>
      </c>
      <c r="D17" s="5" t="n">
        <f aca="false">'1.1b Levenshtein completo'!B2</f>
        <v>108</v>
      </c>
    </row>
    <row r="18" customFormat="false" ht="15" hidden="false" customHeight="false" outlineLevel="0" collapsed="false">
      <c r="A18" s="3" t="s">
        <v>72</v>
      </c>
      <c r="D18" s="14" t="n">
        <f aca="false">1-D17/114</f>
        <v>0.0526315789473685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3"/>
  </cols>
  <sheetData>
    <row r="1" customFormat="false" ht="16.15" hidden="false" customHeight="false" outlineLevel="0" collapsed="false">
      <c r="A1" s="9" t="s">
        <v>73</v>
      </c>
    </row>
    <row r="2" customFormat="false" ht="15" hidden="false" customHeight="false" outlineLevel="0" collapsed="false">
      <c r="A2" s="10" t="s">
        <v>74</v>
      </c>
    </row>
    <row r="4" customFormat="false" ht="15" hidden="false" customHeight="false" outlineLevel="0" collapsed="false">
      <c r="A4" s="3" t="s">
        <v>55</v>
      </c>
      <c r="B4" s="3" t="s">
        <v>56</v>
      </c>
      <c r="C4" s="11" t="s">
        <v>57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  <c r="I4" s="11" t="s">
        <v>63</v>
      </c>
    </row>
    <row r="5" customFormat="false" ht="15" hidden="false" customHeight="false" outlineLevel="0" collapsed="false">
      <c r="A5" s="3" t="s">
        <v>56</v>
      </c>
      <c r="B5" s="12" t="n">
        <v>0</v>
      </c>
      <c r="C5" s="12" t="n">
        <v>-1</v>
      </c>
      <c r="D5" s="12" t="n">
        <v>-2</v>
      </c>
      <c r="E5" s="12" t="n">
        <v>-3</v>
      </c>
      <c r="F5" s="12" t="n">
        <v>-4</v>
      </c>
      <c r="G5" s="12" t="n">
        <v>-5</v>
      </c>
      <c r="H5" s="12" t="n">
        <v>-6</v>
      </c>
      <c r="I5" s="12" t="n">
        <v>-7</v>
      </c>
    </row>
    <row r="6" customFormat="false" ht="15" hidden="false" customHeight="false" outlineLevel="0" collapsed="false">
      <c r="A6" s="4" t="s">
        <v>58</v>
      </c>
      <c r="B6" s="12" t="n">
        <v>-1</v>
      </c>
      <c r="C6" s="2" t="n">
        <f aca="false">MAX(B5+IF($A6=C$4,1,-1),C5-1,B6-1)</f>
        <v>-1</v>
      </c>
      <c r="D6" s="2" t="n">
        <f aca="false">MAX(C5+IF($A6=D$4,1,-1),D5-1,C6-1)</f>
        <v>0</v>
      </c>
      <c r="E6" s="2" t="n">
        <f aca="false">MAX(D5+IF($A6=E$4,1,-1),E5-1,D6-1)</f>
        <v>-1</v>
      </c>
      <c r="F6" s="2" t="n">
        <f aca="false">MAX(E5+IF($A6=F$4,1,-1),F5-1,E6-1)</f>
        <v>-2</v>
      </c>
      <c r="G6" s="2" t="n">
        <f aca="false">MAX(F5+IF($A6=G$4,1,-1),G5-1,F6-1)</f>
        <v>-3</v>
      </c>
      <c r="H6" s="2" t="n">
        <f aca="false">MAX(G5+IF($A6=H$4,1,-1),H5-1,G6-1)</f>
        <v>-4</v>
      </c>
      <c r="I6" s="2" t="n">
        <f aca="false">MAX(H5+IF($A6=I$4,1,-1),I5-1,H6-1)</f>
        <v>-5</v>
      </c>
    </row>
    <row r="7" customFormat="false" ht="15" hidden="false" customHeight="false" outlineLevel="0" collapsed="false">
      <c r="A7" s="4" t="s">
        <v>59</v>
      </c>
      <c r="B7" s="12" t="n">
        <v>-2</v>
      </c>
      <c r="C7" s="2" t="n">
        <f aca="false">MAX(B6+IF($A7=C$4,1,-1),C6-1,B7-1)</f>
        <v>-2</v>
      </c>
      <c r="D7" s="2" t="n">
        <f aca="false">MAX(C6+IF($A7=D$4,1,-1),D6-1,C7-1)</f>
        <v>-1</v>
      </c>
      <c r="E7" s="2" t="n">
        <f aca="false">MAX(D6+IF($A7=E$4,1,-1),E6-1,D7-1)</f>
        <v>1</v>
      </c>
      <c r="F7" s="2" t="n">
        <f aca="false">MAX(E6+IF($A7=F$4,1,-1),F6-1,E7-1)</f>
        <v>0</v>
      </c>
      <c r="G7" s="2" t="n">
        <f aca="false">MAX(F6+IF($A7=G$4,1,-1),G6-1,F7-1)</f>
        <v>-1</v>
      </c>
      <c r="H7" s="2" t="n">
        <f aca="false">MAX(G6+IF($A7=H$4,1,-1),H6-1,G7-1)</f>
        <v>-2</v>
      </c>
      <c r="I7" s="2" t="n">
        <f aca="false">MAX(H6+IF($A7=I$4,1,-1),I6-1,H7-1)</f>
        <v>-3</v>
      </c>
    </row>
    <row r="8" customFormat="false" ht="15" hidden="false" customHeight="false" outlineLevel="0" collapsed="false">
      <c r="A8" s="4" t="s">
        <v>60</v>
      </c>
      <c r="B8" s="12" t="n">
        <v>-3</v>
      </c>
      <c r="C8" s="2" t="n">
        <f aca="false">MAX(B7+IF($A8=C$4,1,-1),C7-1,B8-1)</f>
        <v>-3</v>
      </c>
      <c r="D8" s="2" t="n">
        <f aca="false">MAX(C7+IF($A8=D$4,1,-1),D7-1,C8-1)</f>
        <v>-2</v>
      </c>
      <c r="E8" s="2" t="n">
        <f aca="false">MAX(D7+IF($A8=E$4,1,-1),E7-1,D8-1)</f>
        <v>0</v>
      </c>
      <c r="F8" s="2" t="n">
        <f aca="false">MAX(E7+IF($A8=F$4,1,-1),F7-1,E8-1)</f>
        <v>2</v>
      </c>
      <c r="G8" s="2" t="n">
        <f aca="false">MAX(F7+IF($A8=G$4,1,-1),G7-1,F8-1)</f>
        <v>1</v>
      </c>
      <c r="H8" s="2" t="n">
        <f aca="false">MAX(G7+IF($A8=H$4,1,-1),H7-1,G8-1)</f>
        <v>0</v>
      </c>
      <c r="I8" s="2" t="n">
        <f aca="false">MAX(H7+IF($A8=I$4,1,-1),I7-1,H8-1)</f>
        <v>-1</v>
      </c>
    </row>
    <row r="9" customFormat="false" ht="15" hidden="false" customHeight="false" outlineLevel="0" collapsed="false">
      <c r="A9" s="4" t="s">
        <v>64</v>
      </c>
      <c r="B9" s="12" t="n">
        <v>-4</v>
      </c>
      <c r="C9" s="2" t="n">
        <f aca="false">MAX(B8+IF($A9=C$4,1,-1),C8-1,B9-1)</f>
        <v>-4</v>
      </c>
      <c r="D9" s="2" t="n">
        <f aca="false">MAX(C8+IF($A9=D$4,1,-1),D8-1,C9-1)</f>
        <v>-3</v>
      </c>
      <c r="E9" s="2" t="n">
        <f aca="false">MAX(D8+IF($A9=E$4,1,-1),E8-1,D9-1)</f>
        <v>-1</v>
      </c>
      <c r="F9" s="2" t="n">
        <f aca="false">MAX(E8+IF($A9=F$4,1,-1),F8-1,E9-1)</f>
        <v>1</v>
      </c>
      <c r="G9" s="2" t="n">
        <f aca="false">MAX(F8+IF($A9=G$4,1,-1),G8-1,F9-1)</f>
        <v>1</v>
      </c>
      <c r="H9" s="2" t="n">
        <f aca="false">MAX(G8+IF($A9=H$4,1,-1),H8-1,G9-1)</f>
        <v>0</v>
      </c>
      <c r="I9" s="2" t="n">
        <f aca="false">MAX(H8+IF($A9=I$4,1,-1),I8-1,H9-1)</f>
        <v>-1</v>
      </c>
    </row>
    <row r="10" customFormat="false" ht="15" hidden="false" customHeight="false" outlineLevel="0" collapsed="false">
      <c r="A10" s="4" t="s">
        <v>65</v>
      </c>
      <c r="B10" s="12" t="n">
        <v>-5</v>
      </c>
      <c r="C10" s="2" t="n">
        <f aca="false">MAX(B9+IF($A10=C$4,1,-1),C9-1,B10-1)</f>
        <v>-5</v>
      </c>
      <c r="D10" s="2" t="n">
        <f aca="false">MAX(C9+IF($A10=D$4,1,-1),D9-1,C10-1)</f>
        <v>-4</v>
      </c>
      <c r="E10" s="2" t="n">
        <f aca="false">MAX(D9+IF($A10=E$4,1,-1),E9-1,D10-1)</f>
        <v>-2</v>
      </c>
      <c r="F10" s="2" t="n">
        <f aca="false">MAX(E9+IF($A10=F$4,1,-1),F9-1,E10-1)</f>
        <v>0</v>
      </c>
      <c r="G10" s="2" t="n">
        <f aca="false">MAX(F9+IF($A10=G$4,1,-1),G9-1,F10-1)</f>
        <v>0</v>
      </c>
      <c r="H10" s="2" t="n">
        <f aca="false">MAX(G9+IF($A10=H$4,1,-1),H9-1,G10-1)</f>
        <v>0</v>
      </c>
      <c r="I10" s="2" t="n">
        <f aca="false">MAX(H9+IF($A10=I$4,1,-1),I9-1,H10-1)</f>
        <v>-1</v>
      </c>
    </row>
    <row r="11" customFormat="false" ht="15" hidden="false" customHeight="false" outlineLevel="0" collapsed="false">
      <c r="A11" s="4" t="s">
        <v>66</v>
      </c>
      <c r="B11" s="12" t="n">
        <v>-6</v>
      </c>
      <c r="C11" s="2" t="n">
        <f aca="false">MAX(B10+IF($A11=C$4,1,-1),C10-1,B11-1)</f>
        <v>-6</v>
      </c>
      <c r="D11" s="2" t="n">
        <f aca="false">MAX(C10+IF($A11=D$4,1,-1),D10-1,C11-1)</f>
        <v>-5</v>
      </c>
      <c r="E11" s="2" t="n">
        <f aca="false">MAX(D10+IF($A11=E$4,1,-1),E10-1,D11-1)</f>
        <v>-3</v>
      </c>
      <c r="F11" s="2" t="n">
        <f aca="false">MAX(E10+IF($A11=F$4,1,-1),F10-1,E11-1)</f>
        <v>-1</v>
      </c>
      <c r="G11" s="2" t="n">
        <f aca="false">MAX(F10+IF($A11=G$4,1,-1),G10-1,F11-1)</f>
        <v>-1</v>
      </c>
      <c r="H11" s="2" t="n">
        <f aca="false">MAX(G10+IF($A11=H$4,1,-1),H10-1,G11-1)</f>
        <v>-1</v>
      </c>
      <c r="I11" s="2" t="n">
        <f aca="false">MAX(H10+IF($A11=I$4,1,-1),I10-1,H11-1)</f>
        <v>-1</v>
      </c>
    </row>
    <row r="12" customFormat="false" ht="15" hidden="false" customHeight="false" outlineLevel="0" collapsed="false">
      <c r="A12" s="4" t="s">
        <v>67</v>
      </c>
      <c r="B12" s="12" t="n">
        <v>-7</v>
      </c>
      <c r="C12" s="2" t="n">
        <f aca="false">MAX(B11+IF($A12=C$4,1,-1),C11-1,B12-1)</f>
        <v>-7</v>
      </c>
      <c r="D12" s="2" t="n">
        <f aca="false">MAX(C11+IF($A12=D$4,1,-1),D11-1,C12-1)</f>
        <v>-6</v>
      </c>
      <c r="E12" s="2" t="n">
        <f aca="false">MAX(D11+IF($A12=E$4,1,-1),E11-1,D12-1)</f>
        <v>-4</v>
      </c>
      <c r="F12" s="2" t="n">
        <f aca="false">MAX(E11+IF($A12=F$4,1,-1),F11-1,E12-1)</f>
        <v>-2</v>
      </c>
      <c r="G12" s="2" t="n">
        <f aca="false">MAX(F11+IF($A12=G$4,1,-1),G11-1,F12-1)</f>
        <v>-2</v>
      </c>
      <c r="H12" s="2" t="n">
        <f aca="false">MAX(G11+IF($A12=H$4,1,-1),H11-1,G12-1)</f>
        <v>-2</v>
      </c>
      <c r="I12" s="2" t="n">
        <f aca="false">MAX(H11+IF($A12=I$4,1,-1),I11-1,H12-1)</f>
        <v>-2</v>
      </c>
    </row>
    <row r="14" customFormat="false" ht="15" hidden="false" customHeight="false" outlineLevel="0" collapsed="false">
      <c r="A14" s="3" t="s">
        <v>75</v>
      </c>
      <c r="B14" s="13" t="n">
        <f aca="false">I12</f>
        <v>-2</v>
      </c>
      <c r="C14" s="3" t="s">
        <v>69</v>
      </c>
      <c r="D14" s="4" t="n">
        <v>-2</v>
      </c>
    </row>
    <row r="16" customFormat="false" ht="15" hidden="false" customHeight="false" outlineLevel="0" collapsed="false">
      <c r="A16" s="3" t="s">
        <v>76</v>
      </c>
    </row>
    <row r="17" customFormat="false" ht="15" hidden="false" customHeight="false" outlineLevel="0" collapsed="false">
      <c r="A17" s="3" t="s">
        <v>77</v>
      </c>
      <c r="B17" s="4" t="s">
        <v>56</v>
      </c>
      <c r="C17" s="4" t="s">
        <v>58</v>
      </c>
      <c r="D17" s="4" t="s">
        <v>59</v>
      </c>
      <c r="E17" s="4" t="s">
        <v>60</v>
      </c>
      <c r="F17" s="4" t="s">
        <v>64</v>
      </c>
      <c r="G17" s="4" t="s">
        <v>65</v>
      </c>
      <c r="H17" s="4" t="s">
        <v>66</v>
      </c>
      <c r="I17" s="4" t="s">
        <v>67</v>
      </c>
    </row>
    <row r="18" customFormat="false" ht="15" hidden="false" customHeight="false" outlineLevel="0" collapsed="false">
      <c r="A18" s="3" t="s">
        <v>78</v>
      </c>
      <c r="B18" s="4" t="s">
        <v>57</v>
      </c>
      <c r="C18" s="4" t="s">
        <v>58</v>
      </c>
      <c r="D18" s="4" t="s">
        <v>59</v>
      </c>
      <c r="E18" s="4" t="s">
        <v>60</v>
      </c>
      <c r="F18" s="4" t="s">
        <v>56</v>
      </c>
      <c r="G18" s="4" t="s">
        <v>61</v>
      </c>
      <c r="H18" s="4" t="s">
        <v>62</v>
      </c>
      <c r="I18" s="4" t="s">
        <v>63</v>
      </c>
    </row>
    <row r="19" customFormat="false" ht="15" hidden="false" customHeight="false" outlineLevel="0" collapsed="false">
      <c r="A19" s="3" t="s">
        <v>79</v>
      </c>
      <c r="B19" s="2" t="n">
        <f aca="false">IF(AND(B17&lt;&gt;"-",B17=B18),1,0)</f>
        <v>0</v>
      </c>
      <c r="C19" s="2" t="n">
        <f aca="false">IF(AND(C17&lt;&gt;"-",C17=C18),1,0)</f>
        <v>1</v>
      </c>
      <c r="D19" s="2" t="n">
        <f aca="false">IF(AND(D17&lt;&gt;"-",D17=D18),1,0)</f>
        <v>1</v>
      </c>
      <c r="E19" s="2" t="n">
        <f aca="false">IF(AND(E17&lt;&gt;"-",E17=E18),1,0)</f>
        <v>1</v>
      </c>
      <c r="F19" s="2" t="n">
        <f aca="false">IF(AND(F17&lt;&gt;"-",F17=F18),1,0)</f>
        <v>0</v>
      </c>
      <c r="G19" s="2" t="n">
        <f aca="false">IF(AND(G17&lt;&gt;"-",G17=G18),1,0)</f>
        <v>0</v>
      </c>
      <c r="H19" s="2" t="n">
        <f aca="false">IF(AND(H17&lt;&gt;"-",H17=H18),1,0)</f>
        <v>0</v>
      </c>
      <c r="I19" s="2" t="n">
        <f aca="false">IF(AND(I17&lt;&gt;"-",I17=I18),1,0)</f>
        <v>0</v>
      </c>
    </row>
    <row r="20" customFormat="false" ht="15" hidden="false" customHeight="false" outlineLevel="0" collapsed="false">
      <c r="A20" s="3" t="s">
        <v>80</v>
      </c>
      <c r="B20" s="16" t="n">
        <f aca="false">SUM(B19:I19)</f>
        <v>3</v>
      </c>
    </row>
    <row r="21" customFormat="false" ht="15" hidden="false" customHeight="false" outlineLevel="0" collapsed="false">
      <c r="A21" s="3" t="s">
        <v>81</v>
      </c>
      <c r="B21" s="2" t="n">
        <f aca="false">COUNTA(B17:I17)</f>
        <v>8</v>
      </c>
    </row>
    <row r="22" customFormat="false" ht="15" hidden="false" customHeight="false" outlineLevel="0" collapsed="false">
      <c r="A22" s="3" t="s">
        <v>82</v>
      </c>
      <c r="B22" s="14" t="n">
        <f aca="false">B20/B21</f>
        <v>0.375</v>
      </c>
      <c r="C22" s="3" t="s">
        <v>69</v>
      </c>
      <c r="D22" s="15" t="n">
        <v>0.375</v>
      </c>
    </row>
    <row r="24" customFormat="false" ht="15" hidden="false" customHeight="false" outlineLevel="0" collapsed="false">
      <c r="A24" s="3" t="s">
        <v>83</v>
      </c>
      <c r="D24" s="5" t="n">
        <f aca="false">'1.2b NW completo'!B2</f>
        <v>-100</v>
      </c>
    </row>
    <row r="25" customFormat="false" ht="15" hidden="false" customHeight="false" outlineLevel="0" collapsed="false">
      <c r="A25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5" min="2" style="0" width="4.5"/>
  </cols>
  <sheetData>
    <row r="1" customFormat="false" ht="15" hidden="false" customHeight="false" outlineLevel="0" collapsed="false">
      <c r="A1" s="3" t="s">
        <v>85</v>
      </c>
    </row>
    <row r="2" customFormat="false" ht="15" hidden="false" customHeight="false" outlineLevel="0" collapsed="false">
      <c r="A2" s="3" t="s">
        <v>86</v>
      </c>
      <c r="B2" s="13" t="n">
        <f aca="false">CQ119</f>
        <v>108</v>
      </c>
      <c r="C2" s="3" t="s">
        <v>87</v>
      </c>
      <c r="D2" s="4" t="n">
        <v>108</v>
      </c>
    </row>
    <row r="4" customFormat="false" ht="64.15" hidden="false" customHeight="false" outlineLevel="0" collapsed="false">
      <c r="A4" s="3" t="s">
        <v>55</v>
      </c>
      <c r="B4" s="3" t="s">
        <v>56</v>
      </c>
      <c r="C4" s="17" t="s">
        <v>57</v>
      </c>
      <c r="D4" s="17" t="s">
        <v>58</v>
      </c>
      <c r="E4" s="17" t="s">
        <v>59</v>
      </c>
      <c r="F4" s="17" t="s">
        <v>60</v>
      </c>
      <c r="G4" s="17" t="s">
        <v>61</v>
      </c>
      <c r="H4" s="17" t="s">
        <v>62</v>
      </c>
      <c r="I4" s="17" t="s">
        <v>63</v>
      </c>
      <c r="J4" s="17" t="s">
        <v>88</v>
      </c>
      <c r="K4" s="17" t="s">
        <v>89</v>
      </c>
      <c r="L4" s="17" t="s">
        <v>90</v>
      </c>
      <c r="M4" s="17" t="s">
        <v>91</v>
      </c>
      <c r="N4" s="17" t="s">
        <v>92</v>
      </c>
      <c r="O4" s="17" t="s">
        <v>89</v>
      </c>
      <c r="P4" s="17" t="s">
        <v>90</v>
      </c>
      <c r="Q4" s="17" t="s">
        <v>93</v>
      </c>
      <c r="R4" s="17" t="s">
        <v>94</v>
      </c>
      <c r="S4" s="17" t="s">
        <v>95</v>
      </c>
      <c r="T4" s="17" t="s">
        <v>96</v>
      </c>
      <c r="U4" s="17" t="s">
        <v>97</v>
      </c>
      <c r="V4" s="17" t="s">
        <v>98</v>
      </c>
      <c r="W4" s="17" t="s">
        <v>99</v>
      </c>
      <c r="X4" s="17" t="s">
        <v>100</v>
      </c>
      <c r="Y4" s="17" t="s">
        <v>101</v>
      </c>
      <c r="Z4" s="17" t="s">
        <v>102</v>
      </c>
      <c r="AA4" s="17" t="s">
        <v>103</v>
      </c>
      <c r="AB4" s="17" t="s">
        <v>104</v>
      </c>
      <c r="AC4" s="17" t="s">
        <v>58</v>
      </c>
      <c r="AD4" s="17" t="s">
        <v>61</v>
      </c>
      <c r="AE4" s="17" t="s">
        <v>105</v>
      </c>
      <c r="AF4" s="17" t="s">
        <v>106</v>
      </c>
      <c r="AG4" s="17" t="s">
        <v>107</v>
      </c>
      <c r="AH4" s="17" t="s">
        <v>108</v>
      </c>
      <c r="AI4" s="17" t="s">
        <v>109</v>
      </c>
      <c r="AJ4" s="17" t="s">
        <v>110</v>
      </c>
      <c r="AK4" s="17" t="s">
        <v>111</v>
      </c>
      <c r="AL4" s="17" t="s">
        <v>112</v>
      </c>
      <c r="AM4" s="17" t="s">
        <v>113</v>
      </c>
      <c r="AN4" s="17" t="s">
        <v>114</v>
      </c>
      <c r="AO4" s="17" t="s">
        <v>98</v>
      </c>
      <c r="AP4" s="17" t="s">
        <v>115</v>
      </c>
      <c r="AQ4" s="17" t="s">
        <v>116</v>
      </c>
      <c r="AR4" s="17" t="s">
        <v>105</v>
      </c>
      <c r="AS4" s="17" t="s">
        <v>58</v>
      </c>
      <c r="AT4" s="17" t="s">
        <v>61</v>
      </c>
      <c r="AU4" s="17" t="s">
        <v>117</v>
      </c>
      <c r="AV4" s="17" t="s">
        <v>118</v>
      </c>
      <c r="AW4" s="17" t="s">
        <v>119</v>
      </c>
      <c r="AX4" s="17" t="s">
        <v>120</v>
      </c>
      <c r="AY4" s="17" t="s">
        <v>113</v>
      </c>
      <c r="AZ4" s="17" t="s">
        <v>121</v>
      </c>
      <c r="BA4" s="17" t="s">
        <v>122</v>
      </c>
      <c r="BB4" s="17" t="s">
        <v>123</v>
      </c>
      <c r="BC4" s="17" t="s">
        <v>66</v>
      </c>
      <c r="BD4" s="17" t="s">
        <v>58</v>
      </c>
      <c r="BE4" s="17" t="s">
        <v>61</v>
      </c>
      <c r="BF4" s="17" t="s">
        <v>124</v>
      </c>
      <c r="BG4" s="17" t="s">
        <v>125</v>
      </c>
      <c r="BH4" s="17" t="s">
        <v>91</v>
      </c>
      <c r="BI4" s="17" t="s">
        <v>92</v>
      </c>
      <c r="BJ4" s="17" t="s">
        <v>126</v>
      </c>
      <c r="BK4" s="17" t="s">
        <v>127</v>
      </c>
      <c r="BL4" s="17" t="s">
        <v>89</v>
      </c>
      <c r="BM4" s="17" t="s">
        <v>128</v>
      </c>
      <c r="BN4" s="17" t="s">
        <v>129</v>
      </c>
      <c r="BO4" s="17" t="s">
        <v>58</v>
      </c>
      <c r="BP4" s="17" t="s">
        <v>61</v>
      </c>
      <c r="BQ4" s="17" t="s">
        <v>130</v>
      </c>
      <c r="BR4" s="17" t="s">
        <v>131</v>
      </c>
      <c r="BS4" s="17" t="s">
        <v>132</v>
      </c>
      <c r="BT4" s="17" t="s">
        <v>133</v>
      </c>
      <c r="BU4" s="17" t="s">
        <v>134</v>
      </c>
      <c r="BV4" s="17" t="s">
        <v>135</v>
      </c>
      <c r="BW4" s="17" t="s">
        <v>128</v>
      </c>
      <c r="BX4" s="17" t="s">
        <v>125</v>
      </c>
      <c r="BY4" s="17" t="s">
        <v>136</v>
      </c>
      <c r="BZ4" s="17" t="s">
        <v>58</v>
      </c>
      <c r="CA4" s="17" t="s">
        <v>61</v>
      </c>
      <c r="CB4" s="17" t="s">
        <v>137</v>
      </c>
      <c r="CC4" s="17" t="s">
        <v>138</v>
      </c>
      <c r="CD4" s="17" t="s">
        <v>139</v>
      </c>
      <c r="CE4" s="17" t="s">
        <v>140</v>
      </c>
      <c r="CF4" s="17" t="s">
        <v>141</v>
      </c>
      <c r="CG4" s="17" t="s">
        <v>142</v>
      </c>
      <c r="CH4" s="17" t="s">
        <v>143</v>
      </c>
      <c r="CI4" s="17" t="s">
        <v>58</v>
      </c>
      <c r="CJ4" s="17" t="s">
        <v>61</v>
      </c>
      <c r="CK4" s="17" t="s">
        <v>144</v>
      </c>
      <c r="CL4" s="17" t="s">
        <v>145</v>
      </c>
      <c r="CM4" s="17" t="s">
        <v>146</v>
      </c>
      <c r="CN4" s="17" t="s">
        <v>147</v>
      </c>
      <c r="CO4" s="17" t="s">
        <v>148</v>
      </c>
      <c r="CP4" s="17" t="s">
        <v>98</v>
      </c>
      <c r="CQ4" s="17" t="s">
        <v>125</v>
      </c>
    </row>
    <row r="5" customFormat="false" ht="15" hidden="false" customHeight="false" outlineLevel="0" collapsed="false">
      <c r="A5" s="3" t="s">
        <v>56</v>
      </c>
      <c r="B5" s="12" t="n">
        <v>0</v>
      </c>
      <c r="C5" s="12" t="n">
        <v>1</v>
      </c>
      <c r="D5" s="12" t="n">
        <v>2</v>
      </c>
      <c r="E5" s="12" t="n">
        <v>3</v>
      </c>
      <c r="F5" s="12" t="n">
        <v>4</v>
      </c>
      <c r="G5" s="12" t="n">
        <v>5</v>
      </c>
      <c r="H5" s="12" t="n">
        <v>6</v>
      </c>
      <c r="I5" s="12" t="n">
        <v>7</v>
      </c>
      <c r="J5" s="12" t="n">
        <v>8</v>
      </c>
      <c r="K5" s="12" t="n">
        <v>9</v>
      </c>
      <c r="L5" s="12" t="n">
        <v>10</v>
      </c>
      <c r="M5" s="12" t="n">
        <v>11</v>
      </c>
      <c r="N5" s="12" t="n">
        <v>12</v>
      </c>
      <c r="O5" s="12" t="n">
        <v>13</v>
      </c>
      <c r="P5" s="12" t="n">
        <v>14</v>
      </c>
      <c r="Q5" s="12" t="n">
        <v>15</v>
      </c>
      <c r="R5" s="12" t="n">
        <v>16</v>
      </c>
      <c r="S5" s="12" t="n">
        <v>17</v>
      </c>
      <c r="T5" s="12" t="n">
        <v>18</v>
      </c>
      <c r="U5" s="12" t="n">
        <v>19</v>
      </c>
      <c r="V5" s="12" t="n">
        <v>20</v>
      </c>
      <c r="W5" s="12" t="n">
        <v>21</v>
      </c>
      <c r="X5" s="12" t="n">
        <v>22</v>
      </c>
      <c r="Y5" s="12" t="n">
        <v>23</v>
      </c>
      <c r="Z5" s="12" t="n">
        <v>24</v>
      </c>
      <c r="AA5" s="12" t="n">
        <v>25</v>
      </c>
      <c r="AB5" s="12" t="n">
        <v>26</v>
      </c>
      <c r="AC5" s="12" t="n">
        <v>27</v>
      </c>
      <c r="AD5" s="12" t="n">
        <v>28</v>
      </c>
      <c r="AE5" s="12" t="n">
        <v>29</v>
      </c>
      <c r="AF5" s="12" t="n">
        <v>30</v>
      </c>
      <c r="AG5" s="12" t="n">
        <v>31</v>
      </c>
      <c r="AH5" s="12" t="n">
        <v>32</v>
      </c>
      <c r="AI5" s="12" t="n">
        <v>33</v>
      </c>
      <c r="AJ5" s="12" t="n">
        <v>34</v>
      </c>
      <c r="AK5" s="12" t="n">
        <v>35</v>
      </c>
      <c r="AL5" s="12" t="n">
        <v>36</v>
      </c>
      <c r="AM5" s="12" t="n">
        <v>37</v>
      </c>
      <c r="AN5" s="12" t="n">
        <v>38</v>
      </c>
      <c r="AO5" s="12" t="n">
        <v>39</v>
      </c>
      <c r="AP5" s="12" t="n">
        <v>40</v>
      </c>
      <c r="AQ5" s="12" t="n">
        <v>41</v>
      </c>
      <c r="AR5" s="12" t="n">
        <v>42</v>
      </c>
      <c r="AS5" s="12" t="n">
        <v>43</v>
      </c>
      <c r="AT5" s="12" t="n">
        <v>44</v>
      </c>
      <c r="AU5" s="12" t="n">
        <v>45</v>
      </c>
      <c r="AV5" s="12" t="n">
        <v>46</v>
      </c>
      <c r="AW5" s="12" t="n">
        <v>47</v>
      </c>
      <c r="AX5" s="12" t="n">
        <v>48</v>
      </c>
      <c r="AY5" s="12" t="n">
        <v>49</v>
      </c>
      <c r="AZ5" s="12" t="n">
        <v>50</v>
      </c>
      <c r="BA5" s="12" t="n">
        <v>51</v>
      </c>
      <c r="BB5" s="12" t="n">
        <v>52</v>
      </c>
      <c r="BC5" s="12" t="n">
        <v>53</v>
      </c>
      <c r="BD5" s="12" t="n">
        <v>54</v>
      </c>
      <c r="BE5" s="12" t="n">
        <v>55</v>
      </c>
      <c r="BF5" s="12" t="n">
        <v>56</v>
      </c>
      <c r="BG5" s="12" t="n">
        <v>57</v>
      </c>
      <c r="BH5" s="12" t="n">
        <v>58</v>
      </c>
      <c r="BI5" s="12" t="n">
        <v>59</v>
      </c>
      <c r="BJ5" s="12" t="n">
        <v>60</v>
      </c>
      <c r="BK5" s="12" t="n">
        <v>61</v>
      </c>
      <c r="BL5" s="12" t="n">
        <v>62</v>
      </c>
      <c r="BM5" s="12" t="n">
        <v>63</v>
      </c>
      <c r="BN5" s="12" t="n">
        <v>64</v>
      </c>
      <c r="BO5" s="12" t="n">
        <v>65</v>
      </c>
      <c r="BP5" s="12" t="n">
        <v>66</v>
      </c>
      <c r="BQ5" s="12" t="n">
        <v>67</v>
      </c>
      <c r="BR5" s="12" t="n">
        <v>68</v>
      </c>
      <c r="BS5" s="12" t="n">
        <v>69</v>
      </c>
      <c r="BT5" s="12" t="n">
        <v>70</v>
      </c>
      <c r="BU5" s="12" t="n">
        <v>71</v>
      </c>
      <c r="BV5" s="12" t="n">
        <v>72</v>
      </c>
      <c r="BW5" s="12" t="n">
        <v>73</v>
      </c>
      <c r="BX5" s="12" t="n">
        <v>74</v>
      </c>
      <c r="BY5" s="12" t="n">
        <v>75</v>
      </c>
      <c r="BZ5" s="12" t="n">
        <v>76</v>
      </c>
      <c r="CA5" s="12" t="n">
        <v>77</v>
      </c>
      <c r="CB5" s="12" t="n">
        <v>78</v>
      </c>
      <c r="CC5" s="12" t="n">
        <v>79</v>
      </c>
      <c r="CD5" s="12" t="n">
        <v>80</v>
      </c>
      <c r="CE5" s="12" t="n">
        <v>81</v>
      </c>
      <c r="CF5" s="12" t="n">
        <v>82</v>
      </c>
      <c r="CG5" s="12" t="n">
        <v>83</v>
      </c>
      <c r="CH5" s="12" t="n">
        <v>84</v>
      </c>
      <c r="CI5" s="12" t="n">
        <v>85</v>
      </c>
      <c r="CJ5" s="12" t="n">
        <v>86</v>
      </c>
      <c r="CK5" s="12" t="n">
        <v>87</v>
      </c>
      <c r="CL5" s="12" t="n">
        <v>88</v>
      </c>
      <c r="CM5" s="12" t="n">
        <v>89</v>
      </c>
      <c r="CN5" s="12" t="n">
        <v>90</v>
      </c>
      <c r="CO5" s="12" t="n">
        <v>91</v>
      </c>
      <c r="CP5" s="12" t="n">
        <v>92</v>
      </c>
      <c r="CQ5" s="12" t="n">
        <v>93</v>
      </c>
    </row>
    <row r="6" customFormat="false" ht="15" hidden="false" customHeight="false" outlineLevel="0" collapsed="false">
      <c r="A6" s="4" t="s">
        <v>58</v>
      </c>
      <c r="B6" s="12" t="n">
        <v>1</v>
      </c>
      <c r="C6" s="2" t="n">
        <f aca="false">MIN(C5+1,B6+1,B5+IF($A6=C$4,0,1))</f>
        <v>1</v>
      </c>
      <c r="D6" s="2" t="n">
        <f aca="false">MIN(D5+1,C6+1,C5+IF($A6=D$4,0,1))</f>
        <v>1</v>
      </c>
      <c r="E6" s="2" t="n">
        <f aca="false">MIN(E5+1,D6+1,D5+IF($A6=E$4,0,1))</f>
        <v>2</v>
      </c>
      <c r="F6" s="2" t="n">
        <f aca="false">MIN(F5+1,E6+1,E5+IF($A6=F$4,0,1))</f>
        <v>3</v>
      </c>
      <c r="G6" s="2" t="n">
        <f aca="false">MIN(G5+1,F6+1,F5+IF($A6=G$4,0,1))</f>
        <v>4</v>
      </c>
      <c r="H6" s="2" t="n">
        <f aca="false">MIN(H5+1,G6+1,G5+IF($A6=H$4,0,1))</f>
        <v>5</v>
      </c>
      <c r="I6" s="2" t="n">
        <f aca="false">MIN(I5+1,H6+1,H5+IF($A6=I$4,0,1))</f>
        <v>6</v>
      </c>
      <c r="J6" s="2" t="n">
        <f aca="false">MIN(J5+1,I6+1,I5+IF($A6=J$4,0,1))</f>
        <v>7</v>
      </c>
      <c r="K6" s="2" t="n">
        <f aca="false">MIN(K5+1,J6+1,J5+IF($A6=K$4,0,1))</f>
        <v>8</v>
      </c>
      <c r="L6" s="2" t="n">
        <f aca="false">MIN(L5+1,K6+1,K5+IF($A6=L$4,0,1))</f>
        <v>9</v>
      </c>
      <c r="M6" s="2" t="n">
        <f aca="false">MIN(M5+1,L6+1,L5+IF($A6=M$4,0,1))</f>
        <v>10</v>
      </c>
      <c r="N6" s="2" t="n">
        <f aca="false">MIN(N5+1,M6+1,M5+IF($A6=N$4,0,1))</f>
        <v>11</v>
      </c>
      <c r="O6" s="2" t="n">
        <f aca="false">MIN(O5+1,N6+1,N5+IF($A6=O$4,0,1))</f>
        <v>12</v>
      </c>
      <c r="P6" s="2" t="n">
        <f aca="false">MIN(P5+1,O6+1,O5+IF($A6=P$4,0,1))</f>
        <v>13</v>
      </c>
      <c r="Q6" s="2" t="n">
        <f aca="false">MIN(Q5+1,P6+1,P5+IF($A6=Q$4,0,1))</f>
        <v>14</v>
      </c>
      <c r="R6" s="2" t="n">
        <f aca="false">MIN(R5+1,Q6+1,Q5+IF($A6=R$4,0,1))</f>
        <v>15</v>
      </c>
      <c r="S6" s="2" t="n">
        <f aca="false">MIN(S5+1,R6+1,R5+IF($A6=S$4,0,1))</f>
        <v>16</v>
      </c>
      <c r="T6" s="2" t="n">
        <f aca="false">MIN(T5+1,S6+1,S5+IF($A6=T$4,0,1))</f>
        <v>17</v>
      </c>
      <c r="U6" s="2" t="n">
        <f aca="false">MIN(U5+1,T6+1,T5+IF($A6=U$4,0,1))</f>
        <v>18</v>
      </c>
      <c r="V6" s="2" t="n">
        <f aca="false">MIN(V5+1,U6+1,U5+IF($A6=V$4,0,1))</f>
        <v>19</v>
      </c>
      <c r="W6" s="2" t="n">
        <f aca="false">MIN(W5+1,V6+1,V5+IF($A6=W$4,0,1))</f>
        <v>20</v>
      </c>
      <c r="X6" s="2" t="n">
        <f aca="false">MIN(X5+1,W6+1,W5+IF($A6=X$4,0,1))</f>
        <v>21</v>
      </c>
      <c r="Y6" s="2" t="n">
        <f aca="false">MIN(Y5+1,X6+1,X5+IF($A6=Y$4,0,1))</f>
        <v>22</v>
      </c>
      <c r="Z6" s="2" t="n">
        <f aca="false">MIN(Z5+1,Y6+1,Y5+IF($A6=Z$4,0,1))</f>
        <v>23</v>
      </c>
      <c r="AA6" s="2" t="n">
        <f aca="false">MIN(AA5+1,Z6+1,Z5+IF($A6=AA$4,0,1))</f>
        <v>24</v>
      </c>
      <c r="AB6" s="2" t="n">
        <f aca="false">MIN(AB5+1,AA6+1,AA5+IF($A6=AB$4,0,1))</f>
        <v>25</v>
      </c>
      <c r="AC6" s="2" t="n">
        <f aca="false">MIN(AC5+1,AB6+1,AB5+IF($A6=AC$4,0,1))</f>
        <v>26</v>
      </c>
      <c r="AD6" s="2" t="n">
        <f aca="false">MIN(AD5+1,AC6+1,AC5+IF($A6=AD$4,0,1))</f>
        <v>27</v>
      </c>
      <c r="AE6" s="2" t="n">
        <f aca="false">MIN(AE5+1,AD6+1,AD5+IF($A6=AE$4,0,1))</f>
        <v>28</v>
      </c>
      <c r="AF6" s="2" t="n">
        <f aca="false">MIN(AF5+1,AE6+1,AE5+IF($A6=AF$4,0,1))</f>
        <v>29</v>
      </c>
      <c r="AG6" s="2" t="n">
        <f aca="false">MIN(AG5+1,AF6+1,AF5+IF($A6=AG$4,0,1))</f>
        <v>30</v>
      </c>
      <c r="AH6" s="2" t="n">
        <f aca="false">MIN(AH5+1,AG6+1,AG5+IF($A6=AH$4,0,1))</f>
        <v>31</v>
      </c>
      <c r="AI6" s="2" t="n">
        <f aca="false">MIN(AI5+1,AH6+1,AH5+IF($A6=AI$4,0,1))</f>
        <v>32</v>
      </c>
      <c r="AJ6" s="2" t="n">
        <f aca="false">MIN(AJ5+1,AI6+1,AI5+IF($A6=AJ$4,0,1))</f>
        <v>33</v>
      </c>
      <c r="AK6" s="2" t="n">
        <f aca="false">MIN(AK5+1,AJ6+1,AJ5+IF($A6=AK$4,0,1))</f>
        <v>34</v>
      </c>
      <c r="AL6" s="2" t="n">
        <f aca="false">MIN(AL5+1,AK6+1,AK5+IF($A6=AL$4,0,1))</f>
        <v>35</v>
      </c>
      <c r="AM6" s="2" t="n">
        <f aca="false">MIN(AM5+1,AL6+1,AL5+IF($A6=AM$4,0,1))</f>
        <v>36</v>
      </c>
      <c r="AN6" s="2" t="n">
        <f aca="false">MIN(AN5+1,AM6+1,AM5+IF($A6=AN$4,0,1))</f>
        <v>37</v>
      </c>
      <c r="AO6" s="2" t="n">
        <f aca="false">MIN(AO5+1,AN6+1,AN5+IF($A6=AO$4,0,1))</f>
        <v>38</v>
      </c>
      <c r="AP6" s="2" t="n">
        <f aca="false">MIN(AP5+1,AO6+1,AO5+IF($A6=AP$4,0,1))</f>
        <v>39</v>
      </c>
      <c r="AQ6" s="2" t="n">
        <f aca="false">MIN(AQ5+1,AP6+1,AP5+IF($A6=AQ$4,0,1))</f>
        <v>40</v>
      </c>
      <c r="AR6" s="2" t="n">
        <f aca="false">MIN(AR5+1,AQ6+1,AQ5+IF($A6=AR$4,0,1))</f>
        <v>41</v>
      </c>
      <c r="AS6" s="2" t="n">
        <f aca="false">MIN(AS5+1,AR6+1,AR5+IF($A6=AS$4,0,1))</f>
        <v>42</v>
      </c>
      <c r="AT6" s="2" t="n">
        <f aca="false">MIN(AT5+1,AS6+1,AS5+IF($A6=AT$4,0,1))</f>
        <v>43</v>
      </c>
      <c r="AU6" s="2" t="n">
        <f aca="false">MIN(AU5+1,AT6+1,AT5+IF($A6=AU$4,0,1))</f>
        <v>44</v>
      </c>
      <c r="AV6" s="2" t="n">
        <f aca="false">MIN(AV5+1,AU6+1,AU5+IF($A6=AV$4,0,1))</f>
        <v>45</v>
      </c>
      <c r="AW6" s="2" t="n">
        <f aca="false">MIN(AW5+1,AV6+1,AV5+IF($A6=AW$4,0,1))</f>
        <v>46</v>
      </c>
      <c r="AX6" s="2" t="n">
        <f aca="false">MIN(AX5+1,AW6+1,AW5+IF($A6=AX$4,0,1))</f>
        <v>47</v>
      </c>
      <c r="AY6" s="2" t="n">
        <f aca="false">MIN(AY5+1,AX6+1,AX5+IF($A6=AY$4,0,1))</f>
        <v>48</v>
      </c>
      <c r="AZ6" s="2" t="n">
        <f aca="false">MIN(AZ5+1,AY6+1,AY5+IF($A6=AZ$4,0,1))</f>
        <v>49</v>
      </c>
      <c r="BA6" s="2" t="n">
        <f aca="false">MIN(BA5+1,AZ6+1,AZ5+IF($A6=BA$4,0,1))</f>
        <v>50</v>
      </c>
      <c r="BB6" s="2" t="n">
        <f aca="false">MIN(BB5+1,BA6+1,BA5+IF($A6=BB$4,0,1))</f>
        <v>51</v>
      </c>
      <c r="BC6" s="2" t="n">
        <f aca="false">MIN(BC5+1,BB6+1,BB5+IF($A6=BC$4,0,1))</f>
        <v>52</v>
      </c>
      <c r="BD6" s="2" t="n">
        <f aca="false">MIN(BD5+1,BC6+1,BC5+IF($A6=BD$4,0,1))</f>
        <v>53</v>
      </c>
      <c r="BE6" s="2" t="n">
        <f aca="false">MIN(BE5+1,BD6+1,BD5+IF($A6=BE$4,0,1))</f>
        <v>54</v>
      </c>
      <c r="BF6" s="2" t="n">
        <f aca="false">MIN(BF5+1,BE6+1,BE5+IF($A6=BF$4,0,1))</f>
        <v>55</v>
      </c>
      <c r="BG6" s="2" t="n">
        <f aca="false">MIN(BG5+1,BF6+1,BF5+IF($A6=BG$4,0,1))</f>
        <v>56</v>
      </c>
      <c r="BH6" s="2" t="n">
        <f aca="false">MIN(BH5+1,BG6+1,BG5+IF($A6=BH$4,0,1))</f>
        <v>57</v>
      </c>
      <c r="BI6" s="2" t="n">
        <f aca="false">MIN(BI5+1,BH6+1,BH5+IF($A6=BI$4,0,1))</f>
        <v>58</v>
      </c>
      <c r="BJ6" s="2" t="n">
        <f aca="false">MIN(BJ5+1,BI6+1,BI5+IF($A6=BJ$4,0,1))</f>
        <v>59</v>
      </c>
      <c r="BK6" s="2" t="n">
        <f aca="false">MIN(BK5+1,BJ6+1,BJ5+IF($A6=BK$4,0,1))</f>
        <v>60</v>
      </c>
      <c r="BL6" s="2" t="n">
        <f aca="false">MIN(BL5+1,BK6+1,BK5+IF($A6=BL$4,0,1))</f>
        <v>61</v>
      </c>
      <c r="BM6" s="2" t="n">
        <f aca="false">MIN(BM5+1,BL6+1,BL5+IF($A6=BM$4,0,1))</f>
        <v>62</v>
      </c>
      <c r="BN6" s="2" t="n">
        <f aca="false">MIN(BN5+1,BM6+1,BM5+IF($A6=BN$4,0,1))</f>
        <v>63</v>
      </c>
      <c r="BO6" s="2" t="n">
        <f aca="false">MIN(BO5+1,BN6+1,BN5+IF($A6=BO$4,0,1))</f>
        <v>64</v>
      </c>
      <c r="BP6" s="2" t="n">
        <f aca="false">MIN(BP5+1,BO6+1,BO5+IF($A6=BP$4,0,1))</f>
        <v>65</v>
      </c>
      <c r="BQ6" s="2" t="n">
        <f aca="false">MIN(BQ5+1,BP6+1,BP5+IF($A6=BQ$4,0,1))</f>
        <v>66</v>
      </c>
      <c r="BR6" s="2" t="n">
        <f aca="false">MIN(BR5+1,BQ6+1,BQ5+IF($A6=BR$4,0,1))</f>
        <v>67</v>
      </c>
      <c r="BS6" s="2" t="n">
        <f aca="false">MIN(BS5+1,BR6+1,BR5+IF($A6=BS$4,0,1))</f>
        <v>68</v>
      </c>
      <c r="BT6" s="2" t="n">
        <f aca="false">MIN(BT5+1,BS6+1,BS5+IF($A6=BT$4,0,1))</f>
        <v>69</v>
      </c>
      <c r="BU6" s="2" t="n">
        <f aca="false">MIN(BU5+1,BT6+1,BT5+IF($A6=BU$4,0,1))</f>
        <v>70</v>
      </c>
      <c r="BV6" s="2" t="n">
        <f aca="false">MIN(BV5+1,BU6+1,BU5+IF($A6=BV$4,0,1))</f>
        <v>71</v>
      </c>
      <c r="BW6" s="2" t="n">
        <f aca="false">MIN(BW5+1,BV6+1,BV5+IF($A6=BW$4,0,1))</f>
        <v>72</v>
      </c>
      <c r="BX6" s="2" t="n">
        <f aca="false">MIN(BX5+1,BW6+1,BW5+IF($A6=BX$4,0,1))</f>
        <v>73</v>
      </c>
      <c r="BY6" s="2" t="n">
        <f aca="false">MIN(BY5+1,BX6+1,BX5+IF($A6=BY$4,0,1))</f>
        <v>74</v>
      </c>
      <c r="BZ6" s="2" t="n">
        <f aca="false">MIN(BZ5+1,BY6+1,BY5+IF($A6=BZ$4,0,1))</f>
        <v>75</v>
      </c>
      <c r="CA6" s="2" t="n">
        <f aca="false">MIN(CA5+1,BZ6+1,BZ5+IF($A6=CA$4,0,1))</f>
        <v>76</v>
      </c>
      <c r="CB6" s="2" t="n">
        <f aca="false">MIN(CB5+1,CA6+1,CA5+IF($A6=CB$4,0,1))</f>
        <v>77</v>
      </c>
      <c r="CC6" s="2" t="n">
        <f aca="false">MIN(CC5+1,CB6+1,CB5+IF($A6=CC$4,0,1))</f>
        <v>78</v>
      </c>
      <c r="CD6" s="2" t="n">
        <f aca="false">MIN(CD5+1,CC6+1,CC5+IF($A6=CD$4,0,1))</f>
        <v>79</v>
      </c>
      <c r="CE6" s="2" t="n">
        <f aca="false">MIN(CE5+1,CD6+1,CD5+IF($A6=CE$4,0,1))</f>
        <v>80</v>
      </c>
      <c r="CF6" s="2" t="n">
        <f aca="false">MIN(CF5+1,CE6+1,CE5+IF($A6=CF$4,0,1))</f>
        <v>81</v>
      </c>
      <c r="CG6" s="2" t="n">
        <f aca="false">MIN(CG5+1,CF6+1,CF5+IF($A6=CG$4,0,1))</f>
        <v>82</v>
      </c>
      <c r="CH6" s="2" t="n">
        <f aca="false">MIN(CH5+1,CG6+1,CG5+IF($A6=CH$4,0,1))</f>
        <v>83</v>
      </c>
      <c r="CI6" s="2" t="n">
        <f aca="false">MIN(CI5+1,CH6+1,CH5+IF($A6=CI$4,0,1))</f>
        <v>84</v>
      </c>
      <c r="CJ6" s="2" t="n">
        <f aca="false">MIN(CJ5+1,CI6+1,CI5+IF($A6=CJ$4,0,1))</f>
        <v>85</v>
      </c>
      <c r="CK6" s="2" t="n">
        <f aca="false">MIN(CK5+1,CJ6+1,CJ5+IF($A6=CK$4,0,1))</f>
        <v>86</v>
      </c>
      <c r="CL6" s="2" t="n">
        <f aca="false">MIN(CL5+1,CK6+1,CK5+IF($A6=CL$4,0,1))</f>
        <v>87</v>
      </c>
      <c r="CM6" s="2" t="n">
        <f aca="false">MIN(CM5+1,CL6+1,CL5+IF($A6=CM$4,0,1))</f>
        <v>88</v>
      </c>
      <c r="CN6" s="2" t="n">
        <f aca="false">MIN(CN5+1,CM6+1,CM5+IF($A6=CN$4,0,1))</f>
        <v>89</v>
      </c>
      <c r="CO6" s="2" t="n">
        <f aca="false">MIN(CO5+1,CN6+1,CN5+IF($A6=CO$4,0,1))</f>
        <v>90</v>
      </c>
      <c r="CP6" s="2" t="n">
        <f aca="false">MIN(CP5+1,CO6+1,CO5+IF($A6=CP$4,0,1))</f>
        <v>91</v>
      </c>
      <c r="CQ6" s="2" t="n">
        <f aca="false">MIN(CQ5+1,CP6+1,CP5+IF($A6=CQ$4,0,1))</f>
        <v>92</v>
      </c>
    </row>
    <row r="7" customFormat="false" ht="15" hidden="false" customHeight="false" outlineLevel="0" collapsed="false">
      <c r="A7" s="4" t="s">
        <v>59</v>
      </c>
      <c r="B7" s="12" t="n">
        <v>2</v>
      </c>
      <c r="C7" s="2" t="n">
        <f aca="false">MIN(C6+1,B7+1,B6+IF($A7=C$4,0,1))</f>
        <v>2</v>
      </c>
      <c r="D7" s="2" t="n">
        <f aca="false">MIN(D6+1,C7+1,C6+IF($A7=D$4,0,1))</f>
        <v>2</v>
      </c>
      <c r="E7" s="2" t="n">
        <f aca="false">MIN(E6+1,D7+1,D6+IF($A7=E$4,0,1))</f>
        <v>1</v>
      </c>
      <c r="F7" s="2" t="n">
        <f aca="false">MIN(F6+1,E7+1,E6+IF($A7=F$4,0,1))</f>
        <v>2</v>
      </c>
      <c r="G7" s="2" t="n">
        <f aca="false">MIN(G6+1,F7+1,F6+IF($A7=G$4,0,1))</f>
        <v>3</v>
      </c>
      <c r="H7" s="2" t="n">
        <f aca="false">MIN(H6+1,G7+1,G6+IF($A7=H$4,0,1))</f>
        <v>4</v>
      </c>
      <c r="I7" s="2" t="n">
        <f aca="false">MIN(I6+1,H7+1,H6+IF($A7=I$4,0,1))</f>
        <v>5</v>
      </c>
      <c r="J7" s="2" t="n">
        <f aca="false">MIN(J6+1,I7+1,I6+IF($A7=J$4,0,1))</f>
        <v>6</v>
      </c>
      <c r="K7" s="2" t="n">
        <f aca="false">MIN(K6+1,J7+1,J6+IF($A7=K$4,0,1))</f>
        <v>7</v>
      </c>
      <c r="L7" s="2" t="n">
        <f aca="false">MIN(L6+1,K7+1,K6+IF($A7=L$4,0,1))</f>
        <v>8</v>
      </c>
      <c r="M7" s="2" t="n">
        <f aca="false">MIN(M6+1,L7+1,L6+IF($A7=M$4,0,1))</f>
        <v>9</v>
      </c>
      <c r="N7" s="2" t="n">
        <f aca="false">MIN(N6+1,M7+1,M6+IF($A7=N$4,0,1))</f>
        <v>10</v>
      </c>
      <c r="O7" s="2" t="n">
        <f aca="false">MIN(O6+1,N7+1,N6+IF($A7=O$4,0,1))</f>
        <v>11</v>
      </c>
      <c r="P7" s="2" t="n">
        <f aca="false">MIN(P6+1,O7+1,O6+IF($A7=P$4,0,1))</f>
        <v>12</v>
      </c>
      <c r="Q7" s="2" t="n">
        <f aca="false">MIN(Q6+1,P7+1,P6+IF($A7=Q$4,0,1))</f>
        <v>13</v>
      </c>
      <c r="R7" s="2" t="n">
        <f aca="false">MIN(R6+1,Q7+1,Q6+IF($A7=R$4,0,1))</f>
        <v>14</v>
      </c>
      <c r="S7" s="2" t="n">
        <f aca="false">MIN(S6+1,R7+1,R6+IF($A7=S$4,0,1))</f>
        <v>15</v>
      </c>
      <c r="T7" s="2" t="n">
        <f aca="false">MIN(T6+1,S7+1,S6+IF($A7=T$4,0,1))</f>
        <v>16</v>
      </c>
      <c r="U7" s="2" t="n">
        <f aca="false">MIN(U6+1,T7+1,T6+IF($A7=U$4,0,1))</f>
        <v>17</v>
      </c>
      <c r="V7" s="2" t="n">
        <f aca="false">MIN(V6+1,U7+1,U6+IF($A7=V$4,0,1))</f>
        <v>18</v>
      </c>
      <c r="W7" s="2" t="n">
        <f aca="false">MIN(W6+1,V7+1,V6+IF($A7=W$4,0,1))</f>
        <v>19</v>
      </c>
      <c r="X7" s="2" t="n">
        <f aca="false">MIN(X6+1,W7+1,W6+IF($A7=X$4,0,1))</f>
        <v>20</v>
      </c>
      <c r="Y7" s="2" t="n">
        <f aca="false">MIN(Y6+1,X7+1,X6+IF($A7=Y$4,0,1))</f>
        <v>21</v>
      </c>
      <c r="Z7" s="2" t="n">
        <f aca="false">MIN(Z6+1,Y7+1,Y6+IF($A7=Z$4,0,1))</f>
        <v>22</v>
      </c>
      <c r="AA7" s="2" t="n">
        <f aca="false">MIN(AA6+1,Z7+1,Z6+IF($A7=AA$4,0,1))</f>
        <v>23</v>
      </c>
      <c r="AB7" s="2" t="n">
        <f aca="false">MIN(AB6+1,AA7+1,AA6+IF($A7=AB$4,0,1))</f>
        <v>24</v>
      </c>
      <c r="AC7" s="2" t="n">
        <f aca="false">MIN(AC6+1,AB7+1,AB6+IF($A7=AC$4,0,1))</f>
        <v>25</v>
      </c>
      <c r="AD7" s="2" t="n">
        <f aca="false">MIN(AD6+1,AC7+1,AC6+IF($A7=AD$4,0,1))</f>
        <v>26</v>
      </c>
      <c r="AE7" s="2" t="n">
        <f aca="false">MIN(AE6+1,AD7+1,AD6+IF($A7=AE$4,0,1))</f>
        <v>27</v>
      </c>
      <c r="AF7" s="2" t="n">
        <f aca="false">MIN(AF6+1,AE7+1,AE6+IF($A7=AF$4,0,1))</f>
        <v>28</v>
      </c>
      <c r="AG7" s="2" t="n">
        <f aca="false">MIN(AG6+1,AF7+1,AF6+IF($A7=AG$4,0,1))</f>
        <v>29</v>
      </c>
      <c r="AH7" s="2" t="n">
        <f aca="false">MIN(AH6+1,AG7+1,AG6+IF($A7=AH$4,0,1))</f>
        <v>30</v>
      </c>
      <c r="AI7" s="2" t="n">
        <f aca="false">MIN(AI6+1,AH7+1,AH6+IF($A7=AI$4,0,1))</f>
        <v>31</v>
      </c>
      <c r="AJ7" s="2" t="n">
        <f aca="false">MIN(AJ6+1,AI7+1,AI6+IF($A7=AJ$4,0,1))</f>
        <v>32</v>
      </c>
      <c r="AK7" s="2" t="n">
        <f aca="false">MIN(AK6+1,AJ7+1,AJ6+IF($A7=AK$4,0,1))</f>
        <v>33</v>
      </c>
      <c r="AL7" s="2" t="n">
        <f aca="false">MIN(AL6+1,AK7+1,AK6+IF($A7=AL$4,0,1))</f>
        <v>34</v>
      </c>
      <c r="AM7" s="2" t="n">
        <f aca="false">MIN(AM6+1,AL7+1,AL6+IF($A7=AM$4,0,1))</f>
        <v>35</v>
      </c>
      <c r="AN7" s="2" t="n">
        <f aca="false">MIN(AN6+1,AM7+1,AM6+IF($A7=AN$4,0,1))</f>
        <v>36</v>
      </c>
      <c r="AO7" s="2" t="n">
        <f aca="false">MIN(AO6+1,AN7+1,AN6+IF($A7=AO$4,0,1))</f>
        <v>37</v>
      </c>
      <c r="AP7" s="2" t="n">
        <f aca="false">MIN(AP6+1,AO7+1,AO6+IF($A7=AP$4,0,1))</f>
        <v>38</v>
      </c>
      <c r="AQ7" s="2" t="n">
        <f aca="false">MIN(AQ6+1,AP7+1,AP6+IF($A7=AQ$4,0,1))</f>
        <v>39</v>
      </c>
      <c r="AR7" s="2" t="n">
        <f aca="false">MIN(AR6+1,AQ7+1,AQ6+IF($A7=AR$4,0,1))</f>
        <v>40</v>
      </c>
      <c r="AS7" s="2" t="n">
        <f aca="false">MIN(AS6+1,AR7+1,AR6+IF($A7=AS$4,0,1))</f>
        <v>41</v>
      </c>
      <c r="AT7" s="2" t="n">
        <f aca="false">MIN(AT6+1,AS7+1,AS6+IF($A7=AT$4,0,1))</f>
        <v>42</v>
      </c>
      <c r="AU7" s="2" t="n">
        <f aca="false">MIN(AU6+1,AT7+1,AT6+IF($A7=AU$4,0,1))</f>
        <v>43</v>
      </c>
      <c r="AV7" s="2" t="n">
        <f aca="false">MIN(AV6+1,AU7+1,AU6+IF($A7=AV$4,0,1))</f>
        <v>44</v>
      </c>
      <c r="AW7" s="2" t="n">
        <f aca="false">MIN(AW6+1,AV7+1,AV6+IF($A7=AW$4,0,1))</f>
        <v>45</v>
      </c>
      <c r="AX7" s="2" t="n">
        <f aca="false">MIN(AX6+1,AW7+1,AW6+IF($A7=AX$4,0,1))</f>
        <v>46</v>
      </c>
      <c r="AY7" s="2" t="n">
        <f aca="false">MIN(AY6+1,AX7+1,AX6+IF($A7=AY$4,0,1))</f>
        <v>47</v>
      </c>
      <c r="AZ7" s="2" t="n">
        <f aca="false">MIN(AZ6+1,AY7+1,AY6+IF($A7=AZ$4,0,1))</f>
        <v>48</v>
      </c>
      <c r="BA7" s="2" t="n">
        <f aca="false">MIN(BA6+1,AZ7+1,AZ6+IF($A7=BA$4,0,1))</f>
        <v>49</v>
      </c>
      <c r="BB7" s="2" t="n">
        <f aca="false">MIN(BB6+1,BA7+1,BA6+IF($A7=BB$4,0,1))</f>
        <v>50</v>
      </c>
      <c r="BC7" s="2" t="n">
        <f aca="false">MIN(BC6+1,BB7+1,BB6+IF($A7=BC$4,0,1))</f>
        <v>51</v>
      </c>
      <c r="BD7" s="2" t="n">
        <f aca="false">MIN(BD6+1,BC7+1,BC6+IF($A7=BD$4,0,1))</f>
        <v>52</v>
      </c>
      <c r="BE7" s="2" t="n">
        <f aca="false">MIN(BE6+1,BD7+1,BD6+IF($A7=BE$4,0,1))</f>
        <v>53</v>
      </c>
      <c r="BF7" s="2" t="n">
        <f aca="false">MIN(BF6+1,BE7+1,BE6+IF($A7=BF$4,0,1))</f>
        <v>54</v>
      </c>
      <c r="BG7" s="2" t="n">
        <f aca="false">MIN(BG6+1,BF7+1,BF6+IF($A7=BG$4,0,1))</f>
        <v>55</v>
      </c>
      <c r="BH7" s="2" t="n">
        <f aca="false">MIN(BH6+1,BG7+1,BG6+IF($A7=BH$4,0,1))</f>
        <v>56</v>
      </c>
      <c r="BI7" s="2" t="n">
        <f aca="false">MIN(BI6+1,BH7+1,BH6+IF($A7=BI$4,0,1))</f>
        <v>57</v>
      </c>
      <c r="BJ7" s="2" t="n">
        <f aca="false">MIN(BJ6+1,BI7+1,BI6+IF($A7=BJ$4,0,1))</f>
        <v>58</v>
      </c>
      <c r="BK7" s="2" t="n">
        <f aca="false">MIN(BK6+1,BJ7+1,BJ6+IF($A7=BK$4,0,1))</f>
        <v>59</v>
      </c>
      <c r="BL7" s="2" t="n">
        <f aca="false">MIN(BL6+1,BK7+1,BK6+IF($A7=BL$4,0,1))</f>
        <v>60</v>
      </c>
      <c r="BM7" s="2" t="n">
        <f aca="false">MIN(BM6+1,BL7+1,BL6+IF($A7=BM$4,0,1))</f>
        <v>61</v>
      </c>
      <c r="BN7" s="2" t="n">
        <f aca="false">MIN(BN6+1,BM7+1,BM6+IF($A7=BN$4,0,1))</f>
        <v>62</v>
      </c>
      <c r="BO7" s="2" t="n">
        <f aca="false">MIN(BO6+1,BN7+1,BN6+IF($A7=BO$4,0,1))</f>
        <v>63</v>
      </c>
      <c r="BP7" s="2" t="n">
        <f aca="false">MIN(BP6+1,BO7+1,BO6+IF($A7=BP$4,0,1))</f>
        <v>64</v>
      </c>
      <c r="BQ7" s="2" t="n">
        <f aca="false">MIN(BQ6+1,BP7+1,BP6+IF($A7=BQ$4,0,1))</f>
        <v>65</v>
      </c>
      <c r="BR7" s="2" t="n">
        <f aca="false">MIN(BR6+1,BQ7+1,BQ6+IF($A7=BR$4,0,1))</f>
        <v>66</v>
      </c>
      <c r="BS7" s="2" t="n">
        <f aca="false">MIN(BS6+1,BR7+1,BR6+IF($A7=BS$4,0,1))</f>
        <v>67</v>
      </c>
      <c r="BT7" s="2" t="n">
        <f aca="false">MIN(BT6+1,BS7+1,BS6+IF($A7=BT$4,0,1))</f>
        <v>68</v>
      </c>
      <c r="BU7" s="2" t="n">
        <f aca="false">MIN(BU6+1,BT7+1,BT6+IF($A7=BU$4,0,1))</f>
        <v>69</v>
      </c>
      <c r="BV7" s="2" t="n">
        <f aca="false">MIN(BV6+1,BU7+1,BU6+IF($A7=BV$4,0,1))</f>
        <v>70</v>
      </c>
      <c r="BW7" s="2" t="n">
        <f aca="false">MIN(BW6+1,BV7+1,BV6+IF($A7=BW$4,0,1))</f>
        <v>71</v>
      </c>
      <c r="BX7" s="2" t="n">
        <f aca="false">MIN(BX6+1,BW7+1,BW6+IF($A7=BX$4,0,1))</f>
        <v>72</v>
      </c>
      <c r="BY7" s="2" t="n">
        <f aca="false">MIN(BY6+1,BX7+1,BX6+IF($A7=BY$4,0,1))</f>
        <v>73</v>
      </c>
      <c r="BZ7" s="2" t="n">
        <f aca="false">MIN(BZ6+1,BY7+1,BY6+IF($A7=BZ$4,0,1))</f>
        <v>74</v>
      </c>
      <c r="CA7" s="2" t="n">
        <f aca="false">MIN(CA6+1,BZ7+1,BZ6+IF($A7=CA$4,0,1))</f>
        <v>75</v>
      </c>
      <c r="CB7" s="2" t="n">
        <f aca="false">MIN(CB6+1,CA7+1,CA6+IF($A7=CB$4,0,1))</f>
        <v>76</v>
      </c>
      <c r="CC7" s="2" t="n">
        <f aca="false">MIN(CC6+1,CB7+1,CB6+IF($A7=CC$4,0,1))</f>
        <v>77</v>
      </c>
      <c r="CD7" s="2" t="n">
        <f aca="false">MIN(CD6+1,CC7+1,CC6+IF($A7=CD$4,0,1))</f>
        <v>78</v>
      </c>
      <c r="CE7" s="2" t="n">
        <f aca="false">MIN(CE6+1,CD7+1,CD6+IF($A7=CE$4,0,1))</f>
        <v>79</v>
      </c>
      <c r="CF7" s="2" t="n">
        <f aca="false">MIN(CF6+1,CE7+1,CE6+IF($A7=CF$4,0,1))</f>
        <v>80</v>
      </c>
      <c r="CG7" s="2" t="n">
        <f aca="false">MIN(CG6+1,CF7+1,CF6+IF($A7=CG$4,0,1))</f>
        <v>81</v>
      </c>
      <c r="CH7" s="2" t="n">
        <f aca="false">MIN(CH6+1,CG7+1,CG6+IF($A7=CH$4,0,1))</f>
        <v>82</v>
      </c>
      <c r="CI7" s="2" t="n">
        <f aca="false">MIN(CI6+1,CH7+1,CH6+IF($A7=CI$4,0,1))</f>
        <v>83</v>
      </c>
      <c r="CJ7" s="2" t="n">
        <f aca="false">MIN(CJ6+1,CI7+1,CI6+IF($A7=CJ$4,0,1))</f>
        <v>84</v>
      </c>
      <c r="CK7" s="2" t="n">
        <f aca="false">MIN(CK6+1,CJ7+1,CJ6+IF($A7=CK$4,0,1))</f>
        <v>85</v>
      </c>
      <c r="CL7" s="2" t="n">
        <f aca="false">MIN(CL6+1,CK7+1,CK6+IF($A7=CL$4,0,1))</f>
        <v>86</v>
      </c>
      <c r="CM7" s="2" t="n">
        <f aca="false">MIN(CM6+1,CL7+1,CL6+IF($A7=CM$4,0,1))</f>
        <v>87</v>
      </c>
      <c r="CN7" s="2" t="n">
        <f aca="false">MIN(CN6+1,CM7+1,CM6+IF($A7=CN$4,0,1))</f>
        <v>88</v>
      </c>
      <c r="CO7" s="2" t="n">
        <f aca="false">MIN(CO6+1,CN7+1,CN6+IF($A7=CO$4,0,1))</f>
        <v>89</v>
      </c>
      <c r="CP7" s="2" t="n">
        <f aca="false">MIN(CP6+1,CO7+1,CO6+IF($A7=CP$4,0,1))</f>
        <v>90</v>
      </c>
      <c r="CQ7" s="2" t="n">
        <f aca="false">MIN(CQ6+1,CP7+1,CP6+IF($A7=CQ$4,0,1))</f>
        <v>91</v>
      </c>
    </row>
    <row r="8" customFormat="false" ht="15" hidden="false" customHeight="false" outlineLevel="0" collapsed="false">
      <c r="A8" s="4" t="s">
        <v>60</v>
      </c>
      <c r="B8" s="12" t="n">
        <v>3</v>
      </c>
      <c r="C8" s="2" t="n">
        <f aca="false">MIN(C7+1,B8+1,B7+IF($A8=C$4,0,1))</f>
        <v>3</v>
      </c>
      <c r="D8" s="2" t="n">
        <f aca="false">MIN(D7+1,C8+1,C7+IF($A8=D$4,0,1))</f>
        <v>3</v>
      </c>
      <c r="E8" s="2" t="n">
        <f aca="false">MIN(E7+1,D8+1,D7+IF($A8=E$4,0,1))</f>
        <v>2</v>
      </c>
      <c r="F8" s="2" t="n">
        <f aca="false">MIN(F7+1,E8+1,E7+IF($A8=F$4,0,1))</f>
        <v>1</v>
      </c>
      <c r="G8" s="2" t="n">
        <f aca="false">MIN(G7+1,F8+1,F7+IF($A8=G$4,0,1))</f>
        <v>2</v>
      </c>
      <c r="H8" s="2" t="n">
        <f aca="false">MIN(H7+1,G8+1,G7+IF($A8=H$4,0,1))</f>
        <v>3</v>
      </c>
      <c r="I8" s="2" t="n">
        <f aca="false">MIN(I7+1,H8+1,H7+IF($A8=I$4,0,1))</f>
        <v>4</v>
      </c>
      <c r="J8" s="2" t="n">
        <f aca="false">MIN(J7+1,I8+1,I7+IF($A8=J$4,0,1))</f>
        <v>5</v>
      </c>
      <c r="K8" s="2" t="n">
        <f aca="false">MIN(K7+1,J8+1,J7+IF($A8=K$4,0,1))</f>
        <v>6</v>
      </c>
      <c r="L8" s="2" t="n">
        <f aca="false">MIN(L7+1,K8+1,K7+IF($A8=L$4,0,1))</f>
        <v>7</v>
      </c>
      <c r="M8" s="2" t="n">
        <f aca="false">MIN(M7+1,L8+1,L7+IF($A8=M$4,0,1))</f>
        <v>8</v>
      </c>
      <c r="N8" s="2" t="n">
        <f aca="false">MIN(N7+1,M8+1,M7+IF($A8=N$4,0,1))</f>
        <v>9</v>
      </c>
      <c r="O8" s="2" t="n">
        <f aca="false">MIN(O7+1,N8+1,N7+IF($A8=O$4,0,1))</f>
        <v>10</v>
      </c>
      <c r="P8" s="2" t="n">
        <f aca="false">MIN(P7+1,O8+1,O7+IF($A8=P$4,0,1))</f>
        <v>11</v>
      </c>
      <c r="Q8" s="2" t="n">
        <f aca="false">MIN(Q7+1,P8+1,P7+IF($A8=Q$4,0,1))</f>
        <v>12</v>
      </c>
      <c r="R8" s="2" t="n">
        <f aca="false">MIN(R7+1,Q8+1,Q7+IF($A8=R$4,0,1))</f>
        <v>13</v>
      </c>
      <c r="S8" s="2" t="n">
        <f aca="false">MIN(S7+1,R8+1,R7+IF($A8=S$4,0,1))</f>
        <v>14</v>
      </c>
      <c r="T8" s="2" t="n">
        <f aca="false">MIN(T7+1,S8+1,S7+IF($A8=T$4,0,1))</f>
        <v>15</v>
      </c>
      <c r="U8" s="2" t="n">
        <f aca="false">MIN(U7+1,T8+1,T7+IF($A8=U$4,0,1))</f>
        <v>16</v>
      </c>
      <c r="V8" s="2" t="n">
        <f aca="false">MIN(V7+1,U8+1,U7+IF($A8=V$4,0,1))</f>
        <v>17</v>
      </c>
      <c r="W8" s="2" t="n">
        <f aca="false">MIN(W7+1,V8+1,V7+IF($A8=W$4,0,1))</f>
        <v>18</v>
      </c>
      <c r="X8" s="2" t="n">
        <f aca="false">MIN(X7+1,W8+1,W7+IF($A8=X$4,0,1))</f>
        <v>19</v>
      </c>
      <c r="Y8" s="2" t="n">
        <f aca="false">MIN(Y7+1,X8+1,X7+IF($A8=Y$4,0,1))</f>
        <v>20</v>
      </c>
      <c r="Z8" s="2" t="n">
        <f aca="false">MIN(Z7+1,Y8+1,Y7+IF($A8=Z$4,0,1))</f>
        <v>21</v>
      </c>
      <c r="AA8" s="2" t="n">
        <f aca="false">MIN(AA7+1,Z8+1,Z7+IF($A8=AA$4,0,1))</f>
        <v>22</v>
      </c>
      <c r="AB8" s="2" t="n">
        <f aca="false">MIN(AB7+1,AA8+1,AA7+IF($A8=AB$4,0,1))</f>
        <v>23</v>
      </c>
      <c r="AC8" s="2" t="n">
        <f aca="false">MIN(AC7+1,AB8+1,AB7+IF($A8=AC$4,0,1))</f>
        <v>24</v>
      </c>
      <c r="AD8" s="2" t="n">
        <f aca="false">MIN(AD7+1,AC8+1,AC7+IF($A8=AD$4,0,1))</f>
        <v>25</v>
      </c>
      <c r="AE8" s="2" t="n">
        <f aca="false">MIN(AE7+1,AD8+1,AD7+IF($A8=AE$4,0,1))</f>
        <v>26</v>
      </c>
      <c r="AF8" s="2" t="n">
        <f aca="false">MIN(AF7+1,AE8+1,AE7+IF($A8=AF$4,0,1))</f>
        <v>27</v>
      </c>
      <c r="AG8" s="2" t="n">
        <f aca="false">MIN(AG7+1,AF8+1,AF7+IF($A8=AG$4,0,1))</f>
        <v>28</v>
      </c>
      <c r="AH8" s="2" t="n">
        <f aca="false">MIN(AH7+1,AG8+1,AG7+IF($A8=AH$4,0,1))</f>
        <v>29</v>
      </c>
      <c r="AI8" s="2" t="n">
        <f aca="false">MIN(AI7+1,AH8+1,AH7+IF($A8=AI$4,0,1))</f>
        <v>30</v>
      </c>
      <c r="AJ8" s="2" t="n">
        <f aca="false">MIN(AJ7+1,AI8+1,AI7+IF($A8=AJ$4,0,1))</f>
        <v>31</v>
      </c>
      <c r="AK8" s="2" t="n">
        <f aca="false">MIN(AK7+1,AJ8+1,AJ7+IF($A8=AK$4,0,1))</f>
        <v>32</v>
      </c>
      <c r="AL8" s="2" t="n">
        <f aca="false">MIN(AL7+1,AK8+1,AK7+IF($A8=AL$4,0,1))</f>
        <v>33</v>
      </c>
      <c r="AM8" s="2" t="n">
        <f aca="false">MIN(AM7+1,AL8+1,AL7+IF($A8=AM$4,0,1))</f>
        <v>34</v>
      </c>
      <c r="AN8" s="2" t="n">
        <f aca="false">MIN(AN7+1,AM8+1,AM7+IF($A8=AN$4,0,1))</f>
        <v>35</v>
      </c>
      <c r="AO8" s="2" t="n">
        <f aca="false">MIN(AO7+1,AN8+1,AN7+IF($A8=AO$4,0,1))</f>
        <v>36</v>
      </c>
      <c r="AP8" s="2" t="n">
        <f aca="false">MIN(AP7+1,AO8+1,AO7+IF($A8=AP$4,0,1))</f>
        <v>37</v>
      </c>
      <c r="AQ8" s="2" t="n">
        <f aca="false">MIN(AQ7+1,AP8+1,AP7+IF($A8=AQ$4,0,1))</f>
        <v>38</v>
      </c>
      <c r="AR8" s="2" t="n">
        <f aca="false">MIN(AR7+1,AQ8+1,AQ7+IF($A8=AR$4,0,1))</f>
        <v>39</v>
      </c>
      <c r="AS8" s="2" t="n">
        <f aca="false">MIN(AS7+1,AR8+1,AR7+IF($A8=AS$4,0,1))</f>
        <v>40</v>
      </c>
      <c r="AT8" s="2" t="n">
        <f aca="false">MIN(AT7+1,AS8+1,AS7+IF($A8=AT$4,0,1))</f>
        <v>41</v>
      </c>
      <c r="AU8" s="2" t="n">
        <f aca="false">MIN(AU7+1,AT8+1,AT7+IF($A8=AU$4,0,1))</f>
        <v>42</v>
      </c>
      <c r="AV8" s="2" t="n">
        <f aca="false">MIN(AV7+1,AU8+1,AU7+IF($A8=AV$4,0,1))</f>
        <v>43</v>
      </c>
      <c r="AW8" s="2" t="n">
        <f aca="false">MIN(AW7+1,AV8+1,AV7+IF($A8=AW$4,0,1))</f>
        <v>44</v>
      </c>
      <c r="AX8" s="2" t="n">
        <f aca="false">MIN(AX7+1,AW8+1,AW7+IF($A8=AX$4,0,1))</f>
        <v>45</v>
      </c>
      <c r="AY8" s="2" t="n">
        <f aca="false">MIN(AY7+1,AX8+1,AX7+IF($A8=AY$4,0,1))</f>
        <v>46</v>
      </c>
      <c r="AZ8" s="2" t="n">
        <f aca="false">MIN(AZ7+1,AY8+1,AY7+IF($A8=AZ$4,0,1))</f>
        <v>47</v>
      </c>
      <c r="BA8" s="2" t="n">
        <f aca="false">MIN(BA7+1,AZ8+1,AZ7+IF($A8=BA$4,0,1))</f>
        <v>48</v>
      </c>
      <c r="BB8" s="2" t="n">
        <f aca="false">MIN(BB7+1,BA8+1,BA7+IF($A8=BB$4,0,1))</f>
        <v>49</v>
      </c>
      <c r="BC8" s="2" t="n">
        <f aca="false">MIN(BC7+1,BB8+1,BB7+IF($A8=BC$4,0,1))</f>
        <v>50</v>
      </c>
      <c r="BD8" s="2" t="n">
        <f aca="false">MIN(BD7+1,BC8+1,BC7+IF($A8=BD$4,0,1))</f>
        <v>51</v>
      </c>
      <c r="BE8" s="2" t="n">
        <f aca="false">MIN(BE7+1,BD8+1,BD7+IF($A8=BE$4,0,1))</f>
        <v>52</v>
      </c>
      <c r="BF8" s="2" t="n">
        <f aca="false">MIN(BF7+1,BE8+1,BE7+IF($A8=BF$4,0,1))</f>
        <v>53</v>
      </c>
      <c r="BG8" s="2" t="n">
        <f aca="false">MIN(BG7+1,BF8+1,BF7+IF($A8=BG$4,0,1))</f>
        <v>54</v>
      </c>
      <c r="BH8" s="2" t="n">
        <f aca="false">MIN(BH7+1,BG8+1,BG7+IF($A8=BH$4,0,1))</f>
        <v>55</v>
      </c>
      <c r="BI8" s="2" t="n">
        <f aca="false">MIN(BI7+1,BH8+1,BH7+IF($A8=BI$4,0,1))</f>
        <v>56</v>
      </c>
      <c r="BJ8" s="2" t="n">
        <f aca="false">MIN(BJ7+1,BI8+1,BI7+IF($A8=BJ$4,0,1))</f>
        <v>57</v>
      </c>
      <c r="BK8" s="2" t="n">
        <f aca="false">MIN(BK7+1,BJ8+1,BJ7+IF($A8=BK$4,0,1))</f>
        <v>58</v>
      </c>
      <c r="BL8" s="2" t="n">
        <f aca="false">MIN(BL7+1,BK8+1,BK7+IF($A8=BL$4,0,1))</f>
        <v>59</v>
      </c>
      <c r="BM8" s="2" t="n">
        <f aca="false">MIN(BM7+1,BL8+1,BL7+IF($A8=BM$4,0,1))</f>
        <v>60</v>
      </c>
      <c r="BN8" s="2" t="n">
        <f aca="false">MIN(BN7+1,BM8+1,BM7+IF($A8=BN$4,0,1))</f>
        <v>61</v>
      </c>
      <c r="BO8" s="2" t="n">
        <f aca="false">MIN(BO7+1,BN8+1,BN7+IF($A8=BO$4,0,1))</f>
        <v>62</v>
      </c>
      <c r="BP8" s="2" t="n">
        <f aca="false">MIN(BP7+1,BO8+1,BO7+IF($A8=BP$4,0,1))</f>
        <v>63</v>
      </c>
      <c r="BQ8" s="2" t="n">
        <f aca="false">MIN(BQ7+1,BP8+1,BP7+IF($A8=BQ$4,0,1))</f>
        <v>64</v>
      </c>
      <c r="BR8" s="2" t="n">
        <f aca="false">MIN(BR7+1,BQ8+1,BQ7+IF($A8=BR$4,0,1))</f>
        <v>65</v>
      </c>
      <c r="BS8" s="2" t="n">
        <f aca="false">MIN(BS7+1,BR8+1,BR7+IF($A8=BS$4,0,1))</f>
        <v>66</v>
      </c>
      <c r="BT8" s="2" t="n">
        <f aca="false">MIN(BT7+1,BS8+1,BS7+IF($A8=BT$4,0,1))</f>
        <v>67</v>
      </c>
      <c r="BU8" s="2" t="n">
        <f aca="false">MIN(BU7+1,BT8+1,BT7+IF($A8=BU$4,0,1))</f>
        <v>68</v>
      </c>
      <c r="BV8" s="2" t="n">
        <f aca="false">MIN(BV7+1,BU8+1,BU7+IF($A8=BV$4,0,1))</f>
        <v>69</v>
      </c>
      <c r="BW8" s="2" t="n">
        <f aca="false">MIN(BW7+1,BV8+1,BV7+IF($A8=BW$4,0,1))</f>
        <v>70</v>
      </c>
      <c r="BX8" s="2" t="n">
        <f aca="false">MIN(BX7+1,BW8+1,BW7+IF($A8=BX$4,0,1))</f>
        <v>71</v>
      </c>
      <c r="BY8" s="2" t="n">
        <f aca="false">MIN(BY7+1,BX8+1,BX7+IF($A8=BY$4,0,1))</f>
        <v>72</v>
      </c>
      <c r="BZ8" s="2" t="n">
        <f aca="false">MIN(BZ7+1,BY8+1,BY7+IF($A8=BZ$4,0,1))</f>
        <v>73</v>
      </c>
      <c r="CA8" s="2" t="n">
        <f aca="false">MIN(CA7+1,BZ8+1,BZ7+IF($A8=CA$4,0,1))</f>
        <v>74</v>
      </c>
      <c r="CB8" s="2" t="n">
        <f aca="false">MIN(CB7+1,CA8+1,CA7+IF($A8=CB$4,0,1))</f>
        <v>75</v>
      </c>
      <c r="CC8" s="2" t="n">
        <f aca="false">MIN(CC7+1,CB8+1,CB7+IF($A8=CC$4,0,1))</f>
        <v>76</v>
      </c>
      <c r="CD8" s="2" t="n">
        <f aca="false">MIN(CD7+1,CC8+1,CC7+IF($A8=CD$4,0,1))</f>
        <v>77</v>
      </c>
      <c r="CE8" s="2" t="n">
        <f aca="false">MIN(CE7+1,CD8+1,CD7+IF($A8=CE$4,0,1))</f>
        <v>78</v>
      </c>
      <c r="CF8" s="2" t="n">
        <f aca="false">MIN(CF7+1,CE8+1,CE7+IF($A8=CF$4,0,1))</f>
        <v>79</v>
      </c>
      <c r="CG8" s="2" t="n">
        <f aca="false">MIN(CG7+1,CF8+1,CF7+IF($A8=CG$4,0,1))</f>
        <v>80</v>
      </c>
      <c r="CH8" s="2" t="n">
        <f aca="false">MIN(CH7+1,CG8+1,CG7+IF($A8=CH$4,0,1))</f>
        <v>81</v>
      </c>
      <c r="CI8" s="2" t="n">
        <f aca="false">MIN(CI7+1,CH8+1,CH7+IF($A8=CI$4,0,1))</f>
        <v>82</v>
      </c>
      <c r="CJ8" s="2" t="n">
        <f aca="false">MIN(CJ7+1,CI8+1,CI7+IF($A8=CJ$4,0,1))</f>
        <v>83</v>
      </c>
      <c r="CK8" s="2" t="n">
        <f aca="false">MIN(CK7+1,CJ8+1,CJ7+IF($A8=CK$4,0,1))</f>
        <v>84</v>
      </c>
      <c r="CL8" s="2" t="n">
        <f aca="false">MIN(CL7+1,CK8+1,CK7+IF($A8=CL$4,0,1))</f>
        <v>85</v>
      </c>
      <c r="CM8" s="2" t="n">
        <f aca="false">MIN(CM7+1,CL8+1,CL7+IF($A8=CM$4,0,1))</f>
        <v>86</v>
      </c>
      <c r="CN8" s="2" t="n">
        <f aca="false">MIN(CN7+1,CM8+1,CM7+IF($A8=CN$4,0,1))</f>
        <v>87</v>
      </c>
      <c r="CO8" s="2" t="n">
        <f aca="false">MIN(CO7+1,CN8+1,CN7+IF($A8=CO$4,0,1))</f>
        <v>88</v>
      </c>
      <c r="CP8" s="2" t="n">
        <f aca="false">MIN(CP7+1,CO8+1,CO7+IF($A8=CP$4,0,1))</f>
        <v>89</v>
      </c>
      <c r="CQ8" s="2" t="n">
        <f aca="false">MIN(CQ7+1,CP8+1,CP7+IF($A8=CQ$4,0,1))</f>
        <v>90</v>
      </c>
    </row>
    <row r="9" customFormat="false" ht="15" hidden="false" customHeight="false" outlineLevel="0" collapsed="false">
      <c r="A9" s="4" t="s">
        <v>64</v>
      </c>
      <c r="B9" s="12" t="n">
        <v>4</v>
      </c>
      <c r="C9" s="2" t="n">
        <f aca="false">MIN(C8+1,B9+1,B8+IF($A9=C$4,0,1))</f>
        <v>4</v>
      </c>
      <c r="D9" s="2" t="n">
        <f aca="false">MIN(D8+1,C9+1,C8+IF($A9=D$4,0,1))</f>
        <v>4</v>
      </c>
      <c r="E9" s="2" t="n">
        <f aca="false">MIN(E8+1,D9+1,D8+IF($A9=E$4,0,1))</f>
        <v>3</v>
      </c>
      <c r="F9" s="2" t="n">
        <f aca="false">MIN(F8+1,E9+1,E8+IF($A9=F$4,0,1))</f>
        <v>2</v>
      </c>
      <c r="G9" s="2" t="n">
        <f aca="false">MIN(G8+1,F9+1,F8+IF($A9=G$4,0,1))</f>
        <v>2</v>
      </c>
      <c r="H9" s="2" t="n">
        <f aca="false">MIN(H8+1,G9+1,G8+IF($A9=H$4,0,1))</f>
        <v>3</v>
      </c>
      <c r="I9" s="2" t="n">
        <f aca="false">MIN(I8+1,H9+1,H8+IF($A9=I$4,0,1))</f>
        <v>4</v>
      </c>
      <c r="J9" s="2" t="n">
        <f aca="false">MIN(J8+1,I9+1,I8+IF($A9=J$4,0,1))</f>
        <v>5</v>
      </c>
      <c r="K9" s="2" t="n">
        <f aca="false">MIN(K8+1,J9+1,J8+IF($A9=K$4,0,1))</f>
        <v>6</v>
      </c>
      <c r="L9" s="2" t="n">
        <f aca="false">MIN(L8+1,K9+1,K8+IF($A9=L$4,0,1))</f>
        <v>7</v>
      </c>
      <c r="M9" s="2" t="n">
        <f aca="false">MIN(M8+1,L9+1,L8+IF($A9=M$4,0,1))</f>
        <v>8</v>
      </c>
      <c r="N9" s="2" t="n">
        <f aca="false">MIN(N8+1,M9+1,M8+IF($A9=N$4,0,1))</f>
        <v>9</v>
      </c>
      <c r="O9" s="2" t="n">
        <f aca="false">MIN(O8+1,N9+1,N8+IF($A9=O$4,0,1))</f>
        <v>10</v>
      </c>
      <c r="P9" s="2" t="n">
        <f aca="false">MIN(P8+1,O9+1,O8+IF($A9=P$4,0,1))</f>
        <v>11</v>
      </c>
      <c r="Q9" s="2" t="n">
        <f aca="false">MIN(Q8+1,P9+1,P8+IF($A9=Q$4,0,1))</f>
        <v>12</v>
      </c>
      <c r="R9" s="2" t="n">
        <f aca="false">MIN(R8+1,Q9+1,Q8+IF($A9=R$4,0,1))</f>
        <v>13</v>
      </c>
      <c r="S9" s="2" t="n">
        <f aca="false">MIN(S8+1,R9+1,R8+IF($A9=S$4,0,1))</f>
        <v>14</v>
      </c>
      <c r="T9" s="2" t="n">
        <f aca="false">MIN(T8+1,S9+1,S8+IF($A9=T$4,0,1))</f>
        <v>15</v>
      </c>
      <c r="U9" s="2" t="n">
        <f aca="false">MIN(U8+1,T9+1,T8+IF($A9=U$4,0,1))</f>
        <v>16</v>
      </c>
      <c r="V9" s="2" t="n">
        <f aca="false">MIN(V8+1,U9+1,U8+IF($A9=V$4,0,1))</f>
        <v>17</v>
      </c>
      <c r="W9" s="2" t="n">
        <f aca="false">MIN(W8+1,V9+1,V8+IF($A9=W$4,0,1))</f>
        <v>18</v>
      </c>
      <c r="X9" s="2" t="n">
        <f aca="false">MIN(X8+1,W9+1,W8+IF($A9=X$4,0,1))</f>
        <v>19</v>
      </c>
      <c r="Y9" s="2" t="n">
        <f aca="false">MIN(Y8+1,X9+1,X8+IF($A9=Y$4,0,1))</f>
        <v>20</v>
      </c>
      <c r="Z9" s="2" t="n">
        <f aca="false">MIN(Z8+1,Y9+1,Y8+IF($A9=Z$4,0,1))</f>
        <v>21</v>
      </c>
      <c r="AA9" s="2" t="n">
        <f aca="false">MIN(AA8+1,Z9+1,Z8+IF($A9=AA$4,0,1))</f>
        <v>22</v>
      </c>
      <c r="AB9" s="2" t="n">
        <f aca="false">MIN(AB8+1,AA9+1,AA8+IF($A9=AB$4,0,1))</f>
        <v>23</v>
      </c>
      <c r="AC9" s="2" t="n">
        <f aca="false">MIN(AC8+1,AB9+1,AB8+IF($A9=AC$4,0,1))</f>
        <v>24</v>
      </c>
      <c r="AD9" s="2" t="n">
        <f aca="false">MIN(AD8+1,AC9+1,AC8+IF($A9=AD$4,0,1))</f>
        <v>25</v>
      </c>
      <c r="AE9" s="2" t="n">
        <f aca="false">MIN(AE8+1,AD9+1,AD8+IF($A9=AE$4,0,1))</f>
        <v>26</v>
      </c>
      <c r="AF9" s="2" t="n">
        <f aca="false">MIN(AF8+1,AE9+1,AE8+IF($A9=AF$4,0,1))</f>
        <v>27</v>
      </c>
      <c r="AG9" s="2" t="n">
        <f aca="false">MIN(AG8+1,AF9+1,AF8+IF($A9=AG$4,0,1))</f>
        <v>28</v>
      </c>
      <c r="AH9" s="2" t="n">
        <f aca="false">MIN(AH8+1,AG9+1,AG8+IF($A9=AH$4,0,1))</f>
        <v>29</v>
      </c>
      <c r="AI9" s="2" t="n">
        <f aca="false">MIN(AI8+1,AH9+1,AH8+IF($A9=AI$4,0,1))</f>
        <v>30</v>
      </c>
      <c r="AJ9" s="2" t="n">
        <f aca="false">MIN(AJ8+1,AI9+1,AI8+IF($A9=AJ$4,0,1))</f>
        <v>31</v>
      </c>
      <c r="AK9" s="2" t="n">
        <f aca="false">MIN(AK8+1,AJ9+1,AJ8+IF($A9=AK$4,0,1))</f>
        <v>32</v>
      </c>
      <c r="AL9" s="2" t="n">
        <f aca="false">MIN(AL8+1,AK9+1,AK8+IF($A9=AL$4,0,1))</f>
        <v>33</v>
      </c>
      <c r="AM9" s="2" t="n">
        <f aca="false">MIN(AM8+1,AL9+1,AL8+IF($A9=AM$4,0,1))</f>
        <v>34</v>
      </c>
      <c r="AN9" s="2" t="n">
        <f aca="false">MIN(AN8+1,AM9+1,AM8+IF($A9=AN$4,0,1))</f>
        <v>35</v>
      </c>
      <c r="AO9" s="2" t="n">
        <f aca="false">MIN(AO8+1,AN9+1,AN8+IF($A9=AO$4,0,1))</f>
        <v>36</v>
      </c>
      <c r="AP9" s="2" t="n">
        <f aca="false">MIN(AP8+1,AO9+1,AO8+IF($A9=AP$4,0,1))</f>
        <v>37</v>
      </c>
      <c r="AQ9" s="2" t="n">
        <f aca="false">MIN(AQ8+1,AP9+1,AP8+IF($A9=AQ$4,0,1))</f>
        <v>38</v>
      </c>
      <c r="AR9" s="2" t="n">
        <f aca="false">MIN(AR8+1,AQ9+1,AQ8+IF($A9=AR$4,0,1))</f>
        <v>39</v>
      </c>
      <c r="AS9" s="2" t="n">
        <f aca="false">MIN(AS8+1,AR9+1,AR8+IF($A9=AS$4,0,1))</f>
        <v>40</v>
      </c>
      <c r="AT9" s="2" t="n">
        <f aca="false">MIN(AT8+1,AS9+1,AS8+IF($A9=AT$4,0,1))</f>
        <v>41</v>
      </c>
      <c r="AU9" s="2" t="n">
        <f aca="false">MIN(AU8+1,AT9+1,AT8+IF($A9=AU$4,0,1))</f>
        <v>42</v>
      </c>
      <c r="AV9" s="2" t="n">
        <f aca="false">MIN(AV8+1,AU9+1,AU8+IF($A9=AV$4,0,1))</f>
        <v>43</v>
      </c>
      <c r="AW9" s="2" t="n">
        <f aca="false">MIN(AW8+1,AV9+1,AV8+IF($A9=AW$4,0,1))</f>
        <v>44</v>
      </c>
      <c r="AX9" s="2" t="n">
        <f aca="false">MIN(AX8+1,AW9+1,AW8+IF($A9=AX$4,0,1))</f>
        <v>45</v>
      </c>
      <c r="AY9" s="2" t="n">
        <f aca="false">MIN(AY8+1,AX9+1,AX8+IF($A9=AY$4,0,1))</f>
        <v>46</v>
      </c>
      <c r="AZ9" s="2" t="n">
        <f aca="false">MIN(AZ8+1,AY9+1,AY8+IF($A9=AZ$4,0,1))</f>
        <v>47</v>
      </c>
      <c r="BA9" s="2" t="n">
        <f aca="false">MIN(BA8+1,AZ9+1,AZ8+IF($A9=BA$4,0,1))</f>
        <v>48</v>
      </c>
      <c r="BB9" s="2" t="n">
        <f aca="false">MIN(BB8+1,BA9+1,BA8+IF($A9=BB$4,0,1))</f>
        <v>49</v>
      </c>
      <c r="BC9" s="2" t="n">
        <f aca="false">MIN(BC8+1,BB9+1,BB8+IF($A9=BC$4,0,1))</f>
        <v>50</v>
      </c>
      <c r="BD9" s="2" t="n">
        <f aca="false">MIN(BD8+1,BC9+1,BC8+IF($A9=BD$4,0,1))</f>
        <v>51</v>
      </c>
      <c r="BE9" s="2" t="n">
        <f aca="false">MIN(BE8+1,BD9+1,BD8+IF($A9=BE$4,0,1))</f>
        <v>52</v>
      </c>
      <c r="BF9" s="2" t="n">
        <f aca="false">MIN(BF8+1,BE9+1,BE8+IF($A9=BF$4,0,1))</f>
        <v>53</v>
      </c>
      <c r="BG9" s="2" t="n">
        <f aca="false">MIN(BG8+1,BF9+1,BF8+IF($A9=BG$4,0,1))</f>
        <v>54</v>
      </c>
      <c r="BH9" s="2" t="n">
        <f aca="false">MIN(BH8+1,BG9+1,BG8+IF($A9=BH$4,0,1))</f>
        <v>55</v>
      </c>
      <c r="BI9" s="2" t="n">
        <f aca="false">MIN(BI8+1,BH9+1,BH8+IF($A9=BI$4,0,1))</f>
        <v>56</v>
      </c>
      <c r="BJ9" s="2" t="n">
        <f aca="false">MIN(BJ8+1,BI9+1,BI8+IF($A9=BJ$4,0,1))</f>
        <v>57</v>
      </c>
      <c r="BK9" s="2" t="n">
        <f aca="false">MIN(BK8+1,BJ9+1,BJ8+IF($A9=BK$4,0,1))</f>
        <v>58</v>
      </c>
      <c r="BL9" s="2" t="n">
        <f aca="false">MIN(BL8+1,BK9+1,BK8+IF($A9=BL$4,0,1))</f>
        <v>59</v>
      </c>
      <c r="BM9" s="2" t="n">
        <f aca="false">MIN(BM8+1,BL9+1,BL8+IF($A9=BM$4,0,1))</f>
        <v>60</v>
      </c>
      <c r="BN9" s="2" t="n">
        <f aca="false">MIN(BN8+1,BM9+1,BM8+IF($A9=BN$4,0,1))</f>
        <v>61</v>
      </c>
      <c r="BO9" s="2" t="n">
        <f aca="false">MIN(BO8+1,BN9+1,BN8+IF($A9=BO$4,0,1))</f>
        <v>62</v>
      </c>
      <c r="BP9" s="2" t="n">
        <f aca="false">MIN(BP8+1,BO9+1,BO8+IF($A9=BP$4,0,1))</f>
        <v>63</v>
      </c>
      <c r="BQ9" s="2" t="n">
        <f aca="false">MIN(BQ8+1,BP9+1,BP8+IF($A9=BQ$4,0,1))</f>
        <v>64</v>
      </c>
      <c r="BR9" s="2" t="n">
        <f aca="false">MIN(BR8+1,BQ9+1,BQ8+IF($A9=BR$4,0,1))</f>
        <v>65</v>
      </c>
      <c r="BS9" s="2" t="n">
        <f aca="false">MIN(BS8+1,BR9+1,BR8+IF($A9=BS$4,0,1))</f>
        <v>66</v>
      </c>
      <c r="BT9" s="2" t="n">
        <f aca="false">MIN(BT8+1,BS9+1,BS8+IF($A9=BT$4,0,1))</f>
        <v>67</v>
      </c>
      <c r="BU9" s="2" t="n">
        <f aca="false">MIN(BU8+1,BT9+1,BT8+IF($A9=BU$4,0,1))</f>
        <v>68</v>
      </c>
      <c r="BV9" s="2" t="n">
        <f aca="false">MIN(BV8+1,BU9+1,BU8+IF($A9=BV$4,0,1))</f>
        <v>69</v>
      </c>
      <c r="BW9" s="2" t="n">
        <f aca="false">MIN(BW8+1,BV9+1,BV8+IF($A9=BW$4,0,1))</f>
        <v>70</v>
      </c>
      <c r="BX9" s="2" t="n">
        <f aca="false">MIN(BX8+1,BW9+1,BW8+IF($A9=BX$4,0,1))</f>
        <v>71</v>
      </c>
      <c r="BY9" s="2" t="n">
        <f aca="false">MIN(BY8+1,BX9+1,BX8+IF($A9=BY$4,0,1))</f>
        <v>72</v>
      </c>
      <c r="BZ9" s="2" t="n">
        <f aca="false">MIN(BZ8+1,BY9+1,BY8+IF($A9=BZ$4,0,1))</f>
        <v>73</v>
      </c>
      <c r="CA9" s="2" t="n">
        <f aca="false">MIN(CA8+1,BZ9+1,BZ8+IF($A9=CA$4,0,1))</f>
        <v>74</v>
      </c>
      <c r="CB9" s="2" t="n">
        <f aca="false">MIN(CB8+1,CA9+1,CA8+IF($A9=CB$4,0,1))</f>
        <v>75</v>
      </c>
      <c r="CC9" s="2" t="n">
        <f aca="false">MIN(CC8+1,CB9+1,CB8+IF($A9=CC$4,0,1))</f>
        <v>76</v>
      </c>
      <c r="CD9" s="2" t="n">
        <f aca="false">MIN(CD8+1,CC9+1,CC8+IF($A9=CD$4,0,1))</f>
        <v>77</v>
      </c>
      <c r="CE9" s="2" t="n">
        <f aca="false">MIN(CE8+1,CD9+1,CD8+IF($A9=CE$4,0,1))</f>
        <v>78</v>
      </c>
      <c r="CF9" s="2" t="n">
        <f aca="false">MIN(CF8+1,CE9+1,CE8+IF($A9=CF$4,0,1))</f>
        <v>79</v>
      </c>
      <c r="CG9" s="2" t="n">
        <f aca="false">MIN(CG8+1,CF9+1,CF8+IF($A9=CG$4,0,1))</f>
        <v>80</v>
      </c>
      <c r="CH9" s="2" t="n">
        <f aca="false">MIN(CH8+1,CG9+1,CG8+IF($A9=CH$4,0,1))</f>
        <v>81</v>
      </c>
      <c r="CI9" s="2" t="n">
        <f aca="false">MIN(CI8+1,CH9+1,CH8+IF($A9=CI$4,0,1))</f>
        <v>82</v>
      </c>
      <c r="CJ9" s="2" t="n">
        <f aca="false">MIN(CJ8+1,CI9+1,CI8+IF($A9=CJ$4,0,1))</f>
        <v>83</v>
      </c>
      <c r="CK9" s="2" t="n">
        <f aca="false">MIN(CK8+1,CJ9+1,CJ8+IF($A9=CK$4,0,1))</f>
        <v>84</v>
      </c>
      <c r="CL9" s="2" t="n">
        <f aca="false">MIN(CL8+1,CK9+1,CK8+IF($A9=CL$4,0,1))</f>
        <v>85</v>
      </c>
      <c r="CM9" s="2" t="n">
        <f aca="false">MIN(CM8+1,CL9+1,CL8+IF($A9=CM$4,0,1))</f>
        <v>86</v>
      </c>
      <c r="CN9" s="2" t="n">
        <f aca="false">MIN(CN8+1,CM9+1,CM8+IF($A9=CN$4,0,1))</f>
        <v>87</v>
      </c>
      <c r="CO9" s="2" t="n">
        <f aca="false">MIN(CO8+1,CN9+1,CN8+IF($A9=CO$4,0,1))</f>
        <v>88</v>
      </c>
      <c r="CP9" s="2" t="n">
        <f aca="false">MIN(CP8+1,CO9+1,CO8+IF($A9=CP$4,0,1))</f>
        <v>89</v>
      </c>
      <c r="CQ9" s="2" t="n">
        <f aca="false">MIN(CQ8+1,CP9+1,CP8+IF($A9=CQ$4,0,1))</f>
        <v>90</v>
      </c>
    </row>
    <row r="10" customFormat="false" ht="15" hidden="false" customHeight="false" outlineLevel="0" collapsed="false">
      <c r="A10" s="4" t="s">
        <v>65</v>
      </c>
      <c r="B10" s="12" t="n">
        <v>5</v>
      </c>
      <c r="C10" s="2" t="n">
        <f aca="false">MIN(C9+1,B10+1,B9+IF($A10=C$4,0,1))</f>
        <v>5</v>
      </c>
      <c r="D10" s="2" t="n">
        <f aca="false">MIN(D9+1,C10+1,C9+IF($A10=D$4,0,1))</f>
        <v>5</v>
      </c>
      <c r="E10" s="2" t="n">
        <f aca="false">MIN(E9+1,D10+1,D9+IF($A10=E$4,0,1))</f>
        <v>4</v>
      </c>
      <c r="F10" s="2" t="n">
        <f aca="false">MIN(F9+1,E10+1,E9+IF($A10=F$4,0,1))</f>
        <v>3</v>
      </c>
      <c r="G10" s="2" t="n">
        <f aca="false">MIN(G9+1,F10+1,F9+IF($A10=G$4,0,1))</f>
        <v>3</v>
      </c>
      <c r="H10" s="2" t="n">
        <f aca="false">MIN(H9+1,G10+1,G9+IF($A10=H$4,0,1))</f>
        <v>3</v>
      </c>
      <c r="I10" s="2" t="n">
        <f aca="false">MIN(I9+1,H10+1,H9+IF($A10=I$4,0,1))</f>
        <v>4</v>
      </c>
      <c r="J10" s="2" t="n">
        <f aca="false">MIN(J9+1,I10+1,I9+IF($A10=J$4,0,1))</f>
        <v>5</v>
      </c>
      <c r="K10" s="2" t="n">
        <f aca="false">MIN(K9+1,J10+1,J9+IF($A10=K$4,0,1))</f>
        <v>6</v>
      </c>
      <c r="L10" s="2" t="n">
        <f aca="false">MIN(L9+1,K10+1,K9+IF($A10=L$4,0,1))</f>
        <v>7</v>
      </c>
      <c r="M10" s="2" t="n">
        <f aca="false">MIN(M9+1,L10+1,L9+IF($A10=M$4,0,1))</f>
        <v>8</v>
      </c>
      <c r="N10" s="2" t="n">
        <f aca="false">MIN(N9+1,M10+1,M9+IF($A10=N$4,0,1))</f>
        <v>9</v>
      </c>
      <c r="O10" s="2" t="n">
        <f aca="false">MIN(O9+1,N10+1,N9+IF($A10=O$4,0,1))</f>
        <v>10</v>
      </c>
      <c r="P10" s="2" t="n">
        <f aca="false">MIN(P9+1,O10+1,O9+IF($A10=P$4,0,1))</f>
        <v>11</v>
      </c>
      <c r="Q10" s="2" t="n">
        <f aca="false">MIN(Q9+1,P10+1,P9+IF($A10=Q$4,0,1))</f>
        <v>12</v>
      </c>
      <c r="R10" s="2" t="n">
        <f aca="false">MIN(R9+1,Q10+1,Q9+IF($A10=R$4,0,1))</f>
        <v>13</v>
      </c>
      <c r="S10" s="2" t="n">
        <f aca="false">MIN(S9+1,R10+1,R9+IF($A10=S$4,0,1))</f>
        <v>14</v>
      </c>
      <c r="T10" s="2" t="n">
        <f aca="false">MIN(T9+1,S10+1,S9+IF($A10=T$4,0,1))</f>
        <v>15</v>
      </c>
      <c r="U10" s="2" t="n">
        <f aca="false">MIN(U9+1,T10+1,T9+IF($A10=U$4,0,1))</f>
        <v>16</v>
      </c>
      <c r="V10" s="2" t="n">
        <f aca="false">MIN(V9+1,U10+1,U9+IF($A10=V$4,0,1))</f>
        <v>17</v>
      </c>
      <c r="W10" s="2" t="n">
        <f aca="false">MIN(W9+1,V10+1,V9+IF($A10=W$4,0,1))</f>
        <v>18</v>
      </c>
      <c r="X10" s="2" t="n">
        <f aca="false">MIN(X9+1,W10+1,W9+IF($A10=X$4,0,1))</f>
        <v>19</v>
      </c>
      <c r="Y10" s="2" t="n">
        <f aca="false">MIN(Y9+1,X10+1,X9+IF($A10=Y$4,0,1))</f>
        <v>20</v>
      </c>
      <c r="Z10" s="2" t="n">
        <f aca="false">MIN(Z9+1,Y10+1,Y9+IF($A10=Z$4,0,1))</f>
        <v>21</v>
      </c>
      <c r="AA10" s="2" t="n">
        <f aca="false">MIN(AA9+1,Z10+1,Z9+IF($A10=AA$4,0,1))</f>
        <v>22</v>
      </c>
      <c r="AB10" s="2" t="n">
        <f aca="false">MIN(AB9+1,AA10+1,AA9+IF($A10=AB$4,0,1))</f>
        <v>23</v>
      </c>
      <c r="AC10" s="2" t="n">
        <f aca="false">MIN(AC9+1,AB10+1,AB9+IF($A10=AC$4,0,1))</f>
        <v>24</v>
      </c>
      <c r="AD10" s="2" t="n">
        <f aca="false">MIN(AD9+1,AC10+1,AC9+IF($A10=AD$4,0,1))</f>
        <v>25</v>
      </c>
      <c r="AE10" s="2" t="n">
        <f aca="false">MIN(AE9+1,AD10+1,AD9+IF($A10=AE$4,0,1))</f>
        <v>26</v>
      </c>
      <c r="AF10" s="2" t="n">
        <f aca="false">MIN(AF9+1,AE10+1,AE9+IF($A10=AF$4,0,1))</f>
        <v>27</v>
      </c>
      <c r="AG10" s="2" t="n">
        <f aca="false">MIN(AG9+1,AF10+1,AF9+IF($A10=AG$4,0,1))</f>
        <v>28</v>
      </c>
      <c r="AH10" s="2" t="n">
        <f aca="false">MIN(AH9+1,AG10+1,AG9+IF($A10=AH$4,0,1))</f>
        <v>29</v>
      </c>
      <c r="AI10" s="2" t="n">
        <f aca="false">MIN(AI9+1,AH10+1,AH9+IF($A10=AI$4,0,1))</f>
        <v>30</v>
      </c>
      <c r="AJ10" s="2" t="n">
        <f aca="false">MIN(AJ9+1,AI10+1,AI9+IF($A10=AJ$4,0,1))</f>
        <v>31</v>
      </c>
      <c r="AK10" s="2" t="n">
        <f aca="false">MIN(AK9+1,AJ10+1,AJ9+IF($A10=AK$4,0,1))</f>
        <v>32</v>
      </c>
      <c r="AL10" s="2" t="n">
        <f aca="false">MIN(AL9+1,AK10+1,AK9+IF($A10=AL$4,0,1))</f>
        <v>33</v>
      </c>
      <c r="AM10" s="2" t="n">
        <f aca="false">MIN(AM9+1,AL10+1,AL9+IF($A10=AM$4,0,1))</f>
        <v>34</v>
      </c>
      <c r="AN10" s="2" t="n">
        <f aca="false">MIN(AN9+1,AM10+1,AM9+IF($A10=AN$4,0,1))</f>
        <v>35</v>
      </c>
      <c r="AO10" s="2" t="n">
        <f aca="false">MIN(AO9+1,AN10+1,AN9+IF($A10=AO$4,0,1))</f>
        <v>36</v>
      </c>
      <c r="AP10" s="2" t="n">
        <f aca="false">MIN(AP9+1,AO10+1,AO9+IF($A10=AP$4,0,1))</f>
        <v>37</v>
      </c>
      <c r="AQ10" s="2" t="n">
        <f aca="false">MIN(AQ9+1,AP10+1,AP9+IF($A10=AQ$4,0,1))</f>
        <v>38</v>
      </c>
      <c r="AR10" s="2" t="n">
        <f aca="false">MIN(AR9+1,AQ10+1,AQ9+IF($A10=AR$4,0,1))</f>
        <v>39</v>
      </c>
      <c r="AS10" s="2" t="n">
        <f aca="false">MIN(AS9+1,AR10+1,AR9+IF($A10=AS$4,0,1))</f>
        <v>40</v>
      </c>
      <c r="AT10" s="2" t="n">
        <f aca="false">MIN(AT9+1,AS10+1,AS9+IF($A10=AT$4,0,1))</f>
        <v>41</v>
      </c>
      <c r="AU10" s="2" t="n">
        <f aca="false">MIN(AU9+1,AT10+1,AT9+IF($A10=AU$4,0,1))</f>
        <v>42</v>
      </c>
      <c r="AV10" s="2" t="n">
        <f aca="false">MIN(AV9+1,AU10+1,AU9+IF($A10=AV$4,0,1))</f>
        <v>43</v>
      </c>
      <c r="AW10" s="2" t="n">
        <f aca="false">MIN(AW9+1,AV10+1,AV9+IF($A10=AW$4,0,1))</f>
        <v>44</v>
      </c>
      <c r="AX10" s="2" t="n">
        <f aca="false">MIN(AX9+1,AW10+1,AW9+IF($A10=AX$4,0,1))</f>
        <v>45</v>
      </c>
      <c r="AY10" s="2" t="n">
        <f aca="false">MIN(AY9+1,AX10+1,AX9+IF($A10=AY$4,0,1))</f>
        <v>46</v>
      </c>
      <c r="AZ10" s="2" t="n">
        <f aca="false">MIN(AZ9+1,AY10+1,AY9+IF($A10=AZ$4,0,1))</f>
        <v>47</v>
      </c>
      <c r="BA10" s="2" t="n">
        <f aca="false">MIN(BA9+1,AZ10+1,AZ9+IF($A10=BA$4,0,1))</f>
        <v>48</v>
      </c>
      <c r="BB10" s="2" t="n">
        <f aca="false">MIN(BB9+1,BA10+1,BA9+IF($A10=BB$4,0,1))</f>
        <v>49</v>
      </c>
      <c r="BC10" s="2" t="n">
        <f aca="false">MIN(BC9+1,BB10+1,BB9+IF($A10=BC$4,0,1))</f>
        <v>50</v>
      </c>
      <c r="BD10" s="2" t="n">
        <f aca="false">MIN(BD9+1,BC10+1,BC9+IF($A10=BD$4,0,1))</f>
        <v>51</v>
      </c>
      <c r="BE10" s="2" t="n">
        <f aca="false">MIN(BE9+1,BD10+1,BD9+IF($A10=BE$4,0,1))</f>
        <v>52</v>
      </c>
      <c r="BF10" s="2" t="n">
        <f aca="false">MIN(BF9+1,BE10+1,BE9+IF($A10=BF$4,0,1))</f>
        <v>53</v>
      </c>
      <c r="BG10" s="2" t="n">
        <f aca="false">MIN(BG9+1,BF10+1,BF9+IF($A10=BG$4,0,1))</f>
        <v>54</v>
      </c>
      <c r="BH10" s="2" t="n">
        <f aca="false">MIN(BH9+1,BG10+1,BG9+IF($A10=BH$4,0,1))</f>
        <v>55</v>
      </c>
      <c r="BI10" s="2" t="n">
        <f aca="false">MIN(BI9+1,BH10+1,BH9+IF($A10=BI$4,0,1))</f>
        <v>56</v>
      </c>
      <c r="BJ10" s="2" t="n">
        <f aca="false">MIN(BJ9+1,BI10+1,BI9+IF($A10=BJ$4,0,1))</f>
        <v>57</v>
      </c>
      <c r="BK10" s="2" t="n">
        <f aca="false">MIN(BK9+1,BJ10+1,BJ9+IF($A10=BK$4,0,1))</f>
        <v>58</v>
      </c>
      <c r="BL10" s="2" t="n">
        <f aca="false">MIN(BL9+1,BK10+1,BK9+IF($A10=BL$4,0,1))</f>
        <v>59</v>
      </c>
      <c r="BM10" s="2" t="n">
        <f aca="false">MIN(BM9+1,BL10+1,BL9+IF($A10=BM$4,0,1))</f>
        <v>60</v>
      </c>
      <c r="BN10" s="2" t="n">
        <f aca="false">MIN(BN9+1,BM10+1,BM9+IF($A10=BN$4,0,1))</f>
        <v>61</v>
      </c>
      <c r="BO10" s="2" t="n">
        <f aca="false">MIN(BO9+1,BN10+1,BN9+IF($A10=BO$4,0,1))</f>
        <v>62</v>
      </c>
      <c r="BP10" s="2" t="n">
        <f aca="false">MIN(BP9+1,BO10+1,BO9+IF($A10=BP$4,0,1))</f>
        <v>63</v>
      </c>
      <c r="BQ10" s="2" t="n">
        <f aca="false">MIN(BQ9+1,BP10+1,BP9+IF($A10=BQ$4,0,1))</f>
        <v>64</v>
      </c>
      <c r="BR10" s="2" t="n">
        <f aca="false">MIN(BR9+1,BQ10+1,BQ9+IF($A10=BR$4,0,1))</f>
        <v>65</v>
      </c>
      <c r="BS10" s="2" t="n">
        <f aca="false">MIN(BS9+1,BR10+1,BR9+IF($A10=BS$4,0,1))</f>
        <v>66</v>
      </c>
      <c r="BT10" s="2" t="n">
        <f aca="false">MIN(BT9+1,BS10+1,BS9+IF($A10=BT$4,0,1))</f>
        <v>67</v>
      </c>
      <c r="BU10" s="2" t="n">
        <f aca="false">MIN(BU9+1,BT10+1,BT9+IF($A10=BU$4,0,1))</f>
        <v>68</v>
      </c>
      <c r="BV10" s="2" t="n">
        <f aca="false">MIN(BV9+1,BU10+1,BU9+IF($A10=BV$4,0,1))</f>
        <v>69</v>
      </c>
      <c r="BW10" s="2" t="n">
        <f aca="false">MIN(BW9+1,BV10+1,BV9+IF($A10=BW$4,0,1))</f>
        <v>70</v>
      </c>
      <c r="BX10" s="2" t="n">
        <f aca="false">MIN(BX9+1,BW10+1,BW9+IF($A10=BX$4,0,1))</f>
        <v>71</v>
      </c>
      <c r="BY10" s="2" t="n">
        <f aca="false">MIN(BY9+1,BX10+1,BX9+IF($A10=BY$4,0,1))</f>
        <v>72</v>
      </c>
      <c r="BZ10" s="2" t="n">
        <f aca="false">MIN(BZ9+1,BY10+1,BY9+IF($A10=BZ$4,0,1))</f>
        <v>73</v>
      </c>
      <c r="CA10" s="2" t="n">
        <f aca="false">MIN(CA9+1,BZ10+1,BZ9+IF($A10=CA$4,0,1))</f>
        <v>74</v>
      </c>
      <c r="CB10" s="2" t="n">
        <f aca="false">MIN(CB9+1,CA10+1,CA9+IF($A10=CB$4,0,1))</f>
        <v>75</v>
      </c>
      <c r="CC10" s="2" t="n">
        <f aca="false">MIN(CC9+1,CB10+1,CB9+IF($A10=CC$4,0,1))</f>
        <v>76</v>
      </c>
      <c r="CD10" s="2" t="n">
        <f aca="false">MIN(CD9+1,CC10+1,CC9+IF($A10=CD$4,0,1))</f>
        <v>77</v>
      </c>
      <c r="CE10" s="2" t="n">
        <f aca="false">MIN(CE9+1,CD10+1,CD9+IF($A10=CE$4,0,1))</f>
        <v>78</v>
      </c>
      <c r="CF10" s="2" t="n">
        <f aca="false">MIN(CF9+1,CE10+1,CE9+IF($A10=CF$4,0,1))</f>
        <v>79</v>
      </c>
      <c r="CG10" s="2" t="n">
        <f aca="false">MIN(CG9+1,CF10+1,CF9+IF($A10=CG$4,0,1))</f>
        <v>80</v>
      </c>
      <c r="CH10" s="2" t="n">
        <f aca="false">MIN(CH9+1,CG10+1,CG9+IF($A10=CH$4,0,1))</f>
        <v>81</v>
      </c>
      <c r="CI10" s="2" t="n">
        <f aca="false">MIN(CI9+1,CH10+1,CH9+IF($A10=CI$4,0,1))</f>
        <v>82</v>
      </c>
      <c r="CJ10" s="2" t="n">
        <f aca="false">MIN(CJ9+1,CI10+1,CI9+IF($A10=CJ$4,0,1))</f>
        <v>83</v>
      </c>
      <c r="CK10" s="2" t="n">
        <f aca="false">MIN(CK9+1,CJ10+1,CJ9+IF($A10=CK$4,0,1))</f>
        <v>84</v>
      </c>
      <c r="CL10" s="2" t="n">
        <f aca="false">MIN(CL9+1,CK10+1,CK9+IF($A10=CL$4,0,1))</f>
        <v>85</v>
      </c>
      <c r="CM10" s="2" t="n">
        <f aca="false">MIN(CM9+1,CL10+1,CL9+IF($A10=CM$4,0,1))</f>
        <v>86</v>
      </c>
      <c r="CN10" s="2" t="n">
        <f aca="false">MIN(CN9+1,CM10+1,CM9+IF($A10=CN$4,0,1))</f>
        <v>87</v>
      </c>
      <c r="CO10" s="2" t="n">
        <f aca="false">MIN(CO9+1,CN10+1,CN9+IF($A10=CO$4,0,1))</f>
        <v>88</v>
      </c>
      <c r="CP10" s="2" t="n">
        <f aca="false">MIN(CP9+1,CO10+1,CO9+IF($A10=CP$4,0,1))</f>
        <v>89</v>
      </c>
      <c r="CQ10" s="2" t="n">
        <f aca="false">MIN(CQ9+1,CP10+1,CP9+IF($A10=CQ$4,0,1))</f>
        <v>90</v>
      </c>
    </row>
    <row r="11" customFormat="false" ht="15" hidden="false" customHeight="false" outlineLevel="0" collapsed="false">
      <c r="A11" s="4" t="s">
        <v>66</v>
      </c>
      <c r="B11" s="12" t="n">
        <v>6</v>
      </c>
      <c r="C11" s="2" t="n">
        <f aca="false">MIN(C10+1,B11+1,B10+IF($A11=C$4,0,1))</f>
        <v>6</v>
      </c>
      <c r="D11" s="2" t="n">
        <f aca="false">MIN(D10+1,C11+1,C10+IF($A11=D$4,0,1))</f>
        <v>6</v>
      </c>
      <c r="E11" s="2" t="n">
        <f aca="false">MIN(E10+1,D11+1,D10+IF($A11=E$4,0,1))</f>
        <v>5</v>
      </c>
      <c r="F11" s="2" t="n">
        <f aca="false">MIN(F10+1,E11+1,E10+IF($A11=F$4,0,1))</f>
        <v>4</v>
      </c>
      <c r="G11" s="2" t="n">
        <f aca="false">MIN(G10+1,F11+1,F10+IF($A11=G$4,0,1))</f>
        <v>4</v>
      </c>
      <c r="H11" s="2" t="n">
        <f aca="false">MIN(H10+1,G11+1,G10+IF($A11=H$4,0,1))</f>
        <v>4</v>
      </c>
      <c r="I11" s="2" t="n">
        <f aca="false">MIN(I10+1,H11+1,H10+IF($A11=I$4,0,1))</f>
        <v>4</v>
      </c>
      <c r="J11" s="2" t="n">
        <f aca="false">MIN(J10+1,I11+1,I10+IF($A11=J$4,0,1))</f>
        <v>5</v>
      </c>
      <c r="K11" s="2" t="n">
        <f aca="false">MIN(K10+1,J11+1,J10+IF($A11=K$4,0,1))</f>
        <v>6</v>
      </c>
      <c r="L11" s="2" t="n">
        <f aca="false">MIN(L10+1,K11+1,K10+IF($A11=L$4,0,1))</f>
        <v>7</v>
      </c>
      <c r="M11" s="2" t="n">
        <f aca="false">MIN(M10+1,L11+1,L10+IF($A11=M$4,0,1))</f>
        <v>8</v>
      </c>
      <c r="N11" s="2" t="n">
        <f aca="false">MIN(N10+1,M11+1,M10+IF($A11=N$4,0,1))</f>
        <v>9</v>
      </c>
      <c r="O11" s="2" t="n">
        <f aca="false">MIN(O10+1,N11+1,N10+IF($A11=O$4,0,1))</f>
        <v>10</v>
      </c>
      <c r="P11" s="2" t="n">
        <f aca="false">MIN(P10+1,O11+1,O10+IF($A11=P$4,0,1))</f>
        <v>11</v>
      </c>
      <c r="Q11" s="2" t="n">
        <f aca="false">MIN(Q10+1,P11+1,P10+IF($A11=Q$4,0,1))</f>
        <v>12</v>
      </c>
      <c r="R11" s="2" t="n">
        <f aca="false">MIN(R10+1,Q11+1,Q10+IF($A11=R$4,0,1))</f>
        <v>13</v>
      </c>
      <c r="S11" s="2" t="n">
        <f aca="false">MIN(S10+1,R11+1,R10+IF($A11=S$4,0,1))</f>
        <v>14</v>
      </c>
      <c r="T11" s="2" t="n">
        <f aca="false">MIN(T10+1,S11+1,S10+IF($A11=T$4,0,1))</f>
        <v>15</v>
      </c>
      <c r="U11" s="2" t="n">
        <f aca="false">MIN(U10+1,T11+1,T10+IF($A11=U$4,0,1))</f>
        <v>16</v>
      </c>
      <c r="V11" s="2" t="n">
        <f aca="false">MIN(V10+1,U11+1,U10+IF($A11=V$4,0,1))</f>
        <v>17</v>
      </c>
      <c r="W11" s="2" t="n">
        <f aca="false">MIN(W10+1,V11+1,V10+IF($A11=W$4,0,1))</f>
        <v>18</v>
      </c>
      <c r="X11" s="2" t="n">
        <f aca="false">MIN(X10+1,W11+1,W10+IF($A11=X$4,0,1))</f>
        <v>19</v>
      </c>
      <c r="Y11" s="2" t="n">
        <f aca="false">MIN(Y10+1,X11+1,X10+IF($A11=Y$4,0,1))</f>
        <v>20</v>
      </c>
      <c r="Z11" s="2" t="n">
        <f aca="false">MIN(Z10+1,Y11+1,Y10+IF($A11=Z$4,0,1))</f>
        <v>21</v>
      </c>
      <c r="AA11" s="2" t="n">
        <f aca="false">MIN(AA10+1,Z11+1,Z10+IF($A11=AA$4,0,1))</f>
        <v>22</v>
      </c>
      <c r="AB11" s="2" t="n">
        <f aca="false">MIN(AB10+1,AA11+1,AA10+IF($A11=AB$4,0,1))</f>
        <v>23</v>
      </c>
      <c r="AC11" s="2" t="n">
        <f aca="false">MIN(AC10+1,AB11+1,AB10+IF($A11=AC$4,0,1))</f>
        <v>24</v>
      </c>
      <c r="AD11" s="2" t="n">
        <f aca="false">MIN(AD10+1,AC11+1,AC10+IF($A11=AD$4,0,1))</f>
        <v>25</v>
      </c>
      <c r="AE11" s="2" t="n">
        <f aca="false">MIN(AE10+1,AD11+1,AD10+IF($A11=AE$4,0,1))</f>
        <v>26</v>
      </c>
      <c r="AF11" s="2" t="n">
        <f aca="false">MIN(AF10+1,AE11+1,AE10+IF($A11=AF$4,0,1))</f>
        <v>27</v>
      </c>
      <c r="AG11" s="2" t="n">
        <f aca="false">MIN(AG10+1,AF11+1,AF10+IF($A11=AG$4,0,1))</f>
        <v>28</v>
      </c>
      <c r="AH11" s="2" t="n">
        <f aca="false">MIN(AH10+1,AG11+1,AG10+IF($A11=AH$4,0,1))</f>
        <v>29</v>
      </c>
      <c r="AI11" s="2" t="n">
        <f aca="false">MIN(AI10+1,AH11+1,AH10+IF($A11=AI$4,0,1))</f>
        <v>30</v>
      </c>
      <c r="AJ11" s="2" t="n">
        <f aca="false">MIN(AJ10+1,AI11+1,AI10+IF($A11=AJ$4,0,1))</f>
        <v>31</v>
      </c>
      <c r="AK11" s="2" t="n">
        <f aca="false">MIN(AK10+1,AJ11+1,AJ10+IF($A11=AK$4,0,1))</f>
        <v>32</v>
      </c>
      <c r="AL11" s="2" t="n">
        <f aca="false">MIN(AL10+1,AK11+1,AK10+IF($A11=AL$4,0,1))</f>
        <v>33</v>
      </c>
      <c r="AM11" s="2" t="n">
        <f aca="false">MIN(AM10+1,AL11+1,AL10+IF($A11=AM$4,0,1))</f>
        <v>34</v>
      </c>
      <c r="AN11" s="2" t="n">
        <f aca="false">MIN(AN10+1,AM11+1,AM10+IF($A11=AN$4,0,1))</f>
        <v>35</v>
      </c>
      <c r="AO11" s="2" t="n">
        <f aca="false">MIN(AO10+1,AN11+1,AN10+IF($A11=AO$4,0,1))</f>
        <v>36</v>
      </c>
      <c r="AP11" s="2" t="n">
        <f aca="false">MIN(AP10+1,AO11+1,AO10+IF($A11=AP$4,0,1))</f>
        <v>37</v>
      </c>
      <c r="AQ11" s="2" t="n">
        <f aca="false">MIN(AQ10+1,AP11+1,AP10+IF($A11=AQ$4,0,1))</f>
        <v>38</v>
      </c>
      <c r="AR11" s="2" t="n">
        <f aca="false">MIN(AR10+1,AQ11+1,AQ10+IF($A11=AR$4,0,1))</f>
        <v>39</v>
      </c>
      <c r="AS11" s="2" t="n">
        <f aca="false">MIN(AS10+1,AR11+1,AR10+IF($A11=AS$4,0,1))</f>
        <v>40</v>
      </c>
      <c r="AT11" s="2" t="n">
        <f aca="false">MIN(AT10+1,AS11+1,AS10+IF($A11=AT$4,0,1))</f>
        <v>41</v>
      </c>
      <c r="AU11" s="2" t="n">
        <f aca="false">MIN(AU10+1,AT11+1,AT10+IF($A11=AU$4,0,1))</f>
        <v>42</v>
      </c>
      <c r="AV11" s="2" t="n">
        <f aca="false">MIN(AV10+1,AU11+1,AU10+IF($A11=AV$4,0,1))</f>
        <v>43</v>
      </c>
      <c r="AW11" s="2" t="n">
        <f aca="false">MIN(AW10+1,AV11+1,AV10+IF($A11=AW$4,0,1))</f>
        <v>44</v>
      </c>
      <c r="AX11" s="2" t="n">
        <f aca="false">MIN(AX10+1,AW11+1,AW10+IF($A11=AX$4,0,1))</f>
        <v>45</v>
      </c>
      <c r="AY11" s="2" t="n">
        <f aca="false">MIN(AY10+1,AX11+1,AX10+IF($A11=AY$4,0,1))</f>
        <v>46</v>
      </c>
      <c r="AZ11" s="2" t="n">
        <f aca="false">MIN(AZ10+1,AY11+1,AY10+IF($A11=AZ$4,0,1))</f>
        <v>47</v>
      </c>
      <c r="BA11" s="2" t="n">
        <f aca="false">MIN(BA10+1,AZ11+1,AZ10+IF($A11=BA$4,0,1))</f>
        <v>48</v>
      </c>
      <c r="BB11" s="2" t="n">
        <f aca="false">MIN(BB10+1,BA11+1,BA10+IF($A11=BB$4,0,1))</f>
        <v>49</v>
      </c>
      <c r="BC11" s="2" t="n">
        <f aca="false">MIN(BC10+1,BB11+1,BB10+IF($A11=BC$4,0,1))</f>
        <v>49</v>
      </c>
      <c r="BD11" s="2" t="n">
        <f aca="false">MIN(BD10+1,BC11+1,BC10+IF($A11=BD$4,0,1))</f>
        <v>50</v>
      </c>
      <c r="BE11" s="2" t="n">
        <f aca="false">MIN(BE10+1,BD11+1,BD10+IF($A11=BE$4,0,1))</f>
        <v>51</v>
      </c>
      <c r="BF11" s="2" t="n">
        <f aca="false">MIN(BF10+1,BE11+1,BE10+IF($A11=BF$4,0,1))</f>
        <v>52</v>
      </c>
      <c r="BG11" s="2" t="n">
        <f aca="false">MIN(BG10+1,BF11+1,BF10+IF($A11=BG$4,0,1))</f>
        <v>53</v>
      </c>
      <c r="BH11" s="2" t="n">
        <f aca="false">MIN(BH10+1,BG11+1,BG10+IF($A11=BH$4,0,1))</f>
        <v>54</v>
      </c>
      <c r="BI11" s="2" t="n">
        <f aca="false">MIN(BI10+1,BH11+1,BH10+IF($A11=BI$4,0,1))</f>
        <v>55</v>
      </c>
      <c r="BJ11" s="2" t="n">
        <f aca="false">MIN(BJ10+1,BI11+1,BI10+IF($A11=BJ$4,0,1))</f>
        <v>56</v>
      </c>
      <c r="BK11" s="2" t="n">
        <f aca="false">MIN(BK10+1,BJ11+1,BJ10+IF($A11=BK$4,0,1))</f>
        <v>57</v>
      </c>
      <c r="BL11" s="2" t="n">
        <f aca="false">MIN(BL10+1,BK11+1,BK10+IF($A11=BL$4,0,1))</f>
        <v>58</v>
      </c>
      <c r="BM11" s="2" t="n">
        <f aca="false">MIN(BM10+1,BL11+1,BL10+IF($A11=BM$4,0,1))</f>
        <v>59</v>
      </c>
      <c r="BN11" s="2" t="n">
        <f aca="false">MIN(BN10+1,BM11+1,BM10+IF($A11=BN$4,0,1))</f>
        <v>60</v>
      </c>
      <c r="BO11" s="2" t="n">
        <f aca="false">MIN(BO10+1,BN11+1,BN10+IF($A11=BO$4,0,1))</f>
        <v>61</v>
      </c>
      <c r="BP11" s="2" t="n">
        <f aca="false">MIN(BP10+1,BO11+1,BO10+IF($A11=BP$4,0,1))</f>
        <v>62</v>
      </c>
      <c r="BQ11" s="2" t="n">
        <f aca="false">MIN(BQ10+1,BP11+1,BP10+IF($A11=BQ$4,0,1))</f>
        <v>63</v>
      </c>
      <c r="BR11" s="2" t="n">
        <f aca="false">MIN(BR10+1,BQ11+1,BQ10+IF($A11=BR$4,0,1))</f>
        <v>64</v>
      </c>
      <c r="BS11" s="2" t="n">
        <f aca="false">MIN(BS10+1,BR11+1,BR10+IF($A11=BS$4,0,1))</f>
        <v>65</v>
      </c>
      <c r="BT11" s="2" t="n">
        <f aca="false">MIN(BT10+1,BS11+1,BS10+IF($A11=BT$4,0,1))</f>
        <v>66</v>
      </c>
      <c r="BU11" s="2" t="n">
        <f aca="false">MIN(BU10+1,BT11+1,BT10+IF($A11=BU$4,0,1))</f>
        <v>67</v>
      </c>
      <c r="BV11" s="2" t="n">
        <f aca="false">MIN(BV10+1,BU11+1,BU10+IF($A11=BV$4,0,1))</f>
        <v>68</v>
      </c>
      <c r="BW11" s="2" t="n">
        <f aca="false">MIN(BW10+1,BV11+1,BV10+IF($A11=BW$4,0,1))</f>
        <v>69</v>
      </c>
      <c r="BX11" s="2" t="n">
        <f aca="false">MIN(BX10+1,BW11+1,BW10+IF($A11=BX$4,0,1))</f>
        <v>70</v>
      </c>
      <c r="BY11" s="2" t="n">
        <f aca="false">MIN(BY10+1,BX11+1,BX10+IF($A11=BY$4,0,1))</f>
        <v>71</v>
      </c>
      <c r="BZ11" s="2" t="n">
        <f aca="false">MIN(BZ10+1,BY11+1,BY10+IF($A11=BZ$4,0,1))</f>
        <v>72</v>
      </c>
      <c r="CA11" s="2" t="n">
        <f aca="false">MIN(CA10+1,BZ11+1,BZ10+IF($A11=CA$4,0,1))</f>
        <v>73</v>
      </c>
      <c r="CB11" s="2" t="n">
        <f aca="false">MIN(CB10+1,CA11+1,CA10+IF($A11=CB$4,0,1))</f>
        <v>74</v>
      </c>
      <c r="CC11" s="2" t="n">
        <f aca="false">MIN(CC10+1,CB11+1,CB10+IF($A11=CC$4,0,1))</f>
        <v>75</v>
      </c>
      <c r="CD11" s="2" t="n">
        <f aca="false">MIN(CD10+1,CC11+1,CC10+IF($A11=CD$4,0,1))</f>
        <v>76</v>
      </c>
      <c r="CE11" s="2" t="n">
        <f aca="false">MIN(CE10+1,CD11+1,CD10+IF($A11=CE$4,0,1))</f>
        <v>77</v>
      </c>
      <c r="CF11" s="2" t="n">
        <f aca="false">MIN(CF10+1,CE11+1,CE10+IF($A11=CF$4,0,1))</f>
        <v>78</v>
      </c>
      <c r="CG11" s="2" t="n">
        <f aca="false">MIN(CG10+1,CF11+1,CF10+IF($A11=CG$4,0,1))</f>
        <v>79</v>
      </c>
      <c r="CH11" s="2" t="n">
        <f aca="false">MIN(CH10+1,CG11+1,CG10+IF($A11=CH$4,0,1))</f>
        <v>80</v>
      </c>
      <c r="CI11" s="2" t="n">
        <f aca="false">MIN(CI10+1,CH11+1,CH10+IF($A11=CI$4,0,1))</f>
        <v>81</v>
      </c>
      <c r="CJ11" s="2" t="n">
        <f aca="false">MIN(CJ10+1,CI11+1,CI10+IF($A11=CJ$4,0,1))</f>
        <v>82</v>
      </c>
      <c r="CK11" s="2" t="n">
        <f aca="false">MIN(CK10+1,CJ11+1,CJ10+IF($A11=CK$4,0,1))</f>
        <v>83</v>
      </c>
      <c r="CL11" s="2" t="n">
        <f aca="false">MIN(CL10+1,CK11+1,CK10+IF($A11=CL$4,0,1))</f>
        <v>84</v>
      </c>
      <c r="CM11" s="2" t="n">
        <f aca="false">MIN(CM10+1,CL11+1,CL10+IF($A11=CM$4,0,1))</f>
        <v>85</v>
      </c>
      <c r="CN11" s="2" t="n">
        <f aca="false">MIN(CN10+1,CM11+1,CM10+IF($A11=CN$4,0,1))</f>
        <v>86</v>
      </c>
      <c r="CO11" s="2" t="n">
        <f aca="false">MIN(CO10+1,CN11+1,CN10+IF($A11=CO$4,0,1))</f>
        <v>87</v>
      </c>
      <c r="CP11" s="2" t="n">
        <f aca="false">MIN(CP10+1,CO11+1,CO10+IF($A11=CP$4,0,1))</f>
        <v>88</v>
      </c>
      <c r="CQ11" s="2" t="n">
        <f aca="false">MIN(CQ10+1,CP11+1,CP10+IF($A11=CQ$4,0,1))</f>
        <v>89</v>
      </c>
    </row>
    <row r="12" customFormat="false" ht="15" hidden="false" customHeight="false" outlineLevel="0" collapsed="false">
      <c r="A12" s="4" t="s">
        <v>67</v>
      </c>
      <c r="B12" s="12" t="n">
        <v>7</v>
      </c>
      <c r="C12" s="2" t="n">
        <f aca="false">MIN(C11+1,B12+1,B11+IF($A12=C$4,0,1))</f>
        <v>7</v>
      </c>
      <c r="D12" s="2" t="n">
        <f aca="false">MIN(D11+1,C12+1,C11+IF($A12=D$4,0,1))</f>
        <v>7</v>
      </c>
      <c r="E12" s="2" t="n">
        <f aca="false">MIN(E11+1,D12+1,D11+IF($A12=E$4,0,1))</f>
        <v>6</v>
      </c>
      <c r="F12" s="2" t="n">
        <f aca="false">MIN(F11+1,E12+1,E11+IF($A12=F$4,0,1))</f>
        <v>5</v>
      </c>
      <c r="G12" s="2" t="n">
        <f aca="false">MIN(G11+1,F12+1,F11+IF($A12=G$4,0,1))</f>
        <v>5</v>
      </c>
      <c r="H12" s="2" t="n">
        <f aca="false">MIN(H11+1,G12+1,G11+IF($A12=H$4,0,1))</f>
        <v>5</v>
      </c>
      <c r="I12" s="2" t="n">
        <f aca="false">MIN(I11+1,H12+1,H11+IF($A12=I$4,0,1))</f>
        <v>5</v>
      </c>
      <c r="J12" s="2" t="n">
        <f aca="false">MIN(J11+1,I12+1,I11+IF($A12=J$4,0,1))</f>
        <v>5</v>
      </c>
      <c r="K12" s="2" t="n">
        <f aca="false">MIN(K11+1,J12+1,J11+IF($A12=K$4,0,1))</f>
        <v>6</v>
      </c>
      <c r="L12" s="2" t="n">
        <f aca="false">MIN(L11+1,K12+1,K11+IF($A12=L$4,0,1))</f>
        <v>7</v>
      </c>
      <c r="M12" s="2" t="n">
        <f aca="false">MIN(M11+1,L12+1,L11+IF($A12=M$4,0,1))</f>
        <v>8</v>
      </c>
      <c r="N12" s="2" t="n">
        <f aca="false">MIN(N11+1,M12+1,M11+IF($A12=N$4,0,1))</f>
        <v>9</v>
      </c>
      <c r="O12" s="2" t="n">
        <f aca="false">MIN(O11+1,N12+1,N11+IF($A12=O$4,0,1))</f>
        <v>10</v>
      </c>
      <c r="P12" s="2" t="n">
        <f aca="false">MIN(P11+1,O12+1,O11+IF($A12=P$4,0,1))</f>
        <v>11</v>
      </c>
      <c r="Q12" s="2" t="n">
        <f aca="false">MIN(Q11+1,P12+1,P11+IF($A12=Q$4,0,1))</f>
        <v>12</v>
      </c>
      <c r="R12" s="2" t="n">
        <f aca="false">MIN(R11+1,Q12+1,Q11+IF($A12=R$4,0,1))</f>
        <v>13</v>
      </c>
      <c r="S12" s="2" t="n">
        <f aca="false">MIN(S11+1,R12+1,R11+IF($A12=S$4,0,1))</f>
        <v>14</v>
      </c>
      <c r="T12" s="2" t="n">
        <f aca="false">MIN(T11+1,S12+1,S11+IF($A12=T$4,0,1))</f>
        <v>15</v>
      </c>
      <c r="U12" s="2" t="n">
        <f aca="false">MIN(U11+1,T12+1,T11+IF($A12=U$4,0,1))</f>
        <v>16</v>
      </c>
      <c r="V12" s="2" t="n">
        <f aca="false">MIN(V11+1,U12+1,U11+IF($A12=V$4,0,1))</f>
        <v>17</v>
      </c>
      <c r="W12" s="2" t="n">
        <f aca="false">MIN(W11+1,V12+1,V11+IF($A12=W$4,0,1))</f>
        <v>18</v>
      </c>
      <c r="X12" s="2" t="n">
        <f aca="false">MIN(X11+1,W12+1,W11+IF($A12=X$4,0,1))</f>
        <v>19</v>
      </c>
      <c r="Y12" s="2" t="n">
        <f aca="false">MIN(Y11+1,X12+1,X11+IF($A12=Y$4,0,1))</f>
        <v>20</v>
      </c>
      <c r="Z12" s="2" t="n">
        <f aca="false">MIN(Z11+1,Y12+1,Y11+IF($A12=Z$4,0,1))</f>
        <v>21</v>
      </c>
      <c r="AA12" s="2" t="n">
        <f aca="false">MIN(AA11+1,Z12+1,Z11+IF($A12=AA$4,0,1))</f>
        <v>22</v>
      </c>
      <c r="AB12" s="2" t="n">
        <f aca="false">MIN(AB11+1,AA12+1,AA11+IF($A12=AB$4,0,1))</f>
        <v>23</v>
      </c>
      <c r="AC12" s="2" t="n">
        <f aca="false">MIN(AC11+1,AB12+1,AB11+IF($A12=AC$4,0,1))</f>
        <v>24</v>
      </c>
      <c r="AD12" s="2" t="n">
        <f aca="false">MIN(AD11+1,AC12+1,AC11+IF($A12=AD$4,0,1))</f>
        <v>25</v>
      </c>
      <c r="AE12" s="2" t="n">
        <f aca="false">MIN(AE11+1,AD12+1,AD11+IF($A12=AE$4,0,1))</f>
        <v>26</v>
      </c>
      <c r="AF12" s="2" t="n">
        <f aca="false">MIN(AF11+1,AE12+1,AE11+IF($A12=AF$4,0,1))</f>
        <v>27</v>
      </c>
      <c r="AG12" s="2" t="n">
        <f aca="false">MIN(AG11+1,AF12+1,AF11+IF($A12=AG$4,0,1))</f>
        <v>28</v>
      </c>
      <c r="AH12" s="2" t="n">
        <f aca="false">MIN(AH11+1,AG12+1,AG11+IF($A12=AH$4,0,1))</f>
        <v>29</v>
      </c>
      <c r="AI12" s="2" t="n">
        <f aca="false">MIN(AI11+1,AH12+1,AH11+IF($A12=AI$4,0,1))</f>
        <v>30</v>
      </c>
      <c r="AJ12" s="2" t="n">
        <f aca="false">MIN(AJ11+1,AI12+1,AI11+IF($A12=AJ$4,0,1))</f>
        <v>31</v>
      </c>
      <c r="AK12" s="2" t="n">
        <f aca="false">MIN(AK11+1,AJ12+1,AJ11+IF($A12=AK$4,0,1))</f>
        <v>32</v>
      </c>
      <c r="AL12" s="2" t="n">
        <f aca="false">MIN(AL11+1,AK12+1,AK11+IF($A12=AL$4,0,1))</f>
        <v>33</v>
      </c>
      <c r="AM12" s="2" t="n">
        <f aca="false">MIN(AM11+1,AL12+1,AL11+IF($A12=AM$4,0,1))</f>
        <v>34</v>
      </c>
      <c r="AN12" s="2" t="n">
        <f aca="false">MIN(AN11+1,AM12+1,AM11+IF($A12=AN$4,0,1))</f>
        <v>35</v>
      </c>
      <c r="AO12" s="2" t="n">
        <f aca="false">MIN(AO11+1,AN12+1,AN11+IF($A12=AO$4,0,1))</f>
        <v>36</v>
      </c>
      <c r="AP12" s="2" t="n">
        <f aca="false">MIN(AP11+1,AO12+1,AO11+IF($A12=AP$4,0,1))</f>
        <v>37</v>
      </c>
      <c r="AQ12" s="2" t="n">
        <f aca="false">MIN(AQ11+1,AP12+1,AP11+IF($A12=AQ$4,0,1))</f>
        <v>38</v>
      </c>
      <c r="AR12" s="2" t="n">
        <f aca="false">MIN(AR11+1,AQ12+1,AQ11+IF($A12=AR$4,0,1))</f>
        <v>39</v>
      </c>
      <c r="AS12" s="2" t="n">
        <f aca="false">MIN(AS11+1,AR12+1,AR11+IF($A12=AS$4,0,1))</f>
        <v>40</v>
      </c>
      <c r="AT12" s="2" t="n">
        <f aca="false">MIN(AT11+1,AS12+1,AS11+IF($A12=AT$4,0,1))</f>
        <v>41</v>
      </c>
      <c r="AU12" s="2" t="n">
        <f aca="false">MIN(AU11+1,AT12+1,AT11+IF($A12=AU$4,0,1))</f>
        <v>42</v>
      </c>
      <c r="AV12" s="2" t="n">
        <f aca="false">MIN(AV11+1,AU12+1,AU11+IF($A12=AV$4,0,1))</f>
        <v>43</v>
      </c>
      <c r="AW12" s="2" t="n">
        <f aca="false">MIN(AW11+1,AV12+1,AV11+IF($A12=AW$4,0,1))</f>
        <v>44</v>
      </c>
      <c r="AX12" s="2" t="n">
        <f aca="false">MIN(AX11+1,AW12+1,AW11+IF($A12=AX$4,0,1))</f>
        <v>45</v>
      </c>
      <c r="AY12" s="2" t="n">
        <f aca="false">MIN(AY11+1,AX12+1,AX11+IF($A12=AY$4,0,1))</f>
        <v>46</v>
      </c>
      <c r="AZ12" s="2" t="n">
        <f aca="false">MIN(AZ11+1,AY12+1,AY11+IF($A12=AZ$4,0,1))</f>
        <v>47</v>
      </c>
      <c r="BA12" s="2" t="n">
        <f aca="false">MIN(BA11+1,AZ12+1,AZ11+IF($A12=BA$4,0,1))</f>
        <v>48</v>
      </c>
      <c r="BB12" s="2" t="n">
        <f aca="false">MIN(BB11+1,BA12+1,BA11+IF($A12=BB$4,0,1))</f>
        <v>49</v>
      </c>
      <c r="BC12" s="2" t="n">
        <f aca="false">MIN(BC11+1,BB12+1,BB11+IF($A12=BC$4,0,1))</f>
        <v>50</v>
      </c>
      <c r="BD12" s="2" t="n">
        <f aca="false">MIN(BD11+1,BC12+1,BC11+IF($A12=BD$4,0,1))</f>
        <v>50</v>
      </c>
      <c r="BE12" s="2" t="n">
        <f aca="false">MIN(BE11+1,BD12+1,BD11+IF($A12=BE$4,0,1))</f>
        <v>51</v>
      </c>
      <c r="BF12" s="2" t="n">
        <f aca="false">MIN(BF11+1,BE12+1,BE11+IF($A12=BF$4,0,1))</f>
        <v>52</v>
      </c>
      <c r="BG12" s="2" t="n">
        <f aca="false">MIN(BG11+1,BF12+1,BF11+IF($A12=BG$4,0,1))</f>
        <v>53</v>
      </c>
      <c r="BH12" s="2" t="n">
        <f aca="false">MIN(BH11+1,BG12+1,BG11+IF($A12=BH$4,0,1))</f>
        <v>54</v>
      </c>
      <c r="BI12" s="2" t="n">
        <f aca="false">MIN(BI11+1,BH12+1,BH11+IF($A12=BI$4,0,1))</f>
        <v>55</v>
      </c>
      <c r="BJ12" s="2" t="n">
        <f aca="false">MIN(BJ11+1,BI12+1,BI11+IF($A12=BJ$4,0,1))</f>
        <v>56</v>
      </c>
      <c r="BK12" s="2" t="n">
        <f aca="false">MIN(BK11+1,BJ12+1,BJ11+IF($A12=BK$4,0,1))</f>
        <v>57</v>
      </c>
      <c r="BL12" s="2" t="n">
        <f aca="false">MIN(BL11+1,BK12+1,BK11+IF($A12=BL$4,0,1))</f>
        <v>58</v>
      </c>
      <c r="BM12" s="2" t="n">
        <f aca="false">MIN(BM11+1,BL12+1,BL11+IF($A12=BM$4,0,1))</f>
        <v>59</v>
      </c>
      <c r="BN12" s="2" t="n">
        <f aca="false">MIN(BN11+1,BM12+1,BM11+IF($A12=BN$4,0,1))</f>
        <v>60</v>
      </c>
      <c r="BO12" s="2" t="n">
        <f aca="false">MIN(BO11+1,BN12+1,BN11+IF($A12=BO$4,0,1))</f>
        <v>61</v>
      </c>
      <c r="BP12" s="2" t="n">
        <f aca="false">MIN(BP11+1,BO12+1,BO11+IF($A12=BP$4,0,1))</f>
        <v>62</v>
      </c>
      <c r="BQ12" s="2" t="n">
        <f aca="false">MIN(BQ11+1,BP12+1,BP11+IF($A12=BQ$4,0,1))</f>
        <v>63</v>
      </c>
      <c r="BR12" s="2" t="n">
        <f aca="false">MIN(BR11+1,BQ12+1,BQ11+IF($A12=BR$4,0,1))</f>
        <v>64</v>
      </c>
      <c r="BS12" s="2" t="n">
        <f aca="false">MIN(BS11+1,BR12+1,BR11+IF($A12=BS$4,0,1))</f>
        <v>65</v>
      </c>
      <c r="BT12" s="2" t="n">
        <f aca="false">MIN(BT11+1,BS12+1,BS11+IF($A12=BT$4,0,1))</f>
        <v>66</v>
      </c>
      <c r="BU12" s="2" t="n">
        <f aca="false">MIN(BU11+1,BT12+1,BT11+IF($A12=BU$4,0,1))</f>
        <v>67</v>
      </c>
      <c r="BV12" s="2" t="n">
        <f aca="false">MIN(BV11+1,BU12+1,BU11+IF($A12=BV$4,0,1))</f>
        <v>68</v>
      </c>
      <c r="BW12" s="2" t="n">
        <f aca="false">MIN(BW11+1,BV12+1,BV11+IF($A12=BW$4,0,1))</f>
        <v>69</v>
      </c>
      <c r="BX12" s="2" t="n">
        <f aca="false">MIN(BX11+1,BW12+1,BW11+IF($A12=BX$4,0,1))</f>
        <v>70</v>
      </c>
      <c r="BY12" s="2" t="n">
        <f aca="false">MIN(BY11+1,BX12+1,BX11+IF($A12=BY$4,0,1))</f>
        <v>71</v>
      </c>
      <c r="BZ12" s="2" t="n">
        <f aca="false">MIN(BZ11+1,BY12+1,BY11+IF($A12=BZ$4,0,1))</f>
        <v>72</v>
      </c>
      <c r="CA12" s="2" t="n">
        <f aca="false">MIN(CA11+1,BZ12+1,BZ11+IF($A12=CA$4,0,1))</f>
        <v>73</v>
      </c>
      <c r="CB12" s="2" t="n">
        <f aca="false">MIN(CB11+1,CA12+1,CA11+IF($A12=CB$4,0,1))</f>
        <v>74</v>
      </c>
      <c r="CC12" s="2" t="n">
        <f aca="false">MIN(CC11+1,CB12+1,CB11+IF($A12=CC$4,0,1))</f>
        <v>75</v>
      </c>
      <c r="CD12" s="2" t="n">
        <f aca="false">MIN(CD11+1,CC12+1,CC11+IF($A12=CD$4,0,1))</f>
        <v>76</v>
      </c>
      <c r="CE12" s="2" t="n">
        <f aca="false">MIN(CE11+1,CD12+1,CD11+IF($A12=CE$4,0,1))</f>
        <v>77</v>
      </c>
      <c r="CF12" s="2" t="n">
        <f aca="false">MIN(CF11+1,CE12+1,CE11+IF($A12=CF$4,0,1))</f>
        <v>78</v>
      </c>
      <c r="CG12" s="2" t="n">
        <f aca="false">MIN(CG11+1,CF12+1,CF11+IF($A12=CG$4,0,1))</f>
        <v>79</v>
      </c>
      <c r="CH12" s="2" t="n">
        <f aca="false">MIN(CH11+1,CG12+1,CG11+IF($A12=CH$4,0,1))</f>
        <v>80</v>
      </c>
      <c r="CI12" s="2" t="n">
        <f aca="false">MIN(CI11+1,CH12+1,CH11+IF($A12=CI$4,0,1))</f>
        <v>81</v>
      </c>
      <c r="CJ12" s="2" t="n">
        <f aca="false">MIN(CJ11+1,CI12+1,CI11+IF($A12=CJ$4,0,1))</f>
        <v>82</v>
      </c>
      <c r="CK12" s="2" t="n">
        <f aca="false">MIN(CK11+1,CJ12+1,CJ11+IF($A12=CK$4,0,1))</f>
        <v>83</v>
      </c>
      <c r="CL12" s="2" t="n">
        <f aca="false">MIN(CL11+1,CK12+1,CK11+IF($A12=CL$4,0,1))</f>
        <v>84</v>
      </c>
      <c r="CM12" s="2" t="n">
        <f aca="false">MIN(CM11+1,CL12+1,CL11+IF($A12=CM$4,0,1))</f>
        <v>85</v>
      </c>
      <c r="CN12" s="2" t="n">
        <f aca="false">MIN(CN11+1,CM12+1,CM11+IF($A12=CN$4,0,1))</f>
        <v>86</v>
      </c>
      <c r="CO12" s="2" t="n">
        <f aca="false">MIN(CO11+1,CN12+1,CN11+IF($A12=CO$4,0,1))</f>
        <v>87</v>
      </c>
      <c r="CP12" s="2" t="n">
        <f aca="false">MIN(CP11+1,CO12+1,CO11+IF($A12=CP$4,0,1))</f>
        <v>88</v>
      </c>
      <c r="CQ12" s="2" t="n">
        <f aca="false">MIN(CQ11+1,CP12+1,CP11+IF($A12=CQ$4,0,1))</f>
        <v>89</v>
      </c>
    </row>
    <row r="13" customFormat="false" ht="15" hidden="false" customHeight="false" outlineLevel="0" collapsed="false">
      <c r="A13" s="4" t="s">
        <v>92</v>
      </c>
      <c r="B13" s="12" t="n">
        <v>8</v>
      </c>
      <c r="C13" s="2" t="n">
        <f aca="false">MIN(C12+1,B13+1,B12+IF($A13=C$4,0,1))</f>
        <v>8</v>
      </c>
      <c r="D13" s="2" t="n">
        <f aca="false">MIN(D12+1,C13+1,C12+IF($A13=D$4,0,1))</f>
        <v>8</v>
      </c>
      <c r="E13" s="2" t="n">
        <f aca="false">MIN(E12+1,D13+1,D12+IF($A13=E$4,0,1))</f>
        <v>7</v>
      </c>
      <c r="F13" s="2" t="n">
        <f aca="false">MIN(F12+1,E13+1,E12+IF($A13=F$4,0,1))</f>
        <v>6</v>
      </c>
      <c r="G13" s="2" t="n">
        <f aca="false">MIN(G12+1,F13+1,F12+IF($A13=G$4,0,1))</f>
        <v>6</v>
      </c>
      <c r="H13" s="2" t="n">
        <f aca="false">MIN(H12+1,G13+1,G12+IF($A13=H$4,0,1))</f>
        <v>6</v>
      </c>
      <c r="I13" s="2" t="n">
        <f aca="false">MIN(I12+1,H13+1,H12+IF($A13=I$4,0,1))</f>
        <v>6</v>
      </c>
      <c r="J13" s="2" t="n">
        <f aca="false">MIN(J12+1,I13+1,I12+IF($A13=J$4,0,1))</f>
        <v>6</v>
      </c>
      <c r="K13" s="2" t="n">
        <f aca="false">MIN(K12+1,J13+1,J12+IF($A13=K$4,0,1))</f>
        <v>6</v>
      </c>
      <c r="L13" s="2" t="n">
        <f aca="false">MIN(L12+1,K13+1,K12+IF($A13=L$4,0,1))</f>
        <v>7</v>
      </c>
      <c r="M13" s="2" t="n">
        <f aca="false">MIN(M12+1,L13+1,L12+IF($A13=M$4,0,1))</f>
        <v>8</v>
      </c>
      <c r="N13" s="2" t="n">
        <f aca="false">MIN(N12+1,M13+1,M12+IF($A13=N$4,0,1))</f>
        <v>8</v>
      </c>
      <c r="O13" s="2" t="n">
        <f aca="false">MIN(O12+1,N13+1,N12+IF($A13=O$4,0,1))</f>
        <v>9</v>
      </c>
      <c r="P13" s="2" t="n">
        <f aca="false">MIN(P12+1,O13+1,O12+IF($A13=P$4,0,1))</f>
        <v>10</v>
      </c>
      <c r="Q13" s="2" t="n">
        <f aca="false">MIN(Q12+1,P13+1,P12+IF($A13=Q$4,0,1))</f>
        <v>11</v>
      </c>
      <c r="R13" s="2" t="n">
        <f aca="false">MIN(R12+1,Q13+1,Q12+IF($A13=R$4,0,1))</f>
        <v>12</v>
      </c>
      <c r="S13" s="2" t="n">
        <f aca="false">MIN(S12+1,R13+1,R12+IF($A13=S$4,0,1))</f>
        <v>13</v>
      </c>
      <c r="T13" s="2" t="n">
        <f aca="false">MIN(T12+1,S13+1,S12+IF($A13=T$4,0,1))</f>
        <v>14</v>
      </c>
      <c r="U13" s="2" t="n">
        <f aca="false">MIN(U12+1,T13+1,T12+IF($A13=U$4,0,1))</f>
        <v>15</v>
      </c>
      <c r="V13" s="2" t="n">
        <f aca="false">MIN(V12+1,U13+1,U12+IF($A13=V$4,0,1))</f>
        <v>16</v>
      </c>
      <c r="W13" s="2" t="n">
        <f aca="false">MIN(W12+1,V13+1,V12+IF($A13=W$4,0,1))</f>
        <v>17</v>
      </c>
      <c r="X13" s="2" t="n">
        <f aca="false">MIN(X12+1,W13+1,W12+IF($A13=X$4,0,1))</f>
        <v>18</v>
      </c>
      <c r="Y13" s="2" t="n">
        <f aca="false">MIN(Y12+1,X13+1,X12+IF($A13=Y$4,0,1))</f>
        <v>19</v>
      </c>
      <c r="Z13" s="2" t="n">
        <f aca="false">MIN(Z12+1,Y13+1,Y12+IF($A13=Z$4,0,1))</f>
        <v>20</v>
      </c>
      <c r="AA13" s="2" t="n">
        <f aca="false">MIN(AA12+1,Z13+1,Z12+IF($A13=AA$4,0,1))</f>
        <v>21</v>
      </c>
      <c r="AB13" s="2" t="n">
        <f aca="false">MIN(AB12+1,AA13+1,AA12+IF($A13=AB$4,0,1))</f>
        <v>22</v>
      </c>
      <c r="AC13" s="2" t="n">
        <f aca="false">MIN(AC12+1,AB13+1,AB12+IF($A13=AC$4,0,1))</f>
        <v>23</v>
      </c>
      <c r="AD13" s="2" t="n">
        <f aca="false">MIN(AD12+1,AC13+1,AC12+IF($A13=AD$4,0,1))</f>
        <v>24</v>
      </c>
      <c r="AE13" s="2" t="n">
        <f aca="false">MIN(AE12+1,AD13+1,AD12+IF($A13=AE$4,0,1))</f>
        <v>25</v>
      </c>
      <c r="AF13" s="2" t="n">
        <f aca="false">MIN(AF12+1,AE13+1,AE12+IF($A13=AF$4,0,1))</f>
        <v>26</v>
      </c>
      <c r="AG13" s="2" t="n">
        <f aca="false">MIN(AG12+1,AF13+1,AF12+IF($A13=AG$4,0,1))</f>
        <v>27</v>
      </c>
      <c r="AH13" s="2" t="n">
        <f aca="false">MIN(AH12+1,AG13+1,AG12+IF($A13=AH$4,0,1))</f>
        <v>28</v>
      </c>
      <c r="AI13" s="2" t="n">
        <f aca="false">MIN(AI12+1,AH13+1,AH12+IF($A13=AI$4,0,1))</f>
        <v>29</v>
      </c>
      <c r="AJ13" s="2" t="n">
        <f aca="false">MIN(AJ12+1,AI13+1,AI12+IF($A13=AJ$4,0,1))</f>
        <v>30</v>
      </c>
      <c r="AK13" s="2" t="n">
        <f aca="false">MIN(AK12+1,AJ13+1,AJ12+IF($A13=AK$4,0,1))</f>
        <v>31</v>
      </c>
      <c r="AL13" s="2" t="n">
        <f aca="false">MIN(AL12+1,AK13+1,AK12+IF($A13=AL$4,0,1))</f>
        <v>32</v>
      </c>
      <c r="AM13" s="2" t="n">
        <f aca="false">MIN(AM12+1,AL13+1,AL12+IF($A13=AM$4,0,1))</f>
        <v>33</v>
      </c>
      <c r="AN13" s="2" t="n">
        <f aca="false">MIN(AN12+1,AM13+1,AM12+IF($A13=AN$4,0,1))</f>
        <v>34</v>
      </c>
      <c r="AO13" s="2" t="n">
        <f aca="false">MIN(AO12+1,AN13+1,AN12+IF($A13=AO$4,0,1))</f>
        <v>35</v>
      </c>
      <c r="AP13" s="2" t="n">
        <f aca="false">MIN(AP12+1,AO13+1,AO12+IF($A13=AP$4,0,1))</f>
        <v>36</v>
      </c>
      <c r="AQ13" s="2" t="n">
        <f aca="false">MIN(AQ12+1,AP13+1,AP12+IF($A13=AQ$4,0,1))</f>
        <v>37</v>
      </c>
      <c r="AR13" s="2" t="n">
        <f aca="false">MIN(AR12+1,AQ13+1,AQ12+IF($A13=AR$4,0,1))</f>
        <v>38</v>
      </c>
      <c r="AS13" s="2" t="n">
        <f aca="false">MIN(AS12+1,AR13+1,AR12+IF($A13=AS$4,0,1))</f>
        <v>39</v>
      </c>
      <c r="AT13" s="2" t="n">
        <f aca="false">MIN(AT12+1,AS13+1,AS12+IF($A13=AT$4,0,1))</f>
        <v>40</v>
      </c>
      <c r="AU13" s="2" t="n">
        <f aca="false">MIN(AU12+1,AT13+1,AT12+IF($A13=AU$4,0,1))</f>
        <v>41</v>
      </c>
      <c r="AV13" s="2" t="n">
        <f aca="false">MIN(AV12+1,AU13+1,AU12+IF($A13=AV$4,0,1))</f>
        <v>42</v>
      </c>
      <c r="AW13" s="2" t="n">
        <f aca="false">MIN(AW12+1,AV13+1,AV12+IF($A13=AW$4,0,1))</f>
        <v>43</v>
      </c>
      <c r="AX13" s="2" t="n">
        <f aca="false">MIN(AX12+1,AW13+1,AW12+IF($A13=AX$4,0,1))</f>
        <v>44</v>
      </c>
      <c r="AY13" s="2" t="n">
        <f aca="false">MIN(AY12+1,AX13+1,AX12+IF($A13=AY$4,0,1))</f>
        <v>45</v>
      </c>
      <c r="AZ13" s="2" t="n">
        <f aca="false">MIN(AZ12+1,AY13+1,AY12+IF($A13=AZ$4,0,1))</f>
        <v>46</v>
      </c>
      <c r="BA13" s="2" t="n">
        <f aca="false">MIN(BA12+1,AZ13+1,AZ12+IF($A13=BA$4,0,1))</f>
        <v>47</v>
      </c>
      <c r="BB13" s="2" t="n">
        <f aca="false">MIN(BB12+1,BA13+1,BA12+IF($A13=BB$4,0,1))</f>
        <v>48</v>
      </c>
      <c r="BC13" s="2" t="n">
        <f aca="false">MIN(BC12+1,BB13+1,BB12+IF($A13=BC$4,0,1))</f>
        <v>49</v>
      </c>
      <c r="BD13" s="2" t="n">
        <f aca="false">MIN(BD12+1,BC13+1,BC12+IF($A13=BD$4,0,1))</f>
        <v>50</v>
      </c>
      <c r="BE13" s="2" t="n">
        <f aca="false">MIN(BE12+1,BD13+1,BD12+IF($A13=BE$4,0,1))</f>
        <v>51</v>
      </c>
      <c r="BF13" s="2" t="n">
        <f aca="false">MIN(BF12+1,BE13+1,BE12+IF($A13=BF$4,0,1))</f>
        <v>52</v>
      </c>
      <c r="BG13" s="2" t="n">
        <f aca="false">MIN(BG12+1,BF13+1,BF12+IF($A13=BG$4,0,1))</f>
        <v>53</v>
      </c>
      <c r="BH13" s="2" t="n">
        <f aca="false">MIN(BH12+1,BG13+1,BG12+IF($A13=BH$4,0,1))</f>
        <v>54</v>
      </c>
      <c r="BI13" s="2" t="n">
        <f aca="false">MIN(BI12+1,BH13+1,BH12+IF($A13=BI$4,0,1))</f>
        <v>54</v>
      </c>
      <c r="BJ13" s="2" t="n">
        <f aca="false">MIN(BJ12+1,BI13+1,BI12+IF($A13=BJ$4,0,1))</f>
        <v>55</v>
      </c>
      <c r="BK13" s="2" t="n">
        <f aca="false">MIN(BK12+1,BJ13+1,BJ12+IF($A13=BK$4,0,1))</f>
        <v>56</v>
      </c>
      <c r="BL13" s="2" t="n">
        <f aca="false">MIN(BL12+1,BK13+1,BK12+IF($A13=BL$4,0,1))</f>
        <v>57</v>
      </c>
      <c r="BM13" s="2" t="n">
        <f aca="false">MIN(BM12+1,BL13+1,BL12+IF($A13=BM$4,0,1))</f>
        <v>58</v>
      </c>
      <c r="BN13" s="2" t="n">
        <f aca="false">MIN(BN12+1,BM13+1,BM12+IF($A13=BN$4,0,1))</f>
        <v>59</v>
      </c>
      <c r="BO13" s="2" t="n">
        <f aca="false">MIN(BO12+1,BN13+1,BN12+IF($A13=BO$4,0,1))</f>
        <v>60</v>
      </c>
      <c r="BP13" s="2" t="n">
        <f aca="false">MIN(BP12+1,BO13+1,BO12+IF($A13=BP$4,0,1))</f>
        <v>61</v>
      </c>
      <c r="BQ13" s="2" t="n">
        <f aca="false">MIN(BQ12+1,BP13+1,BP12+IF($A13=BQ$4,0,1))</f>
        <v>62</v>
      </c>
      <c r="BR13" s="2" t="n">
        <f aca="false">MIN(BR12+1,BQ13+1,BQ12+IF($A13=BR$4,0,1))</f>
        <v>63</v>
      </c>
      <c r="BS13" s="2" t="n">
        <f aca="false">MIN(BS12+1,BR13+1,BR12+IF($A13=BS$4,0,1))</f>
        <v>64</v>
      </c>
      <c r="BT13" s="2" t="n">
        <f aca="false">MIN(BT12+1,BS13+1,BS12+IF($A13=BT$4,0,1))</f>
        <v>65</v>
      </c>
      <c r="BU13" s="2" t="n">
        <f aca="false">MIN(BU12+1,BT13+1,BT12+IF($A13=BU$4,0,1))</f>
        <v>66</v>
      </c>
      <c r="BV13" s="2" t="n">
        <f aca="false">MIN(BV12+1,BU13+1,BU12+IF($A13=BV$4,0,1))</f>
        <v>67</v>
      </c>
      <c r="BW13" s="2" t="n">
        <f aca="false">MIN(BW12+1,BV13+1,BV12+IF($A13=BW$4,0,1))</f>
        <v>68</v>
      </c>
      <c r="BX13" s="2" t="n">
        <f aca="false">MIN(BX12+1,BW13+1,BW12+IF($A13=BX$4,0,1))</f>
        <v>69</v>
      </c>
      <c r="BY13" s="2" t="n">
        <f aca="false">MIN(BY12+1,BX13+1,BX12+IF($A13=BY$4,0,1))</f>
        <v>70</v>
      </c>
      <c r="BZ13" s="2" t="n">
        <f aca="false">MIN(BZ12+1,BY13+1,BY12+IF($A13=BZ$4,0,1))</f>
        <v>71</v>
      </c>
      <c r="CA13" s="2" t="n">
        <f aca="false">MIN(CA12+1,BZ13+1,BZ12+IF($A13=CA$4,0,1))</f>
        <v>72</v>
      </c>
      <c r="CB13" s="2" t="n">
        <f aca="false">MIN(CB12+1,CA13+1,CA12+IF($A13=CB$4,0,1))</f>
        <v>73</v>
      </c>
      <c r="CC13" s="2" t="n">
        <f aca="false">MIN(CC12+1,CB13+1,CB12+IF($A13=CC$4,0,1))</f>
        <v>74</v>
      </c>
      <c r="CD13" s="2" t="n">
        <f aca="false">MIN(CD12+1,CC13+1,CC12+IF($A13=CD$4,0,1))</f>
        <v>75</v>
      </c>
      <c r="CE13" s="2" t="n">
        <f aca="false">MIN(CE12+1,CD13+1,CD12+IF($A13=CE$4,0,1))</f>
        <v>76</v>
      </c>
      <c r="CF13" s="2" t="n">
        <f aca="false">MIN(CF12+1,CE13+1,CE12+IF($A13=CF$4,0,1))</f>
        <v>77</v>
      </c>
      <c r="CG13" s="2" t="n">
        <f aca="false">MIN(CG12+1,CF13+1,CF12+IF($A13=CG$4,0,1))</f>
        <v>78</v>
      </c>
      <c r="CH13" s="2" t="n">
        <f aca="false">MIN(CH12+1,CG13+1,CG12+IF($A13=CH$4,0,1))</f>
        <v>79</v>
      </c>
      <c r="CI13" s="2" t="n">
        <f aca="false">MIN(CI12+1,CH13+1,CH12+IF($A13=CI$4,0,1))</f>
        <v>80</v>
      </c>
      <c r="CJ13" s="2" t="n">
        <f aca="false">MIN(CJ12+1,CI13+1,CI12+IF($A13=CJ$4,0,1))</f>
        <v>81</v>
      </c>
      <c r="CK13" s="2" t="n">
        <f aca="false">MIN(CK12+1,CJ13+1,CJ12+IF($A13=CK$4,0,1))</f>
        <v>82</v>
      </c>
      <c r="CL13" s="2" t="n">
        <f aca="false">MIN(CL12+1,CK13+1,CK12+IF($A13=CL$4,0,1))</f>
        <v>83</v>
      </c>
      <c r="CM13" s="2" t="n">
        <f aca="false">MIN(CM12+1,CL13+1,CL12+IF($A13=CM$4,0,1))</f>
        <v>84</v>
      </c>
      <c r="CN13" s="2" t="n">
        <f aca="false">MIN(CN12+1,CM13+1,CM12+IF($A13=CN$4,0,1))</f>
        <v>85</v>
      </c>
      <c r="CO13" s="2" t="n">
        <f aca="false">MIN(CO12+1,CN13+1,CN12+IF($A13=CO$4,0,1))</f>
        <v>86</v>
      </c>
      <c r="CP13" s="2" t="n">
        <f aca="false">MIN(CP12+1,CO13+1,CO12+IF($A13=CP$4,0,1))</f>
        <v>87</v>
      </c>
      <c r="CQ13" s="2" t="n">
        <f aca="false">MIN(CQ12+1,CP13+1,CP12+IF($A13=CQ$4,0,1))</f>
        <v>88</v>
      </c>
    </row>
    <row r="14" customFormat="false" ht="15" hidden="false" customHeight="false" outlineLevel="0" collapsed="false">
      <c r="A14" s="4" t="s">
        <v>149</v>
      </c>
      <c r="B14" s="12" t="n">
        <v>9</v>
      </c>
      <c r="C14" s="2" t="n">
        <f aca="false">MIN(C13+1,B14+1,B13+IF($A14=C$4,0,1))</f>
        <v>9</v>
      </c>
      <c r="D14" s="2" t="n">
        <f aca="false">MIN(D13+1,C14+1,C13+IF($A14=D$4,0,1))</f>
        <v>9</v>
      </c>
      <c r="E14" s="2" t="n">
        <f aca="false">MIN(E13+1,D14+1,D13+IF($A14=E$4,0,1))</f>
        <v>8</v>
      </c>
      <c r="F14" s="2" t="n">
        <f aca="false">MIN(F13+1,E14+1,E13+IF($A14=F$4,0,1))</f>
        <v>7</v>
      </c>
      <c r="G14" s="2" t="n">
        <f aca="false">MIN(G13+1,F14+1,F13+IF($A14=G$4,0,1))</f>
        <v>7</v>
      </c>
      <c r="H14" s="2" t="n">
        <f aca="false">MIN(H13+1,G14+1,G13+IF($A14=H$4,0,1))</f>
        <v>7</v>
      </c>
      <c r="I14" s="2" t="n">
        <f aca="false">MIN(I13+1,H14+1,H13+IF($A14=I$4,0,1))</f>
        <v>7</v>
      </c>
      <c r="J14" s="2" t="n">
        <f aca="false">MIN(J13+1,I14+1,I13+IF($A14=J$4,0,1))</f>
        <v>7</v>
      </c>
      <c r="K14" s="2" t="n">
        <f aca="false">MIN(K13+1,J14+1,J13+IF($A14=K$4,0,1))</f>
        <v>7</v>
      </c>
      <c r="L14" s="2" t="n">
        <f aca="false">MIN(L13+1,K14+1,K13+IF($A14=L$4,0,1))</f>
        <v>7</v>
      </c>
      <c r="M14" s="2" t="n">
        <f aca="false">MIN(M13+1,L14+1,L13+IF($A14=M$4,0,1))</f>
        <v>8</v>
      </c>
      <c r="N14" s="2" t="n">
        <f aca="false">MIN(N13+1,M14+1,M13+IF($A14=N$4,0,1))</f>
        <v>9</v>
      </c>
      <c r="O14" s="2" t="n">
        <f aca="false">MIN(O13+1,N14+1,N13+IF($A14=O$4,0,1))</f>
        <v>9</v>
      </c>
      <c r="P14" s="2" t="n">
        <f aca="false">MIN(P13+1,O14+1,O13+IF($A14=P$4,0,1))</f>
        <v>10</v>
      </c>
      <c r="Q14" s="2" t="n">
        <f aca="false">MIN(Q13+1,P14+1,P13+IF($A14=Q$4,0,1))</f>
        <v>11</v>
      </c>
      <c r="R14" s="2" t="n">
        <f aca="false">MIN(R13+1,Q14+1,Q13+IF($A14=R$4,0,1))</f>
        <v>12</v>
      </c>
      <c r="S14" s="2" t="n">
        <f aca="false">MIN(S13+1,R14+1,R13+IF($A14=S$4,0,1))</f>
        <v>13</v>
      </c>
      <c r="T14" s="2" t="n">
        <f aca="false">MIN(T13+1,S14+1,S13+IF($A14=T$4,0,1))</f>
        <v>14</v>
      </c>
      <c r="U14" s="2" t="n">
        <f aca="false">MIN(U13+1,T14+1,T13+IF($A14=U$4,0,1))</f>
        <v>15</v>
      </c>
      <c r="V14" s="2" t="n">
        <f aca="false">MIN(V13+1,U14+1,U13+IF($A14=V$4,0,1))</f>
        <v>16</v>
      </c>
      <c r="W14" s="2" t="n">
        <f aca="false">MIN(W13+1,V14+1,V13+IF($A14=W$4,0,1))</f>
        <v>17</v>
      </c>
      <c r="X14" s="2" t="n">
        <f aca="false">MIN(X13+1,W14+1,W13+IF($A14=X$4,0,1))</f>
        <v>18</v>
      </c>
      <c r="Y14" s="2" t="n">
        <f aca="false">MIN(Y13+1,X14+1,X13+IF($A14=Y$4,0,1))</f>
        <v>19</v>
      </c>
      <c r="Z14" s="2" t="n">
        <f aca="false">MIN(Z13+1,Y14+1,Y13+IF($A14=Z$4,0,1))</f>
        <v>20</v>
      </c>
      <c r="AA14" s="2" t="n">
        <f aca="false">MIN(AA13+1,Z14+1,Z13+IF($A14=AA$4,0,1))</f>
        <v>21</v>
      </c>
      <c r="AB14" s="2" t="n">
        <f aca="false">MIN(AB13+1,AA14+1,AA13+IF($A14=AB$4,0,1))</f>
        <v>22</v>
      </c>
      <c r="AC14" s="2" t="n">
        <f aca="false">MIN(AC13+1,AB14+1,AB13+IF($A14=AC$4,0,1))</f>
        <v>23</v>
      </c>
      <c r="AD14" s="2" t="n">
        <f aca="false">MIN(AD13+1,AC14+1,AC13+IF($A14=AD$4,0,1))</f>
        <v>24</v>
      </c>
      <c r="AE14" s="2" t="n">
        <f aca="false">MIN(AE13+1,AD14+1,AD13+IF($A14=AE$4,0,1))</f>
        <v>25</v>
      </c>
      <c r="AF14" s="2" t="n">
        <f aca="false">MIN(AF13+1,AE14+1,AE13+IF($A14=AF$4,0,1))</f>
        <v>26</v>
      </c>
      <c r="AG14" s="2" t="n">
        <f aca="false">MIN(AG13+1,AF14+1,AF13+IF($A14=AG$4,0,1))</f>
        <v>27</v>
      </c>
      <c r="AH14" s="2" t="n">
        <f aca="false">MIN(AH13+1,AG14+1,AG13+IF($A14=AH$4,0,1))</f>
        <v>28</v>
      </c>
      <c r="AI14" s="2" t="n">
        <f aca="false">MIN(AI13+1,AH14+1,AH13+IF($A14=AI$4,0,1))</f>
        <v>29</v>
      </c>
      <c r="AJ14" s="2" t="n">
        <f aca="false">MIN(AJ13+1,AI14+1,AI13+IF($A14=AJ$4,0,1))</f>
        <v>30</v>
      </c>
      <c r="AK14" s="2" t="n">
        <f aca="false">MIN(AK13+1,AJ14+1,AJ13+IF($A14=AK$4,0,1))</f>
        <v>31</v>
      </c>
      <c r="AL14" s="2" t="n">
        <f aca="false">MIN(AL13+1,AK14+1,AK13+IF($A14=AL$4,0,1))</f>
        <v>32</v>
      </c>
      <c r="AM14" s="2" t="n">
        <f aca="false">MIN(AM13+1,AL14+1,AL13+IF($A14=AM$4,0,1))</f>
        <v>33</v>
      </c>
      <c r="AN14" s="2" t="n">
        <f aca="false">MIN(AN13+1,AM14+1,AM13+IF($A14=AN$4,0,1))</f>
        <v>34</v>
      </c>
      <c r="AO14" s="2" t="n">
        <f aca="false">MIN(AO13+1,AN14+1,AN13+IF($A14=AO$4,0,1))</f>
        <v>35</v>
      </c>
      <c r="AP14" s="2" t="n">
        <f aca="false">MIN(AP13+1,AO14+1,AO13+IF($A14=AP$4,0,1))</f>
        <v>36</v>
      </c>
      <c r="AQ14" s="2" t="n">
        <f aca="false">MIN(AQ13+1,AP14+1,AP13+IF($A14=AQ$4,0,1))</f>
        <v>37</v>
      </c>
      <c r="AR14" s="2" t="n">
        <f aca="false">MIN(AR13+1,AQ14+1,AQ13+IF($A14=AR$4,0,1))</f>
        <v>38</v>
      </c>
      <c r="AS14" s="2" t="n">
        <f aca="false">MIN(AS13+1,AR14+1,AR13+IF($A14=AS$4,0,1))</f>
        <v>39</v>
      </c>
      <c r="AT14" s="2" t="n">
        <f aca="false">MIN(AT13+1,AS14+1,AS13+IF($A14=AT$4,0,1))</f>
        <v>40</v>
      </c>
      <c r="AU14" s="2" t="n">
        <f aca="false">MIN(AU13+1,AT14+1,AT13+IF($A14=AU$4,0,1))</f>
        <v>41</v>
      </c>
      <c r="AV14" s="2" t="n">
        <f aca="false">MIN(AV13+1,AU14+1,AU13+IF($A14=AV$4,0,1))</f>
        <v>42</v>
      </c>
      <c r="AW14" s="2" t="n">
        <f aca="false">MIN(AW13+1,AV14+1,AV13+IF($A14=AW$4,0,1))</f>
        <v>43</v>
      </c>
      <c r="AX14" s="2" t="n">
        <f aca="false">MIN(AX13+1,AW14+1,AW13+IF($A14=AX$4,0,1))</f>
        <v>44</v>
      </c>
      <c r="AY14" s="2" t="n">
        <f aca="false">MIN(AY13+1,AX14+1,AX13+IF($A14=AY$4,0,1))</f>
        <v>45</v>
      </c>
      <c r="AZ14" s="2" t="n">
        <f aca="false">MIN(AZ13+1,AY14+1,AY13+IF($A14=AZ$4,0,1))</f>
        <v>46</v>
      </c>
      <c r="BA14" s="2" t="n">
        <f aca="false">MIN(BA13+1,AZ14+1,AZ13+IF($A14=BA$4,0,1))</f>
        <v>47</v>
      </c>
      <c r="BB14" s="2" t="n">
        <f aca="false">MIN(BB13+1,BA14+1,BA13+IF($A14=BB$4,0,1))</f>
        <v>48</v>
      </c>
      <c r="BC14" s="2" t="n">
        <f aca="false">MIN(BC13+1,BB14+1,BB13+IF($A14=BC$4,0,1))</f>
        <v>49</v>
      </c>
      <c r="BD14" s="2" t="n">
        <f aca="false">MIN(BD13+1,BC14+1,BC13+IF($A14=BD$4,0,1))</f>
        <v>50</v>
      </c>
      <c r="BE14" s="2" t="n">
        <f aca="false">MIN(BE13+1,BD14+1,BD13+IF($A14=BE$4,0,1))</f>
        <v>51</v>
      </c>
      <c r="BF14" s="2" t="n">
        <f aca="false">MIN(BF13+1,BE14+1,BE13+IF($A14=BF$4,0,1))</f>
        <v>52</v>
      </c>
      <c r="BG14" s="2" t="n">
        <f aca="false">MIN(BG13+1,BF14+1,BF13+IF($A14=BG$4,0,1))</f>
        <v>53</v>
      </c>
      <c r="BH14" s="2" t="n">
        <f aca="false">MIN(BH13+1,BG14+1,BG13+IF($A14=BH$4,0,1))</f>
        <v>54</v>
      </c>
      <c r="BI14" s="2" t="n">
        <f aca="false">MIN(BI13+1,BH14+1,BH13+IF($A14=BI$4,0,1))</f>
        <v>55</v>
      </c>
      <c r="BJ14" s="2" t="n">
        <f aca="false">MIN(BJ13+1,BI14+1,BI13+IF($A14=BJ$4,0,1))</f>
        <v>55</v>
      </c>
      <c r="BK14" s="2" t="n">
        <f aca="false">MIN(BK13+1,BJ14+1,BJ13+IF($A14=BK$4,0,1))</f>
        <v>56</v>
      </c>
      <c r="BL14" s="2" t="n">
        <f aca="false">MIN(BL13+1,BK14+1,BK13+IF($A14=BL$4,0,1))</f>
        <v>57</v>
      </c>
      <c r="BM14" s="2" t="n">
        <f aca="false">MIN(BM13+1,BL14+1,BL13+IF($A14=BM$4,0,1))</f>
        <v>58</v>
      </c>
      <c r="BN14" s="2" t="n">
        <f aca="false">MIN(BN13+1,BM14+1,BM13+IF($A14=BN$4,0,1))</f>
        <v>59</v>
      </c>
      <c r="BO14" s="2" t="n">
        <f aca="false">MIN(BO13+1,BN14+1,BN13+IF($A14=BO$4,0,1))</f>
        <v>60</v>
      </c>
      <c r="BP14" s="2" t="n">
        <f aca="false">MIN(BP13+1,BO14+1,BO13+IF($A14=BP$4,0,1))</f>
        <v>61</v>
      </c>
      <c r="BQ14" s="2" t="n">
        <f aca="false">MIN(BQ13+1,BP14+1,BP13+IF($A14=BQ$4,0,1))</f>
        <v>62</v>
      </c>
      <c r="BR14" s="2" t="n">
        <f aca="false">MIN(BR13+1,BQ14+1,BQ13+IF($A14=BR$4,0,1))</f>
        <v>63</v>
      </c>
      <c r="BS14" s="2" t="n">
        <f aca="false">MIN(BS13+1,BR14+1,BR13+IF($A14=BS$4,0,1))</f>
        <v>64</v>
      </c>
      <c r="BT14" s="2" t="n">
        <f aca="false">MIN(BT13+1,BS14+1,BS13+IF($A14=BT$4,0,1))</f>
        <v>65</v>
      </c>
      <c r="BU14" s="2" t="n">
        <f aca="false">MIN(BU13+1,BT14+1,BT13+IF($A14=BU$4,0,1))</f>
        <v>66</v>
      </c>
      <c r="BV14" s="2" t="n">
        <f aca="false">MIN(BV13+1,BU14+1,BU13+IF($A14=BV$4,0,1))</f>
        <v>67</v>
      </c>
      <c r="BW14" s="2" t="n">
        <f aca="false">MIN(BW13+1,BV14+1,BV13+IF($A14=BW$4,0,1))</f>
        <v>68</v>
      </c>
      <c r="BX14" s="2" t="n">
        <f aca="false">MIN(BX13+1,BW14+1,BW13+IF($A14=BX$4,0,1))</f>
        <v>69</v>
      </c>
      <c r="BY14" s="2" t="n">
        <f aca="false">MIN(BY13+1,BX14+1,BX13+IF($A14=BY$4,0,1))</f>
        <v>70</v>
      </c>
      <c r="BZ14" s="2" t="n">
        <f aca="false">MIN(BZ13+1,BY14+1,BY13+IF($A14=BZ$4,0,1))</f>
        <v>71</v>
      </c>
      <c r="CA14" s="2" t="n">
        <f aca="false">MIN(CA13+1,BZ14+1,BZ13+IF($A14=CA$4,0,1))</f>
        <v>72</v>
      </c>
      <c r="CB14" s="2" t="n">
        <f aca="false">MIN(CB13+1,CA14+1,CA13+IF($A14=CB$4,0,1))</f>
        <v>73</v>
      </c>
      <c r="CC14" s="2" t="n">
        <f aca="false">MIN(CC13+1,CB14+1,CB13+IF($A14=CC$4,0,1))</f>
        <v>74</v>
      </c>
      <c r="CD14" s="2" t="n">
        <f aca="false">MIN(CD13+1,CC14+1,CC13+IF($A14=CD$4,0,1))</f>
        <v>75</v>
      </c>
      <c r="CE14" s="2" t="n">
        <f aca="false">MIN(CE13+1,CD14+1,CD13+IF($A14=CE$4,0,1))</f>
        <v>76</v>
      </c>
      <c r="CF14" s="2" t="n">
        <f aca="false">MIN(CF13+1,CE14+1,CE13+IF($A14=CF$4,0,1))</f>
        <v>77</v>
      </c>
      <c r="CG14" s="2" t="n">
        <f aca="false">MIN(CG13+1,CF14+1,CF13+IF($A14=CG$4,0,1))</f>
        <v>78</v>
      </c>
      <c r="CH14" s="2" t="n">
        <f aca="false">MIN(CH13+1,CG14+1,CG13+IF($A14=CH$4,0,1))</f>
        <v>79</v>
      </c>
      <c r="CI14" s="2" t="n">
        <f aca="false">MIN(CI13+1,CH14+1,CH13+IF($A14=CI$4,0,1))</f>
        <v>80</v>
      </c>
      <c r="CJ14" s="2" t="n">
        <f aca="false">MIN(CJ13+1,CI14+1,CI13+IF($A14=CJ$4,0,1))</f>
        <v>81</v>
      </c>
      <c r="CK14" s="2" t="n">
        <f aca="false">MIN(CK13+1,CJ14+1,CJ13+IF($A14=CK$4,0,1))</f>
        <v>82</v>
      </c>
      <c r="CL14" s="2" t="n">
        <f aca="false">MIN(CL13+1,CK14+1,CK13+IF($A14=CL$4,0,1))</f>
        <v>83</v>
      </c>
      <c r="CM14" s="2" t="n">
        <f aca="false">MIN(CM13+1,CL14+1,CL13+IF($A14=CM$4,0,1))</f>
        <v>84</v>
      </c>
      <c r="CN14" s="2" t="n">
        <f aca="false">MIN(CN13+1,CM14+1,CM13+IF($A14=CN$4,0,1))</f>
        <v>85</v>
      </c>
      <c r="CO14" s="2" t="n">
        <f aca="false">MIN(CO13+1,CN14+1,CN13+IF($A14=CO$4,0,1))</f>
        <v>86</v>
      </c>
      <c r="CP14" s="2" t="n">
        <f aca="false">MIN(CP13+1,CO14+1,CO13+IF($A14=CP$4,0,1))</f>
        <v>87</v>
      </c>
      <c r="CQ14" s="2" t="n">
        <f aca="false">MIN(CQ13+1,CP14+1,CP13+IF($A14=CQ$4,0,1))</f>
        <v>88</v>
      </c>
    </row>
    <row r="15" customFormat="false" ht="15" hidden="false" customHeight="false" outlineLevel="0" collapsed="false">
      <c r="A15" s="4" t="s">
        <v>150</v>
      </c>
      <c r="B15" s="12" t="n">
        <v>10</v>
      </c>
      <c r="C15" s="2" t="n">
        <f aca="false">MIN(C14+1,B15+1,B14+IF($A15=C$4,0,1))</f>
        <v>10</v>
      </c>
      <c r="D15" s="2" t="n">
        <f aca="false">MIN(D14+1,C15+1,C14+IF($A15=D$4,0,1))</f>
        <v>10</v>
      </c>
      <c r="E15" s="2" t="n">
        <f aca="false">MIN(E14+1,D15+1,D14+IF($A15=E$4,0,1))</f>
        <v>9</v>
      </c>
      <c r="F15" s="2" t="n">
        <f aca="false">MIN(F14+1,E15+1,E14+IF($A15=F$4,0,1))</f>
        <v>8</v>
      </c>
      <c r="G15" s="2" t="n">
        <f aca="false">MIN(G14+1,F15+1,F14+IF($A15=G$4,0,1))</f>
        <v>8</v>
      </c>
      <c r="H15" s="2" t="n">
        <f aca="false">MIN(H14+1,G15+1,G14+IF($A15=H$4,0,1))</f>
        <v>8</v>
      </c>
      <c r="I15" s="2" t="n">
        <f aca="false">MIN(I14+1,H15+1,H14+IF($A15=I$4,0,1))</f>
        <v>8</v>
      </c>
      <c r="J15" s="2" t="n">
        <f aca="false">MIN(J14+1,I15+1,I14+IF($A15=J$4,0,1))</f>
        <v>8</v>
      </c>
      <c r="K15" s="2" t="n">
        <f aca="false">MIN(K14+1,J15+1,J14+IF($A15=K$4,0,1))</f>
        <v>8</v>
      </c>
      <c r="L15" s="2" t="n">
        <f aca="false">MIN(L14+1,K15+1,K14+IF($A15=L$4,0,1))</f>
        <v>8</v>
      </c>
      <c r="M15" s="2" t="n">
        <f aca="false">MIN(M14+1,L15+1,L14+IF($A15=M$4,0,1))</f>
        <v>8</v>
      </c>
      <c r="N15" s="2" t="n">
        <f aca="false">MIN(N14+1,M15+1,M14+IF($A15=N$4,0,1))</f>
        <v>9</v>
      </c>
      <c r="O15" s="2" t="n">
        <f aca="false">MIN(O14+1,N15+1,N14+IF($A15=O$4,0,1))</f>
        <v>10</v>
      </c>
      <c r="P15" s="2" t="n">
        <f aca="false">MIN(P14+1,O15+1,O14+IF($A15=P$4,0,1))</f>
        <v>10</v>
      </c>
      <c r="Q15" s="2" t="n">
        <f aca="false">MIN(Q14+1,P15+1,P14+IF($A15=Q$4,0,1))</f>
        <v>11</v>
      </c>
      <c r="R15" s="2" t="n">
        <f aca="false">MIN(R14+1,Q15+1,Q14+IF($A15=R$4,0,1))</f>
        <v>12</v>
      </c>
      <c r="S15" s="2" t="n">
        <f aca="false">MIN(S14+1,R15+1,R14+IF($A15=S$4,0,1))</f>
        <v>13</v>
      </c>
      <c r="T15" s="2" t="n">
        <f aca="false">MIN(T14+1,S15+1,S14+IF($A15=T$4,0,1))</f>
        <v>14</v>
      </c>
      <c r="U15" s="2" t="n">
        <f aca="false">MIN(U14+1,T15+1,T14+IF($A15=U$4,0,1))</f>
        <v>15</v>
      </c>
      <c r="V15" s="2" t="n">
        <f aca="false">MIN(V14+1,U15+1,U14+IF($A15=V$4,0,1))</f>
        <v>16</v>
      </c>
      <c r="W15" s="2" t="n">
        <f aca="false">MIN(W14+1,V15+1,V14+IF($A15=W$4,0,1))</f>
        <v>17</v>
      </c>
      <c r="X15" s="2" t="n">
        <f aca="false">MIN(X14+1,W15+1,W14+IF($A15=X$4,0,1))</f>
        <v>18</v>
      </c>
      <c r="Y15" s="2" t="n">
        <f aca="false">MIN(Y14+1,X15+1,X14+IF($A15=Y$4,0,1))</f>
        <v>19</v>
      </c>
      <c r="Z15" s="2" t="n">
        <f aca="false">MIN(Z14+1,Y15+1,Y14+IF($A15=Z$4,0,1))</f>
        <v>20</v>
      </c>
      <c r="AA15" s="2" t="n">
        <f aca="false">MIN(AA14+1,Z15+1,Z14+IF($A15=AA$4,0,1))</f>
        <v>21</v>
      </c>
      <c r="AB15" s="2" t="n">
        <f aca="false">MIN(AB14+1,AA15+1,AA14+IF($A15=AB$4,0,1))</f>
        <v>22</v>
      </c>
      <c r="AC15" s="2" t="n">
        <f aca="false">MIN(AC14+1,AB15+1,AB14+IF($A15=AC$4,0,1))</f>
        <v>23</v>
      </c>
      <c r="AD15" s="2" t="n">
        <f aca="false">MIN(AD14+1,AC15+1,AC14+IF($A15=AD$4,0,1))</f>
        <v>24</v>
      </c>
      <c r="AE15" s="2" t="n">
        <f aca="false">MIN(AE14+1,AD15+1,AD14+IF($A15=AE$4,0,1))</f>
        <v>25</v>
      </c>
      <c r="AF15" s="2" t="n">
        <f aca="false">MIN(AF14+1,AE15+1,AE14+IF($A15=AF$4,0,1))</f>
        <v>26</v>
      </c>
      <c r="AG15" s="2" t="n">
        <f aca="false">MIN(AG14+1,AF15+1,AF14+IF($A15=AG$4,0,1))</f>
        <v>27</v>
      </c>
      <c r="AH15" s="2" t="n">
        <f aca="false">MIN(AH14+1,AG15+1,AG14+IF($A15=AH$4,0,1))</f>
        <v>28</v>
      </c>
      <c r="AI15" s="2" t="n">
        <f aca="false">MIN(AI14+1,AH15+1,AH14+IF($A15=AI$4,0,1))</f>
        <v>29</v>
      </c>
      <c r="AJ15" s="2" t="n">
        <f aca="false">MIN(AJ14+1,AI15+1,AI14+IF($A15=AJ$4,0,1))</f>
        <v>30</v>
      </c>
      <c r="AK15" s="2" t="n">
        <f aca="false">MIN(AK14+1,AJ15+1,AJ14+IF($A15=AK$4,0,1))</f>
        <v>31</v>
      </c>
      <c r="AL15" s="2" t="n">
        <f aca="false">MIN(AL14+1,AK15+1,AK14+IF($A15=AL$4,0,1))</f>
        <v>32</v>
      </c>
      <c r="AM15" s="2" t="n">
        <f aca="false">MIN(AM14+1,AL15+1,AL14+IF($A15=AM$4,0,1))</f>
        <v>33</v>
      </c>
      <c r="AN15" s="2" t="n">
        <f aca="false">MIN(AN14+1,AM15+1,AM14+IF($A15=AN$4,0,1))</f>
        <v>34</v>
      </c>
      <c r="AO15" s="2" t="n">
        <f aca="false">MIN(AO14+1,AN15+1,AN14+IF($A15=AO$4,0,1))</f>
        <v>35</v>
      </c>
      <c r="AP15" s="2" t="n">
        <f aca="false">MIN(AP14+1,AO15+1,AO14+IF($A15=AP$4,0,1))</f>
        <v>36</v>
      </c>
      <c r="AQ15" s="2" t="n">
        <f aca="false">MIN(AQ14+1,AP15+1,AP14+IF($A15=AQ$4,0,1))</f>
        <v>37</v>
      </c>
      <c r="AR15" s="2" t="n">
        <f aca="false">MIN(AR14+1,AQ15+1,AQ14+IF($A15=AR$4,0,1))</f>
        <v>38</v>
      </c>
      <c r="AS15" s="2" t="n">
        <f aca="false">MIN(AS14+1,AR15+1,AR14+IF($A15=AS$4,0,1))</f>
        <v>39</v>
      </c>
      <c r="AT15" s="2" t="n">
        <f aca="false">MIN(AT14+1,AS15+1,AS14+IF($A15=AT$4,0,1))</f>
        <v>40</v>
      </c>
      <c r="AU15" s="2" t="n">
        <f aca="false">MIN(AU14+1,AT15+1,AT14+IF($A15=AU$4,0,1))</f>
        <v>41</v>
      </c>
      <c r="AV15" s="2" t="n">
        <f aca="false">MIN(AV14+1,AU15+1,AU14+IF($A15=AV$4,0,1))</f>
        <v>42</v>
      </c>
      <c r="AW15" s="2" t="n">
        <f aca="false">MIN(AW14+1,AV15+1,AV14+IF($A15=AW$4,0,1))</f>
        <v>43</v>
      </c>
      <c r="AX15" s="2" t="n">
        <f aca="false">MIN(AX14+1,AW15+1,AW14+IF($A15=AX$4,0,1))</f>
        <v>44</v>
      </c>
      <c r="AY15" s="2" t="n">
        <f aca="false">MIN(AY14+1,AX15+1,AX14+IF($A15=AY$4,0,1))</f>
        <v>45</v>
      </c>
      <c r="AZ15" s="2" t="n">
        <f aca="false">MIN(AZ14+1,AY15+1,AY14+IF($A15=AZ$4,0,1))</f>
        <v>46</v>
      </c>
      <c r="BA15" s="2" t="n">
        <f aca="false">MIN(BA14+1,AZ15+1,AZ14+IF($A15=BA$4,0,1))</f>
        <v>47</v>
      </c>
      <c r="BB15" s="2" t="n">
        <f aca="false">MIN(BB14+1,BA15+1,BA14+IF($A15=BB$4,0,1))</f>
        <v>48</v>
      </c>
      <c r="BC15" s="2" t="n">
        <f aca="false">MIN(BC14+1,BB15+1,BB14+IF($A15=BC$4,0,1))</f>
        <v>49</v>
      </c>
      <c r="BD15" s="2" t="n">
        <f aca="false">MIN(BD14+1,BC15+1,BC14+IF($A15=BD$4,0,1))</f>
        <v>50</v>
      </c>
      <c r="BE15" s="2" t="n">
        <f aca="false">MIN(BE14+1,BD15+1,BD14+IF($A15=BE$4,0,1))</f>
        <v>51</v>
      </c>
      <c r="BF15" s="2" t="n">
        <f aca="false">MIN(BF14+1,BE15+1,BE14+IF($A15=BF$4,0,1))</f>
        <v>52</v>
      </c>
      <c r="BG15" s="2" t="n">
        <f aca="false">MIN(BG14+1,BF15+1,BF14+IF($A15=BG$4,0,1))</f>
        <v>53</v>
      </c>
      <c r="BH15" s="2" t="n">
        <f aca="false">MIN(BH14+1,BG15+1,BG14+IF($A15=BH$4,0,1))</f>
        <v>54</v>
      </c>
      <c r="BI15" s="2" t="n">
        <f aca="false">MIN(BI14+1,BH15+1,BH14+IF($A15=BI$4,0,1))</f>
        <v>55</v>
      </c>
      <c r="BJ15" s="2" t="n">
        <f aca="false">MIN(BJ14+1,BI15+1,BI14+IF($A15=BJ$4,0,1))</f>
        <v>56</v>
      </c>
      <c r="BK15" s="2" t="n">
        <f aca="false">MIN(BK14+1,BJ15+1,BJ14+IF($A15=BK$4,0,1))</f>
        <v>56</v>
      </c>
      <c r="BL15" s="2" t="n">
        <f aca="false">MIN(BL14+1,BK15+1,BK14+IF($A15=BL$4,0,1))</f>
        <v>57</v>
      </c>
      <c r="BM15" s="2" t="n">
        <f aca="false">MIN(BM14+1,BL15+1,BL14+IF($A15=BM$4,0,1))</f>
        <v>58</v>
      </c>
      <c r="BN15" s="2" t="n">
        <f aca="false">MIN(BN14+1,BM15+1,BM14+IF($A15=BN$4,0,1))</f>
        <v>59</v>
      </c>
      <c r="BO15" s="2" t="n">
        <f aca="false">MIN(BO14+1,BN15+1,BN14+IF($A15=BO$4,0,1))</f>
        <v>60</v>
      </c>
      <c r="BP15" s="2" t="n">
        <f aca="false">MIN(BP14+1,BO15+1,BO14+IF($A15=BP$4,0,1))</f>
        <v>61</v>
      </c>
      <c r="BQ15" s="2" t="n">
        <f aca="false">MIN(BQ14+1,BP15+1,BP14+IF($A15=BQ$4,0,1))</f>
        <v>62</v>
      </c>
      <c r="BR15" s="2" t="n">
        <f aca="false">MIN(BR14+1,BQ15+1,BQ14+IF($A15=BR$4,0,1))</f>
        <v>63</v>
      </c>
      <c r="BS15" s="2" t="n">
        <f aca="false">MIN(BS14+1,BR15+1,BR14+IF($A15=BS$4,0,1))</f>
        <v>64</v>
      </c>
      <c r="BT15" s="2" t="n">
        <f aca="false">MIN(BT14+1,BS15+1,BS14+IF($A15=BT$4,0,1))</f>
        <v>65</v>
      </c>
      <c r="BU15" s="2" t="n">
        <f aca="false">MIN(BU14+1,BT15+1,BT14+IF($A15=BU$4,0,1))</f>
        <v>66</v>
      </c>
      <c r="BV15" s="2" t="n">
        <f aca="false">MIN(BV14+1,BU15+1,BU14+IF($A15=BV$4,0,1))</f>
        <v>67</v>
      </c>
      <c r="BW15" s="2" t="n">
        <f aca="false">MIN(BW14+1,BV15+1,BV14+IF($A15=BW$4,0,1))</f>
        <v>68</v>
      </c>
      <c r="BX15" s="2" t="n">
        <f aca="false">MIN(BX14+1,BW15+1,BW14+IF($A15=BX$4,0,1))</f>
        <v>69</v>
      </c>
      <c r="BY15" s="2" t="n">
        <f aca="false">MIN(BY14+1,BX15+1,BX14+IF($A15=BY$4,0,1))</f>
        <v>70</v>
      </c>
      <c r="BZ15" s="2" t="n">
        <f aca="false">MIN(BZ14+1,BY15+1,BY14+IF($A15=BZ$4,0,1))</f>
        <v>71</v>
      </c>
      <c r="CA15" s="2" t="n">
        <f aca="false">MIN(CA14+1,BZ15+1,BZ14+IF($A15=CA$4,0,1))</f>
        <v>72</v>
      </c>
      <c r="CB15" s="2" t="n">
        <f aca="false">MIN(CB14+1,CA15+1,CA14+IF($A15=CB$4,0,1))</f>
        <v>73</v>
      </c>
      <c r="CC15" s="2" t="n">
        <f aca="false">MIN(CC14+1,CB15+1,CB14+IF($A15=CC$4,0,1))</f>
        <v>74</v>
      </c>
      <c r="CD15" s="2" t="n">
        <f aca="false">MIN(CD14+1,CC15+1,CC14+IF($A15=CD$4,0,1))</f>
        <v>75</v>
      </c>
      <c r="CE15" s="2" t="n">
        <f aca="false">MIN(CE14+1,CD15+1,CD14+IF($A15=CE$4,0,1))</f>
        <v>76</v>
      </c>
      <c r="CF15" s="2" t="n">
        <f aca="false">MIN(CF14+1,CE15+1,CE14+IF($A15=CF$4,0,1))</f>
        <v>77</v>
      </c>
      <c r="CG15" s="2" t="n">
        <f aca="false">MIN(CG14+1,CF15+1,CF14+IF($A15=CG$4,0,1))</f>
        <v>78</v>
      </c>
      <c r="CH15" s="2" t="n">
        <f aca="false">MIN(CH14+1,CG15+1,CG14+IF($A15=CH$4,0,1))</f>
        <v>79</v>
      </c>
      <c r="CI15" s="2" t="n">
        <f aca="false">MIN(CI14+1,CH15+1,CH14+IF($A15=CI$4,0,1))</f>
        <v>80</v>
      </c>
      <c r="CJ15" s="2" t="n">
        <f aca="false">MIN(CJ14+1,CI15+1,CI14+IF($A15=CJ$4,0,1))</f>
        <v>81</v>
      </c>
      <c r="CK15" s="2" t="n">
        <f aca="false">MIN(CK14+1,CJ15+1,CJ14+IF($A15=CK$4,0,1))</f>
        <v>82</v>
      </c>
      <c r="CL15" s="2" t="n">
        <f aca="false">MIN(CL14+1,CK15+1,CK14+IF($A15=CL$4,0,1))</f>
        <v>83</v>
      </c>
      <c r="CM15" s="2" t="n">
        <f aca="false">MIN(CM14+1,CL15+1,CL14+IF($A15=CM$4,0,1))</f>
        <v>84</v>
      </c>
      <c r="CN15" s="2" t="n">
        <f aca="false">MIN(CN14+1,CM15+1,CM14+IF($A15=CN$4,0,1))</f>
        <v>85</v>
      </c>
      <c r="CO15" s="2" t="n">
        <f aca="false">MIN(CO14+1,CN15+1,CN14+IF($A15=CO$4,0,1))</f>
        <v>86</v>
      </c>
      <c r="CP15" s="2" t="n">
        <f aca="false">MIN(CP14+1,CO15+1,CO14+IF($A15=CP$4,0,1))</f>
        <v>87</v>
      </c>
      <c r="CQ15" s="2" t="n">
        <f aca="false">MIN(CQ14+1,CP15+1,CP14+IF($A15=CQ$4,0,1))</f>
        <v>88</v>
      </c>
    </row>
    <row r="16" customFormat="false" ht="15" hidden="false" customHeight="false" outlineLevel="0" collapsed="false">
      <c r="A16" s="4" t="s">
        <v>151</v>
      </c>
      <c r="B16" s="12" t="n">
        <v>11</v>
      </c>
      <c r="C16" s="2" t="n">
        <f aca="false">MIN(C15+1,B16+1,B15+IF($A16=C$4,0,1))</f>
        <v>11</v>
      </c>
      <c r="D16" s="2" t="n">
        <f aca="false">MIN(D15+1,C16+1,C15+IF($A16=D$4,0,1))</f>
        <v>11</v>
      </c>
      <c r="E16" s="2" t="n">
        <f aca="false">MIN(E15+1,D16+1,D15+IF($A16=E$4,0,1))</f>
        <v>10</v>
      </c>
      <c r="F16" s="2" t="n">
        <f aca="false">MIN(F15+1,E16+1,E15+IF($A16=F$4,0,1))</f>
        <v>9</v>
      </c>
      <c r="G16" s="2" t="n">
        <f aca="false">MIN(G15+1,F16+1,F15+IF($A16=G$4,0,1))</f>
        <v>9</v>
      </c>
      <c r="H16" s="2" t="n">
        <f aca="false">MIN(H15+1,G16+1,G15+IF($A16=H$4,0,1))</f>
        <v>9</v>
      </c>
      <c r="I16" s="2" t="n">
        <f aca="false">MIN(I15+1,H16+1,H15+IF($A16=I$4,0,1))</f>
        <v>9</v>
      </c>
      <c r="J16" s="2" t="n">
        <f aca="false">MIN(J15+1,I16+1,I15+IF($A16=J$4,0,1))</f>
        <v>9</v>
      </c>
      <c r="K16" s="2" t="n">
        <f aca="false">MIN(K15+1,J16+1,J15+IF($A16=K$4,0,1))</f>
        <v>9</v>
      </c>
      <c r="L16" s="2" t="n">
        <f aca="false">MIN(L15+1,K16+1,K15+IF($A16=L$4,0,1))</f>
        <v>9</v>
      </c>
      <c r="M16" s="2" t="n">
        <f aca="false">MIN(M15+1,L16+1,L15+IF($A16=M$4,0,1))</f>
        <v>9</v>
      </c>
      <c r="N16" s="2" t="n">
        <f aca="false">MIN(N15+1,M16+1,M15+IF($A16=N$4,0,1))</f>
        <v>9</v>
      </c>
      <c r="O16" s="2" t="n">
        <f aca="false">MIN(O15+1,N16+1,N15+IF($A16=O$4,0,1))</f>
        <v>10</v>
      </c>
      <c r="P16" s="2" t="n">
        <f aca="false">MIN(P15+1,O16+1,O15+IF($A16=P$4,0,1))</f>
        <v>11</v>
      </c>
      <c r="Q16" s="2" t="n">
        <f aca="false">MIN(Q15+1,P16+1,P15+IF($A16=Q$4,0,1))</f>
        <v>11</v>
      </c>
      <c r="R16" s="2" t="n">
        <f aca="false">MIN(R15+1,Q16+1,Q15+IF($A16=R$4,0,1))</f>
        <v>12</v>
      </c>
      <c r="S16" s="2" t="n">
        <f aca="false">MIN(S15+1,R16+1,R15+IF($A16=S$4,0,1))</f>
        <v>13</v>
      </c>
      <c r="T16" s="2" t="n">
        <f aca="false">MIN(T15+1,S16+1,S15+IF($A16=T$4,0,1))</f>
        <v>14</v>
      </c>
      <c r="U16" s="2" t="n">
        <f aca="false">MIN(U15+1,T16+1,T15+IF($A16=U$4,0,1))</f>
        <v>15</v>
      </c>
      <c r="V16" s="2" t="n">
        <f aca="false">MIN(V15+1,U16+1,U15+IF($A16=V$4,0,1))</f>
        <v>16</v>
      </c>
      <c r="W16" s="2" t="n">
        <f aca="false">MIN(W15+1,V16+1,V15+IF($A16=W$4,0,1))</f>
        <v>17</v>
      </c>
      <c r="X16" s="2" t="n">
        <f aca="false">MIN(X15+1,W16+1,W15+IF($A16=X$4,0,1))</f>
        <v>18</v>
      </c>
      <c r="Y16" s="2" t="n">
        <f aca="false">MIN(Y15+1,X16+1,X15+IF($A16=Y$4,0,1))</f>
        <v>19</v>
      </c>
      <c r="Z16" s="2" t="n">
        <f aca="false">MIN(Z15+1,Y16+1,Y15+IF($A16=Z$4,0,1))</f>
        <v>20</v>
      </c>
      <c r="AA16" s="2" t="n">
        <f aca="false">MIN(AA15+1,Z16+1,Z15+IF($A16=AA$4,0,1))</f>
        <v>21</v>
      </c>
      <c r="AB16" s="2" t="n">
        <f aca="false">MIN(AB15+1,AA16+1,AA15+IF($A16=AB$4,0,1))</f>
        <v>22</v>
      </c>
      <c r="AC16" s="2" t="n">
        <f aca="false">MIN(AC15+1,AB16+1,AB15+IF($A16=AC$4,0,1))</f>
        <v>23</v>
      </c>
      <c r="AD16" s="2" t="n">
        <f aca="false">MIN(AD15+1,AC16+1,AC15+IF($A16=AD$4,0,1))</f>
        <v>24</v>
      </c>
      <c r="AE16" s="2" t="n">
        <f aca="false">MIN(AE15+1,AD16+1,AD15+IF($A16=AE$4,0,1))</f>
        <v>25</v>
      </c>
      <c r="AF16" s="2" t="n">
        <f aca="false">MIN(AF15+1,AE16+1,AE15+IF($A16=AF$4,0,1))</f>
        <v>26</v>
      </c>
      <c r="AG16" s="2" t="n">
        <f aca="false">MIN(AG15+1,AF16+1,AF15+IF($A16=AG$4,0,1))</f>
        <v>27</v>
      </c>
      <c r="AH16" s="2" t="n">
        <f aca="false">MIN(AH15+1,AG16+1,AG15+IF($A16=AH$4,0,1))</f>
        <v>28</v>
      </c>
      <c r="AI16" s="2" t="n">
        <f aca="false">MIN(AI15+1,AH16+1,AH15+IF($A16=AI$4,0,1))</f>
        <v>29</v>
      </c>
      <c r="AJ16" s="2" t="n">
        <f aca="false">MIN(AJ15+1,AI16+1,AI15+IF($A16=AJ$4,0,1))</f>
        <v>30</v>
      </c>
      <c r="AK16" s="2" t="n">
        <f aca="false">MIN(AK15+1,AJ16+1,AJ15+IF($A16=AK$4,0,1))</f>
        <v>31</v>
      </c>
      <c r="AL16" s="2" t="n">
        <f aca="false">MIN(AL15+1,AK16+1,AK15+IF($A16=AL$4,0,1))</f>
        <v>32</v>
      </c>
      <c r="AM16" s="2" t="n">
        <f aca="false">MIN(AM15+1,AL16+1,AL15+IF($A16=AM$4,0,1))</f>
        <v>33</v>
      </c>
      <c r="AN16" s="2" t="n">
        <f aca="false">MIN(AN15+1,AM16+1,AM15+IF($A16=AN$4,0,1))</f>
        <v>34</v>
      </c>
      <c r="AO16" s="2" t="n">
        <f aca="false">MIN(AO15+1,AN16+1,AN15+IF($A16=AO$4,0,1))</f>
        <v>35</v>
      </c>
      <c r="AP16" s="2" t="n">
        <f aca="false">MIN(AP15+1,AO16+1,AO15+IF($A16=AP$4,0,1))</f>
        <v>36</v>
      </c>
      <c r="AQ16" s="2" t="n">
        <f aca="false">MIN(AQ15+1,AP16+1,AP15+IF($A16=AQ$4,0,1))</f>
        <v>37</v>
      </c>
      <c r="AR16" s="2" t="n">
        <f aca="false">MIN(AR15+1,AQ16+1,AQ15+IF($A16=AR$4,0,1))</f>
        <v>38</v>
      </c>
      <c r="AS16" s="2" t="n">
        <f aca="false">MIN(AS15+1,AR16+1,AR15+IF($A16=AS$4,0,1))</f>
        <v>39</v>
      </c>
      <c r="AT16" s="2" t="n">
        <f aca="false">MIN(AT15+1,AS16+1,AS15+IF($A16=AT$4,0,1))</f>
        <v>40</v>
      </c>
      <c r="AU16" s="2" t="n">
        <f aca="false">MIN(AU15+1,AT16+1,AT15+IF($A16=AU$4,0,1))</f>
        <v>41</v>
      </c>
      <c r="AV16" s="2" t="n">
        <f aca="false">MIN(AV15+1,AU16+1,AU15+IF($A16=AV$4,0,1))</f>
        <v>42</v>
      </c>
      <c r="AW16" s="2" t="n">
        <f aca="false">MIN(AW15+1,AV16+1,AV15+IF($A16=AW$4,0,1))</f>
        <v>43</v>
      </c>
      <c r="AX16" s="2" t="n">
        <f aca="false">MIN(AX15+1,AW16+1,AW15+IF($A16=AX$4,0,1))</f>
        <v>44</v>
      </c>
      <c r="AY16" s="2" t="n">
        <f aca="false">MIN(AY15+1,AX16+1,AX15+IF($A16=AY$4,0,1))</f>
        <v>45</v>
      </c>
      <c r="AZ16" s="2" t="n">
        <f aca="false">MIN(AZ15+1,AY16+1,AY15+IF($A16=AZ$4,0,1))</f>
        <v>46</v>
      </c>
      <c r="BA16" s="2" t="n">
        <f aca="false">MIN(BA15+1,AZ16+1,AZ15+IF($A16=BA$4,0,1))</f>
        <v>47</v>
      </c>
      <c r="BB16" s="2" t="n">
        <f aca="false">MIN(BB15+1,BA16+1,BA15+IF($A16=BB$4,0,1))</f>
        <v>48</v>
      </c>
      <c r="BC16" s="2" t="n">
        <f aca="false">MIN(BC15+1,BB16+1,BB15+IF($A16=BC$4,0,1))</f>
        <v>49</v>
      </c>
      <c r="BD16" s="2" t="n">
        <f aca="false">MIN(BD15+1,BC16+1,BC15+IF($A16=BD$4,0,1))</f>
        <v>50</v>
      </c>
      <c r="BE16" s="2" t="n">
        <f aca="false">MIN(BE15+1,BD16+1,BD15+IF($A16=BE$4,0,1))</f>
        <v>51</v>
      </c>
      <c r="BF16" s="2" t="n">
        <f aca="false">MIN(BF15+1,BE16+1,BE15+IF($A16=BF$4,0,1))</f>
        <v>52</v>
      </c>
      <c r="BG16" s="2" t="n">
        <f aca="false">MIN(BG15+1,BF16+1,BF15+IF($A16=BG$4,0,1))</f>
        <v>53</v>
      </c>
      <c r="BH16" s="2" t="n">
        <f aca="false">MIN(BH15+1,BG16+1,BG15+IF($A16=BH$4,0,1))</f>
        <v>54</v>
      </c>
      <c r="BI16" s="2" t="n">
        <f aca="false">MIN(BI15+1,BH16+1,BH15+IF($A16=BI$4,0,1))</f>
        <v>55</v>
      </c>
      <c r="BJ16" s="2" t="n">
        <f aca="false">MIN(BJ15+1,BI16+1,BI15+IF($A16=BJ$4,0,1))</f>
        <v>56</v>
      </c>
      <c r="BK16" s="2" t="n">
        <f aca="false">MIN(BK15+1,BJ16+1,BJ15+IF($A16=BK$4,0,1))</f>
        <v>57</v>
      </c>
      <c r="BL16" s="2" t="n">
        <f aca="false">MIN(BL15+1,BK16+1,BK15+IF($A16=BL$4,0,1))</f>
        <v>57</v>
      </c>
      <c r="BM16" s="2" t="n">
        <f aca="false">MIN(BM15+1,BL16+1,BL15+IF($A16=BM$4,0,1))</f>
        <v>58</v>
      </c>
      <c r="BN16" s="2" t="n">
        <f aca="false">MIN(BN15+1,BM16+1,BM15+IF($A16=BN$4,0,1))</f>
        <v>59</v>
      </c>
      <c r="BO16" s="2" t="n">
        <f aca="false">MIN(BO15+1,BN16+1,BN15+IF($A16=BO$4,0,1))</f>
        <v>60</v>
      </c>
      <c r="BP16" s="2" t="n">
        <f aca="false">MIN(BP15+1,BO16+1,BO15+IF($A16=BP$4,0,1))</f>
        <v>61</v>
      </c>
      <c r="BQ16" s="2" t="n">
        <f aca="false">MIN(BQ15+1,BP16+1,BP15+IF($A16=BQ$4,0,1))</f>
        <v>62</v>
      </c>
      <c r="BR16" s="2" t="n">
        <f aca="false">MIN(BR15+1,BQ16+1,BQ15+IF($A16=BR$4,0,1))</f>
        <v>63</v>
      </c>
      <c r="BS16" s="2" t="n">
        <f aca="false">MIN(BS15+1,BR16+1,BR15+IF($A16=BS$4,0,1))</f>
        <v>64</v>
      </c>
      <c r="BT16" s="2" t="n">
        <f aca="false">MIN(BT15+1,BS16+1,BS15+IF($A16=BT$4,0,1))</f>
        <v>65</v>
      </c>
      <c r="BU16" s="2" t="n">
        <f aca="false">MIN(BU15+1,BT16+1,BT15+IF($A16=BU$4,0,1))</f>
        <v>66</v>
      </c>
      <c r="BV16" s="2" t="n">
        <f aca="false">MIN(BV15+1,BU16+1,BU15+IF($A16=BV$4,0,1))</f>
        <v>67</v>
      </c>
      <c r="BW16" s="2" t="n">
        <f aca="false">MIN(BW15+1,BV16+1,BV15+IF($A16=BW$4,0,1))</f>
        <v>68</v>
      </c>
      <c r="BX16" s="2" t="n">
        <f aca="false">MIN(BX15+1,BW16+1,BW15+IF($A16=BX$4,0,1))</f>
        <v>69</v>
      </c>
      <c r="BY16" s="2" t="n">
        <f aca="false">MIN(BY15+1,BX16+1,BX15+IF($A16=BY$4,0,1))</f>
        <v>70</v>
      </c>
      <c r="BZ16" s="2" t="n">
        <f aca="false">MIN(BZ15+1,BY16+1,BY15+IF($A16=BZ$4,0,1))</f>
        <v>71</v>
      </c>
      <c r="CA16" s="2" t="n">
        <f aca="false">MIN(CA15+1,BZ16+1,BZ15+IF($A16=CA$4,0,1))</f>
        <v>72</v>
      </c>
      <c r="CB16" s="2" t="n">
        <f aca="false">MIN(CB15+1,CA16+1,CA15+IF($A16=CB$4,0,1))</f>
        <v>73</v>
      </c>
      <c r="CC16" s="2" t="n">
        <f aca="false">MIN(CC15+1,CB16+1,CB15+IF($A16=CC$4,0,1))</f>
        <v>74</v>
      </c>
      <c r="CD16" s="2" t="n">
        <f aca="false">MIN(CD15+1,CC16+1,CC15+IF($A16=CD$4,0,1))</f>
        <v>75</v>
      </c>
      <c r="CE16" s="2" t="n">
        <f aca="false">MIN(CE15+1,CD16+1,CD15+IF($A16=CE$4,0,1))</f>
        <v>76</v>
      </c>
      <c r="CF16" s="2" t="n">
        <f aca="false">MIN(CF15+1,CE16+1,CE15+IF($A16=CF$4,0,1))</f>
        <v>77</v>
      </c>
      <c r="CG16" s="2" t="n">
        <f aca="false">MIN(CG15+1,CF16+1,CF15+IF($A16=CG$4,0,1))</f>
        <v>78</v>
      </c>
      <c r="CH16" s="2" t="n">
        <f aca="false">MIN(CH15+1,CG16+1,CG15+IF($A16=CH$4,0,1))</f>
        <v>79</v>
      </c>
      <c r="CI16" s="2" t="n">
        <f aca="false">MIN(CI15+1,CH16+1,CH15+IF($A16=CI$4,0,1))</f>
        <v>80</v>
      </c>
      <c r="CJ16" s="2" t="n">
        <f aca="false">MIN(CJ15+1,CI16+1,CI15+IF($A16=CJ$4,0,1))</f>
        <v>81</v>
      </c>
      <c r="CK16" s="2" t="n">
        <f aca="false">MIN(CK15+1,CJ16+1,CJ15+IF($A16=CK$4,0,1))</f>
        <v>82</v>
      </c>
      <c r="CL16" s="2" t="n">
        <f aca="false">MIN(CL15+1,CK16+1,CK15+IF($A16=CL$4,0,1))</f>
        <v>83</v>
      </c>
      <c r="CM16" s="2" t="n">
        <f aca="false">MIN(CM15+1,CL16+1,CL15+IF($A16=CM$4,0,1))</f>
        <v>84</v>
      </c>
      <c r="CN16" s="2" t="n">
        <f aca="false">MIN(CN15+1,CM16+1,CM15+IF($A16=CN$4,0,1))</f>
        <v>85</v>
      </c>
      <c r="CO16" s="2" t="n">
        <f aca="false">MIN(CO15+1,CN16+1,CN15+IF($A16=CO$4,0,1))</f>
        <v>86</v>
      </c>
      <c r="CP16" s="2" t="n">
        <f aca="false">MIN(CP15+1,CO16+1,CO15+IF($A16=CP$4,0,1))</f>
        <v>87</v>
      </c>
      <c r="CQ16" s="2" t="n">
        <f aca="false">MIN(CQ15+1,CP16+1,CP15+IF($A16=CQ$4,0,1))</f>
        <v>88</v>
      </c>
    </row>
    <row r="17" customFormat="false" ht="15" hidden="false" customHeight="false" outlineLevel="0" collapsed="false">
      <c r="A17" s="4" t="s">
        <v>152</v>
      </c>
      <c r="B17" s="12" t="n">
        <v>12</v>
      </c>
      <c r="C17" s="2" t="n">
        <f aca="false">MIN(C16+1,B17+1,B16+IF($A17=C$4,0,1))</f>
        <v>12</v>
      </c>
      <c r="D17" s="2" t="n">
        <f aca="false">MIN(D16+1,C17+1,C16+IF($A17=D$4,0,1))</f>
        <v>12</v>
      </c>
      <c r="E17" s="2" t="n">
        <f aca="false">MIN(E16+1,D17+1,D16+IF($A17=E$4,0,1))</f>
        <v>11</v>
      </c>
      <c r="F17" s="2" t="n">
        <f aca="false">MIN(F16+1,E17+1,E16+IF($A17=F$4,0,1))</f>
        <v>10</v>
      </c>
      <c r="G17" s="2" t="n">
        <f aca="false">MIN(G16+1,F17+1,F16+IF($A17=G$4,0,1))</f>
        <v>10</v>
      </c>
      <c r="H17" s="2" t="n">
        <f aca="false">MIN(H16+1,G17+1,G16+IF($A17=H$4,0,1))</f>
        <v>10</v>
      </c>
      <c r="I17" s="2" t="n">
        <f aca="false">MIN(I16+1,H17+1,H16+IF($A17=I$4,0,1))</f>
        <v>10</v>
      </c>
      <c r="J17" s="2" t="n">
        <f aca="false">MIN(J16+1,I17+1,I16+IF($A17=J$4,0,1))</f>
        <v>10</v>
      </c>
      <c r="K17" s="2" t="n">
        <f aca="false">MIN(K16+1,J17+1,J16+IF($A17=K$4,0,1))</f>
        <v>10</v>
      </c>
      <c r="L17" s="2" t="n">
        <f aca="false">MIN(L16+1,K17+1,K16+IF($A17=L$4,0,1))</f>
        <v>10</v>
      </c>
      <c r="M17" s="2" t="n">
        <f aca="false">MIN(M16+1,L17+1,L16+IF($A17=M$4,0,1))</f>
        <v>10</v>
      </c>
      <c r="N17" s="2" t="n">
        <f aca="false">MIN(N16+1,M17+1,M16+IF($A17=N$4,0,1))</f>
        <v>10</v>
      </c>
      <c r="O17" s="2" t="n">
        <f aca="false">MIN(O16+1,N17+1,N16+IF($A17=O$4,0,1))</f>
        <v>10</v>
      </c>
      <c r="P17" s="2" t="n">
        <f aca="false">MIN(P16+1,O17+1,O16+IF($A17=P$4,0,1))</f>
        <v>11</v>
      </c>
      <c r="Q17" s="2" t="n">
        <f aca="false">MIN(Q16+1,P17+1,P16+IF($A17=Q$4,0,1))</f>
        <v>12</v>
      </c>
      <c r="R17" s="2" t="n">
        <f aca="false">MIN(R16+1,Q17+1,Q16+IF($A17=R$4,0,1))</f>
        <v>12</v>
      </c>
      <c r="S17" s="2" t="n">
        <f aca="false">MIN(S16+1,R17+1,R16+IF($A17=S$4,0,1))</f>
        <v>13</v>
      </c>
      <c r="T17" s="2" t="n">
        <f aca="false">MIN(T16+1,S17+1,S16+IF($A17=T$4,0,1))</f>
        <v>14</v>
      </c>
      <c r="U17" s="2" t="n">
        <f aca="false">MIN(U16+1,T17+1,T16+IF($A17=U$4,0,1))</f>
        <v>15</v>
      </c>
      <c r="V17" s="2" t="n">
        <f aca="false">MIN(V16+1,U17+1,U16+IF($A17=V$4,0,1))</f>
        <v>16</v>
      </c>
      <c r="W17" s="2" t="n">
        <f aca="false">MIN(W16+1,V17+1,V16+IF($A17=W$4,0,1))</f>
        <v>17</v>
      </c>
      <c r="X17" s="2" t="n">
        <f aca="false">MIN(X16+1,W17+1,W16+IF($A17=X$4,0,1))</f>
        <v>18</v>
      </c>
      <c r="Y17" s="2" t="n">
        <f aca="false">MIN(Y16+1,X17+1,X16+IF($A17=Y$4,0,1))</f>
        <v>19</v>
      </c>
      <c r="Z17" s="2" t="n">
        <f aca="false">MIN(Z16+1,Y17+1,Y16+IF($A17=Z$4,0,1))</f>
        <v>20</v>
      </c>
      <c r="AA17" s="2" t="n">
        <f aca="false">MIN(AA16+1,Z17+1,Z16+IF($A17=AA$4,0,1))</f>
        <v>21</v>
      </c>
      <c r="AB17" s="2" t="n">
        <f aca="false">MIN(AB16+1,AA17+1,AA16+IF($A17=AB$4,0,1))</f>
        <v>22</v>
      </c>
      <c r="AC17" s="2" t="n">
        <f aca="false">MIN(AC16+1,AB17+1,AB16+IF($A17=AC$4,0,1))</f>
        <v>23</v>
      </c>
      <c r="AD17" s="2" t="n">
        <f aca="false">MIN(AD16+1,AC17+1,AC16+IF($A17=AD$4,0,1))</f>
        <v>24</v>
      </c>
      <c r="AE17" s="2" t="n">
        <f aca="false">MIN(AE16+1,AD17+1,AD16+IF($A17=AE$4,0,1))</f>
        <v>25</v>
      </c>
      <c r="AF17" s="2" t="n">
        <f aca="false">MIN(AF16+1,AE17+1,AE16+IF($A17=AF$4,0,1))</f>
        <v>26</v>
      </c>
      <c r="AG17" s="2" t="n">
        <f aca="false">MIN(AG16+1,AF17+1,AF16+IF($A17=AG$4,0,1))</f>
        <v>27</v>
      </c>
      <c r="AH17" s="2" t="n">
        <f aca="false">MIN(AH16+1,AG17+1,AG16+IF($A17=AH$4,0,1))</f>
        <v>28</v>
      </c>
      <c r="AI17" s="2" t="n">
        <f aca="false">MIN(AI16+1,AH17+1,AH16+IF($A17=AI$4,0,1))</f>
        <v>29</v>
      </c>
      <c r="AJ17" s="2" t="n">
        <f aca="false">MIN(AJ16+1,AI17+1,AI16+IF($A17=AJ$4,0,1))</f>
        <v>30</v>
      </c>
      <c r="AK17" s="2" t="n">
        <f aca="false">MIN(AK16+1,AJ17+1,AJ16+IF($A17=AK$4,0,1))</f>
        <v>31</v>
      </c>
      <c r="AL17" s="2" t="n">
        <f aca="false">MIN(AL16+1,AK17+1,AK16+IF($A17=AL$4,0,1))</f>
        <v>32</v>
      </c>
      <c r="AM17" s="2" t="n">
        <f aca="false">MIN(AM16+1,AL17+1,AL16+IF($A17=AM$4,0,1))</f>
        <v>33</v>
      </c>
      <c r="AN17" s="2" t="n">
        <f aca="false">MIN(AN16+1,AM17+1,AM16+IF($A17=AN$4,0,1))</f>
        <v>34</v>
      </c>
      <c r="AO17" s="2" t="n">
        <f aca="false">MIN(AO16+1,AN17+1,AN16+IF($A17=AO$4,0,1))</f>
        <v>35</v>
      </c>
      <c r="AP17" s="2" t="n">
        <f aca="false">MIN(AP16+1,AO17+1,AO16+IF($A17=AP$4,0,1))</f>
        <v>36</v>
      </c>
      <c r="AQ17" s="2" t="n">
        <f aca="false">MIN(AQ16+1,AP17+1,AP16+IF($A17=AQ$4,0,1))</f>
        <v>37</v>
      </c>
      <c r="AR17" s="2" t="n">
        <f aca="false">MIN(AR16+1,AQ17+1,AQ16+IF($A17=AR$4,0,1))</f>
        <v>38</v>
      </c>
      <c r="AS17" s="2" t="n">
        <f aca="false">MIN(AS16+1,AR17+1,AR16+IF($A17=AS$4,0,1))</f>
        <v>39</v>
      </c>
      <c r="AT17" s="2" t="n">
        <f aca="false">MIN(AT16+1,AS17+1,AS16+IF($A17=AT$4,0,1))</f>
        <v>40</v>
      </c>
      <c r="AU17" s="2" t="n">
        <f aca="false">MIN(AU16+1,AT17+1,AT16+IF($A17=AU$4,0,1))</f>
        <v>41</v>
      </c>
      <c r="AV17" s="2" t="n">
        <f aca="false">MIN(AV16+1,AU17+1,AU16+IF($A17=AV$4,0,1))</f>
        <v>42</v>
      </c>
      <c r="AW17" s="2" t="n">
        <f aca="false">MIN(AW16+1,AV17+1,AV16+IF($A17=AW$4,0,1))</f>
        <v>43</v>
      </c>
      <c r="AX17" s="2" t="n">
        <f aca="false">MIN(AX16+1,AW17+1,AW16+IF($A17=AX$4,0,1))</f>
        <v>44</v>
      </c>
      <c r="AY17" s="2" t="n">
        <f aca="false">MIN(AY16+1,AX17+1,AX16+IF($A17=AY$4,0,1))</f>
        <v>45</v>
      </c>
      <c r="AZ17" s="2" t="n">
        <f aca="false">MIN(AZ16+1,AY17+1,AY16+IF($A17=AZ$4,0,1))</f>
        <v>46</v>
      </c>
      <c r="BA17" s="2" t="n">
        <f aca="false">MIN(BA16+1,AZ17+1,AZ16+IF($A17=BA$4,0,1))</f>
        <v>47</v>
      </c>
      <c r="BB17" s="2" t="n">
        <f aca="false">MIN(BB16+1,BA17+1,BA16+IF($A17=BB$4,0,1))</f>
        <v>48</v>
      </c>
      <c r="BC17" s="2" t="n">
        <f aca="false">MIN(BC16+1,BB17+1,BB16+IF($A17=BC$4,0,1))</f>
        <v>49</v>
      </c>
      <c r="BD17" s="2" t="n">
        <f aca="false">MIN(BD16+1,BC17+1,BC16+IF($A17=BD$4,0,1))</f>
        <v>50</v>
      </c>
      <c r="BE17" s="2" t="n">
        <f aca="false">MIN(BE16+1,BD17+1,BD16+IF($A17=BE$4,0,1))</f>
        <v>51</v>
      </c>
      <c r="BF17" s="2" t="n">
        <f aca="false">MIN(BF16+1,BE17+1,BE16+IF($A17=BF$4,0,1))</f>
        <v>52</v>
      </c>
      <c r="BG17" s="2" t="n">
        <f aca="false">MIN(BG16+1,BF17+1,BF16+IF($A17=BG$4,0,1))</f>
        <v>53</v>
      </c>
      <c r="BH17" s="2" t="n">
        <f aca="false">MIN(BH16+1,BG17+1,BG16+IF($A17=BH$4,0,1))</f>
        <v>54</v>
      </c>
      <c r="BI17" s="2" t="n">
        <f aca="false">MIN(BI16+1,BH17+1,BH16+IF($A17=BI$4,0,1))</f>
        <v>55</v>
      </c>
      <c r="BJ17" s="2" t="n">
        <f aca="false">MIN(BJ16+1,BI17+1,BI16+IF($A17=BJ$4,0,1))</f>
        <v>56</v>
      </c>
      <c r="BK17" s="2" t="n">
        <f aca="false">MIN(BK16+1,BJ17+1,BJ16+IF($A17=BK$4,0,1))</f>
        <v>57</v>
      </c>
      <c r="BL17" s="2" t="n">
        <f aca="false">MIN(BL16+1,BK17+1,BK16+IF($A17=BL$4,0,1))</f>
        <v>58</v>
      </c>
      <c r="BM17" s="2" t="n">
        <f aca="false">MIN(BM16+1,BL17+1,BL16+IF($A17=BM$4,0,1))</f>
        <v>58</v>
      </c>
      <c r="BN17" s="2" t="n">
        <f aca="false">MIN(BN16+1,BM17+1,BM16+IF($A17=BN$4,0,1))</f>
        <v>59</v>
      </c>
      <c r="BO17" s="2" t="n">
        <f aca="false">MIN(BO16+1,BN17+1,BN16+IF($A17=BO$4,0,1))</f>
        <v>60</v>
      </c>
      <c r="BP17" s="2" t="n">
        <f aca="false">MIN(BP16+1,BO17+1,BO16+IF($A17=BP$4,0,1))</f>
        <v>61</v>
      </c>
      <c r="BQ17" s="2" t="n">
        <f aca="false">MIN(BQ16+1,BP17+1,BP16+IF($A17=BQ$4,0,1))</f>
        <v>62</v>
      </c>
      <c r="BR17" s="2" t="n">
        <f aca="false">MIN(BR16+1,BQ17+1,BQ16+IF($A17=BR$4,0,1))</f>
        <v>63</v>
      </c>
      <c r="BS17" s="2" t="n">
        <f aca="false">MIN(BS16+1,BR17+1,BR16+IF($A17=BS$4,0,1))</f>
        <v>64</v>
      </c>
      <c r="BT17" s="2" t="n">
        <f aca="false">MIN(BT16+1,BS17+1,BS16+IF($A17=BT$4,0,1))</f>
        <v>65</v>
      </c>
      <c r="BU17" s="2" t="n">
        <f aca="false">MIN(BU16+1,BT17+1,BT16+IF($A17=BU$4,0,1))</f>
        <v>66</v>
      </c>
      <c r="BV17" s="2" t="n">
        <f aca="false">MIN(BV16+1,BU17+1,BU16+IF($A17=BV$4,0,1))</f>
        <v>67</v>
      </c>
      <c r="BW17" s="2" t="n">
        <f aca="false">MIN(BW16+1,BV17+1,BV16+IF($A17=BW$4,0,1))</f>
        <v>68</v>
      </c>
      <c r="BX17" s="2" t="n">
        <f aca="false">MIN(BX16+1,BW17+1,BW16+IF($A17=BX$4,0,1))</f>
        <v>69</v>
      </c>
      <c r="BY17" s="2" t="n">
        <f aca="false">MIN(BY16+1,BX17+1,BX16+IF($A17=BY$4,0,1))</f>
        <v>70</v>
      </c>
      <c r="BZ17" s="2" t="n">
        <f aca="false">MIN(BZ16+1,BY17+1,BY16+IF($A17=BZ$4,0,1))</f>
        <v>71</v>
      </c>
      <c r="CA17" s="2" t="n">
        <f aca="false">MIN(CA16+1,BZ17+1,BZ16+IF($A17=CA$4,0,1))</f>
        <v>72</v>
      </c>
      <c r="CB17" s="2" t="n">
        <f aca="false">MIN(CB16+1,CA17+1,CA16+IF($A17=CB$4,0,1))</f>
        <v>73</v>
      </c>
      <c r="CC17" s="2" t="n">
        <f aca="false">MIN(CC16+1,CB17+1,CB16+IF($A17=CC$4,0,1))</f>
        <v>74</v>
      </c>
      <c r="CD17" s="2" t="n">
        <f aca="false">MIN(CD16+1,CC17+1,CC16+IF($A17=CD$4,0,1))</f>
        <v>75</v>
      </c>
      <c r="CE17" s="2" t="n">
        <f aca="false">MIN(CE16+1,CD17+1,CD16+IF($A17=CE$4,0,1))</f>
        <v>76</v>
      </c>
      <c r="CF17" s="2" t="n">
        <f aca="false">MIN(CF16+1,CE17+1,CE16+IF($A17=CF$4,0,1))</f>
        <v>77</v>
      </c>
      <c r="CG17" s="2" t="n">
        <f aca="false">MIN(CG16+1,CF17+1,CF16+IF($A17=CG$4,0,1))</f>
        <v>78</v>
      </c>
      <c r="CH17" s="2" t="n">
        <f aca="false">MIN(CH16+1,CG17+1,CG16+IF($A17=CH$4,0,1))</f>
        <v>79</v>
      </c>
      <c r="CI17" s="2" t="n">
        <f aca="false">MIN(CI16+1,CH17+1,CH16+IF($A17=CI$4,0,1))</f>
        <v>80</v>
      </c>
      <c r="CJ17" s="2" t="n">
        <f aca="false">MIN(CJ16+1,CI17+1,CI16+IF($A17=CJ$4,0,1))</f>
        <v>81</v>
      </c>
      <c r="CK17" s="2" t="n">
        <f aca="false">MIN(CK16+1,CJ17+1,CJ16+IF($A17=CK$4,0,1))</f>
        <v>82</v>
      </c>
      <c r="CL17" s="2" t="n">
        <f aca="false">MIN(CL16+1,CK17+1,CK16+IF($A17=CL$4,0,1))</f>
        <v>83</v>
      </c>
      <c r="CM17" s="2" t="n">
        <f aca="false">MIN(CM16+1,CL17+1,CL16+IF($A17=CM$4,0,1))</f>
        <v>84</v>
      </c>
      <c r="CN17" s="2" t="n">
        <f aca="false">MIN(CN16+1,CM17+1,CM16+IF($A17=CN$4,0,1))</f>
        <v>85</v>
      </c>
      <c r="CO17" s="2" t="n">
        <f aca="false">MIN(CO16+1,CN17+1,CN16+IF($A17=CO$4,0,1))</f>
        <v>86</v>
      </c>
      <c r="CP17" s="2" t="n">
        <f aca="false">MIN(CP16+1,CO17+1,CO16+IF($A17=CP$4,0,1))</f>
        <v>87</v>
      </c>
      <c r="CQ17" s="2" t="n">
        <f aca="false">MIN(CQ16+1,CP17+1,CP16+IF($A17=CQ$4,0,1))</f>
        <v>88</v>
      </c>
    </row>
    <row r="18" customFormat="false" ht="15" hidden="false" customHeight="false" outlineLevel="0" collapsed="false">
      <c r="A18" s="4" t="s">
        <v>153</v>
      </c>
      <c r="B18" s="12" t="n">
        <v>13</v>
      </c>
      <c r="C18" s="2" t="n">
        <f aca="false">MIN(C17+1,B18+1,B17+IF($A18=C$4,0,1))</f>
        <v>13</v>
      </c>
      <c r="D18" s="2" t="n">
        <f aca="false">MIN(D17+1,C18+1,C17+IF($A18=D$4,0,1))</f>
        <v>13</v>
      </c>
      <c r="E18" s="2" t="n">
        <f aca="false">MIN(E17+1,D18+1,D17+IF($A18=E$4,0,1))</f>
        <v>12</v>
      </c>
      <c r="F18" s="2" t="n">
        <f aca="false">MIN(F17+1,E18+1,E17+IF($A18=F$4,0,1))</f>
        <v>11</v>
      </c>
      <c r="G18" s="2" t="n">
        <f aca="false">MIN(G17+1,F18+1,F17+IF($A18=G$4,0,1))</f>
        <v>11</v>
      </c>
      <c r="H18" s="2" t="n">
        <f aca="false">MIN(H17+1,G18+1,G17+IF($A18=H$4,0,1))</f>
        <v>11</v>
      </c>
      <c r="I18" s="2" t="n">
        <f aca="false">MIN(I17+1,H18+1,H17+IF($A18=I$4,0,1))</f>
        <v>11</v>
      </c>
      <c r="J18" s="2" t="n">
        <f aca="false">MIN(J17+1,I18+1,I17+IF($A18=J$4,0,1))</f>
        <v>11</v>
      </c>
      <c r="K18" s="2" t="n">
        <f aca="false">MIN(K17+1,J18+1,J17+IF($A18=K$4,0,1))</f>
        <v>11</v>
      </c>
      <c r="L18" s="2" t="n">
        <f aca="false">MIN(L17+1,K18+1,K17+IF($A18=L$4,0,1))</f>
        <v>11</v>
      </c>
      <c r="M18" s="2" t="n">
        <f aca="false">MIN(M17+1,L18+1,L17+IF($A18=M$4,0,1))</f>
        <v>11</v>
      </c>
      <c r="N18" s="2" t="n">
        <f aca="false">MIN(N17+1,M18+1,M17+IF($A18=N$4,0,1))</f>
        <v>11</v>
      </c>
      <c r="O18" s="2" t="n">
        <f aca="false">MIN(O17+1,N18+1,N17+IF($A18=O$4,0,1))</f>
        <v>11</v>
      </c>
      <c r="P18" s="2" t="n">
        <f aca="false">MIN(P17+1,O18+1,O17+IF($A18=P$4,0,1))</f>
        <v>11</v>
      </c>
      <c r="Q18" s="2" t="n">
        <f aca="false">MIN(Q17+1,P18+1,P17+IF($A18=Q$4,0,1))</f>
        <v>12</v>
      </c>
      <c r="R18" s="2" t="n">
        <f aca="false">MIN(R17+1,Q18+1,Q17+IF($A18=R$4,0,1))</f>
        <v>13</v>
      </c>
      <c r="S18" s="2" t="n">
        <f aca="false">MIN(S17+1,R18+1,R17+IF($A18=S$4,0,1))</f>
        <v>13</v>
      </c>
      <c r="T18" s="2" t="n">
        <f aca="false">MIN(T17+1,S18+1,S17+IF($A18=T$4,0,1))</f>
        <v>14</v>
      </c>
      <c r="U18" s="2" t="n">
        <f aca="false">MIN(U17+1,T18+1,T17+IF($A18=U$4,0,1))</f>
        <v>15</v>
      </c>
      <c r="V18" s="2" t="n">
        <f aca="false">MIN(V17+1,U18+1,U17+IF($A18=V$4,0,1))</f>
        <v>16</v>
      </c>
      <c r="W18" s="2" t="n">
        <f aca="false">MIN(W17+1,V18+1,V17+IF($A18=W$4,0,1))</f>
        <v>17</v>
      </c>
      <c r="X18" s="2" t="n">
        <f aca="false">MIN(X17+1,W18+1,W17+IF($A18=X$4,0,1))</f>
        <v>18</v>
      </c>
      <c r="Y18" s="2" t="n">
        <f aca="false">MIN(Y17+1,X18+1,X17+IF($A18=Y$4,0,1))</f>
        <v>19</v>
      </c>
      <c r="Z18" s="2" t="n">
        <f aca="false">MIN(Z17+1,Y18+1,Y17+IF($A18=Z$4,0,1))</f>
        <v>20</v>
      </c>
      <c r="AA18" s="2" t="n">
        <f aca="false">MIN(AA17+1,Z18+1,Z17+IF($A18=AA$4,0,1))</f>
        <v>21</v>
      </c>
      <c r="AB18" s="2" t="n">
        <f aca="false">MIN(AB17+1,AA18+1,AA17+IF($A18=AB$4,0,1))</f>
        <v>22</v>
      </c>
      <c r="AC18" s="2" t="n">
        <f aca="false">MIN(AC17+1,AB18+1,AB17+IF($A18=AC$4,0,1))</f>
        <v>23</v>
      </c>
      <c r="AD18" s="2" t="n">
        <f aca="false">MIN(AD17+1,AC18+1,AC17+IF($A18=AD$4,0,1))</f>
        <v>24</v>
      </c>
      <c r="AE18" s="2" t="n">
        <f aca="false">MIN(AE17+1,AD18+1,AD17+IF($A18=AE$4,0,1))</f>
        <v>25</v>
      </c>
      <c r="AF18" s="2" t="n">
        <f aca="false">MIN(AF17+1,AE18+1,AE17+IF($A18=AF$4,0,1))</f>
        <v>26</v>
      </c>
      <c r="AG18" s="2" t="n">
        <f aca="false">MIN(AG17+1,AF18+1,AF17+IF($A18=AG$4,0,1))</f>
        <v>27</v>
      </c>
      <c r="AH18" s="2" t="n">
        <f aca="false">MIN(AH17+1,AG18+1,AG17+IF($A18=AH$4,0,1))</f>
        <v>28</v>
      </c>
      <c r="AI18" s="2" t="n">
        <f aca="false">MIN(AI17+1,AH18+1,AH17+IF($A18=AI$4,0,1))</f>
        <v>29</v>
      </c>
      <c r="AJ18" s="2" t="n">
        <f aca="false">MIN(AJ17+1,AI18+1,AI17+IF($A18=AJ$4,0,1))</f>
        <v>30</v>
      </c>
      <c r="AK18" s="2" t="n">
        <f aca="false">MIN(AK17+1,AJ18+1,AJ17+IF($A18=AK$4,0,1))</f>
        <v>31</v>
      </c>
      <c r="AL18" s="2" t="n">
        <f aca="false">MIN(AL17+1,AK18+1,AK17+IF($A18=AL$4,0,1))</f>
        <v>32</v>
      </c>
      <c r="AM18" s="2" t="n">
        <f aca="false">MIN(AM17+1,AL18+1,AL17+IF($A18=AM$4,0,1))</f>
        <v>33</v>
      </c>
      <c r="AN18" s="2" t="n">
        <f aca="false">MIN(AN17+1,AM18+1,AM17+IF($A18=AN$4,0,1))</f>
        <v>34</v>
      </c>
      <c r="AO18" s="2" t="n">
        <f aca="false">MIN(AO17+1,AN18+1,AN17+IF($A18=AO$4,0,1))</f>
        <v>35</v>
      </c>
      <c r="AP18" s="2" t="n">
        <f aca="false">MIN(AP17+1,AO18+1,AO17+IF($A18=AP$4,0,1))</f>
        <v>36</v>
      </c>
      <c r="AQ18" s="2" t="n">
        <f aca="false">MIN(AQ17+1,AP18+1,AP17+IF($A18=AQ$4,0,1))</f>
        <v>37</v>
      </c>
      <c r="AR18" s="2" t="n">
        <f aca="false">MIN(AR17+1,AQ18+1,AQ17+IF($A18=AR$4,0,1))</f>
        <v>38</v>
      </c>
      <c r="AS18" s="2" t="n">
        <f aca="false">MIN(AS17+1,AR18+1,AR17+IF($A18=AS$4,0,1))</f>
        <v>39</v>
      </c>
      <c r="AT18" s="2" t="n">
        <f aca="false">MIN(AT17+1,AS18+1,AS17+IF($A18=AT$4,0,1))</f>
        <v>40</v>
      </c>
      <c r="AU18" s="2" t="n">
        <f aca="false">MIN(AU17+1,AT18+1,AT17+IF($A18=AU$4,0,1))</f>
        <v>41</v>
      </c>
      <c r="AV18" s="2" t="n">
        <f aca="false">MIN(AV17+1,AU18+1,AU17+IF($A18=AV$4,0,1))</f>
        <v>42</v>
      </c>
      <c r="AW18" s="2" t="n">
        <f aca="false">MIN(AW17+1,AV18+1,AV17+IF($A18=AW$4,0,1))</f>
        <v>43</v>
      </c>
      <c r="AX18" s="2" t="n">
        <f aca="false">MIN(AX17+1,AW18+1,AW17+IF($A18=AX$4,0,1))</f>
        <v>44</v>
      </c>
      <c r="AY18" s="2" t="n">
        <f aca="false">MIN(AY17+1,AX18+1,AX17+IF($A18=AY$4,0,1))</f>
        <v>45</v>
      </c>
      <c r="AZ18" s="2" t="n">
        <f aca="false">MIN(AZ17+1,AY18+1,AY17+IF($A18=AZ$4,0,1))</f>
        <v>46</v>
      </c>
      <c r="BA18" s="2" t="n">
        <f aca="false">MIN(BA17+1,AZ18+1,AZ17+IF($A18=BA$4,0,1))</f>
        <v>47</v>
      </c>
      <c r="BB18" s="2" t="n">
        <f aca="false">MIN(BB17+1,BA18+1,BA17+IF($A18=BB$4,0,1))</f>
        <v>48</v>
      </c>
      <c r="BC18" s="2" t="n">
        <f aca="false">MIN(BC17+1,BB18+1,BB17+IF($A18=BC$4,0,1))</f>
        <v>49</v>
      </c>
      <c r="BD18" s="2" t="n">
        <f aca="false">MIN(BD17+1,BC18+1,BC17+IF($A18=BD$4,0,1))</f>
        <v>50</v>
      </c>
      <c r="BE18" s="2" t="n">
        <f aca="false">MIN(BE17+1,BD18+1,BD17+IF($A18=BE$4,0,1))</f>
        <v>51</v>
      </c>
      <c r="BF18" s="2" t="n">
        <f aca="false">MIN(BF17+1,BE18+1,BE17+IF($A18=BF$4,0,1))</f>
        <v>52</v>
      </c>
      <c r="BG18" s="2" t="n">
        <f aca="false">MIN(BG17+1,BF18+1,BF17+IF($A18=BG$4,0,1))</f>
        <v>53</v>
      </c>
      <c r="BH18" s="2" t="n">
        <f aca="false">MIN(BH17+1,BG18+1,BG17+IF($A18=BH$4,0,1))</f>
        <v>54</v>
      </c>
      <c r="BI18" s="2" t="n">
        <f aca="false">MIN(BI17+1,BH18+1,BH17+IF($A18=BI$4,0,1))</f>
        <v>55</v>
      </c>
      <c r="BJ18" s="2" t="n">
        <f aca="false">MIN(BJ17+1,BI18+1,BI17+IF($A18=BJ$4,0,1))</f>
        <v>56</v>
      </c>
      <c r="BK18" s="2" t="n">
        <f aca="false">MIN(BK17+1,BJ18+1,BJ17+IF($A18=BK$4,0,1))</f>
        <v>57</v>
      </c>
      <c r="BL18" s="2" t="n">
        <f aca="false">MIN(BL17+1,BK18+1,BK17+IF($A18=BL$4,0,1))</f>
        <v>58</v>
      </c>
      <c r="BM18" s="2" t="n">
        <f aca="false">MIN(BM17+1,BL18+1,BL17+IF($A18=BM$4,0,1))</f>
        <v>59</v>
      </c>
      <c r="BN18" s="2" t="n">
        <f aca="false">MIN(BN17+1,BM18+1,BM17+IF($A18=BN$4,0,1))</f>
        <v>59</v>
      </c>
      <c r="BO18" s="2" t="n">
        <f aca="false">MIN(BO17+1,BN18+1,BN17+IF($A18=BO$4,0,1))</f>
        <v>60</v>
      </c>
      <c r="BP18" s="2" t="n">
        <f aca="false">MIN(BP17+1,BO18+1,BO17+IF($A18=BP$4,0,1))</f>
        <v>61</v>
      </c>
      <c r="BQ18" s="2" t="n">
        <f aca="false">MIN(BQ17+1,BP18+1,BP17+IF($A18=BQ$4,0,1))</f>
        <v>62</v>
      </c>
      <c r="BR18" s="2" t="n">
        <f aca="false">MIN(BR17+1,BQ18+1,BQ17+IF($A18=BR$4,0,1))</f>
        <v>63</v>
      </c>
      <c r="BS18" s="2" t="n">
        <f aca="false">MIN(BS17+1,BR18+1,BR17+IF($A18=BS$4,0,1))</f>
        <v>64</v>
      </c>
      <c r="BT18" s="2" t="n">
        <f aca="false">MIN(BT17+1,BS18+1,BS17+IF($A18=BT$4,0,1))</f>
        <v>65</v>
      </c>
      <c r="BU18" s="2" t="n">
        <f aca="false">MIN(BU17+1,BT18+1,BT17+IF($A18=BU$4,0,1))</f>
        <v>66</v>
      </c>
      <c r="BV18" s="2" t="n">
        <f aca="false">MIN(BV17+1,BU18+1,BU17+IF($A18=BV$4,0,1))</f>
        <v>67</v>
      </c>
      <c r="BW18" s="2" t="n">
        <f aca="false">MIN(BW17+1,BV18+1,BV17+IF($A18=BW$4,0,1))</f>
        <v>68</v>
      </c>
      <c r="BX18" s="2" t="n">
        <f aca="false">MIN(BX17+1,BW18+1,BW17+IF($A18=BX$4,0,1))</f>
        <v>69</v>
      </c>
      <c r="BY18" s="2" t="n">
        <f aca="false">MIN(BY17+1,BX18+1,BX17+IF($A18=BY$4,0,1))</f>
        <v>70</v>
      </c>
      <c r="BZ18" s="2" t="n">
        <f aca="false">MIN(BZ17+1,BY18+1,BY17+IF($A18=BZ$4,0,1))</f>
        <v>71</v>
      </c>
      <c r="CA18" s="2" t="n">
        <f aca="false">MIN(CA17+1,BZ18+1,BZ17+IF($A18=CA$4,0,1))</f>
        <v>72</v>
      </c>
      <c r="CB18" s="2" t="n">
        <f aca="false">MIN(CB17+1,CA18+1,CA17+IF($A18=CB$4,0,1))</f>
        <v>73</v>
      </c>
      <c r="CC18" s="2" t="n">
        <f aca="false">MIN(CC17+1,CB18+1,CB17+IF($A18=CC$4,0,1))</f>
        <v>74</v>
      </c>
      <c r="CD18" s="2" t="n">
        <f aca="false">MIN(CD17+1,CC18+1,CC17+IF($A18=CD$4,0,1))</f>
        <v>75</v>
      </c>
      <c r="CE18" s="2" t="n">
        <f aca="false">MIN(CE17+1,CD18+1,CD17+IF($A18=CE$4,0,1))</f>
        <v>76</v>
      </c>
      <c r="CF18" s="2" t="n">
        <f aca="false">MIN(CF17+1,CE18+1,CE17+IF($A18=CF$4,0,1))</f>
        <v>77</v>
      </c>
      <c r="CG18" s="2" t="n">
        <f aca="false">MIN(CG17+1,CF18+1,CF17+IF($A18=CG$4,0,1))</f>
        <v>78</v>
      </c>
      <c r="CH18" s="2" t="n">
        <f aca="false">MIN(CH17+1,CG18+1,CG17+IF($A18=CH$4,0,1))</f>
        <v>79</v>
      </c>
      <c r="CI18" s="2" t="n">
        <f aca="false">MIN(CI17+1,CH18+1,CH17+IF($A18=CI$4,0,1))</f>
        <v>80</v>
      </c>
      <c r="CJ18" s="2" t="n">
        <f aca="false">MIN(CJ17+1,CI18+1,CI17+IF($A18=CJ$4,0,1))</f>
        <v>81</v>
      </c>
      <c r="CK18" s="2" t="n">
        <f aca="false">MIN(CK17+1,CJ18+1,CJ17+IF($A18=CK$4,0,1))</f>
        <v>82</v>
      </c>
      <c r="CL18" s="2" t="n">
        <f aca="false">MIN(CL17+1,CK18+1,CK17+IF($A18=CL$4,0,1))</f>
        <v>83</v>
      </c>
      <c r="CM18" s="2" t="n">
        <f aca="false">MIN(CM17+1,CL18+1,CL17+IF($A18=CM$4,0,1))</f>
        <v>84</v>
      </c>
      <c r="CN18" s="2" t="n">
        <f aca="false">MIN(CN17+1,CM18+1,CM17+IF($A18=CN$4,0,1))</f>
        <v>85</v>
      </c>
      <c r="CO18" s="2" t="n">
        <f aca="false">MIN(CO17+1,CN18+1,CN17+IF($A18=CO$4,0,1))</f>
        <v>86</v>
      </c>
      <c r="CP18" s="2" t="n">
        <f aca="false">MIN(CP17+1,CO18+1,CO17+IF($A18=CP$4,0,1))</f>
        <v>87</v>
      </c>
      <c r="CQ18" s="2" t="n">
        <f aca="false">MIN(CQ17+1,CP18+1,CP17+IF($A18=CQ$4,0,1))</f>
        <v>88</v>
      </c>
    </row>
    <row r="19" customFormat="false" ht="15" hidden="false" customHeight="false" outlineLevel="0" collapsed="false">
      <c r="A19" s="4" t="s">
        <v>154</v>
      </c>
      <c r="B19" s="12" t="n">
        <v>14</v>
      </c>
      <c r="C19" s="2" t="n">
        <f aca="false">MIN(C18+1,B19+1,B18+IF($A19=C$4,0,1))</f>
        <v>14</v>
      </c>
      <c r="D19" s="2" t="n">
        <f aca="false">MIN(D18+1,C19+1,C18+IF($A19=D$4,0,1))</f>
        <v>14</v>
      </c>
      <c r="E19" s="2" t="n">
        <f aca="false">MIN(E18+1,D19+1,D18+IF($A19=E$4,0,1))</f>
        <v>13</v>
      </c>
      <c r="F19" s="2" t="n">
        <f aca="false">MIN(F18+1,E19+1,E18+IF($A19=F$4,0,1))</f>
        <v>12</v>
      </c>
      <c r="G19" s="2" t="n">
        <f aca="false">MIN(G18+1,F19+1,F18+IF($A19=G$4,0,1))</f>
        <v>12</v>
      </c>
      <c r="H19" s="2" t="n">
        <f aca="false">MIN(H18+1,G19+1,G18+IF($A19=H$4,0,1))</f>
        <v>12</v>
      </c>
      <c r="I19" s="2" t="n">
        <f aca="false">MIN(I18+1,H19+1,H18+IF($A19=I$4,0,1))</f>
        <v>12</v>
      </c>
      <c r="J19" s="2" t="n">
        <f aca="false">MIN(J18+1,I19+1,I18+IF($A19=J$4,0,1))</f>
        <v>12</v>
      </c>
      <c r="K19" s="2" t="n">
        <f aca="false">MIN(K18+1,J19+1,J18+IF($A19=K$4,0,1))</f>
        <v>12</v>
      </c>
      <c r="L19" s="2" t="n">
        <f aca="false">MIN(L18+1,K19+1,K18+IF($A19=L$4,0,1))</f>
        <v>12</v>
      </c>
      <c r="M19" s="2" t="n">
        <f aca="false">MIN(M18+1,L19+1,L18+IF($A19=M$4,0,1))</f>
        <v>12</v>
      </c>
      <c r="N19" s="2" t="n">
        <f aca="false">MIN(N18+1,M19+1,M18+IF($A19=N$4,0,1))</f>
        <v>12</v>
      </c>
      <c r="O19" s="2" t="n">
        <f aca="false">MIN(O18+1,N19+1,N18+IF($A19=O$4,0,1))</f>
        <v>12</v>
      </c>
      <c r="P19" s="2" t="n">
        <f aca="false">MIN(P18+1,O19+1,O18+IF($A19=P$4,0,1))</f>
        <v>12</v>
      </c>
      <c r="Q19" s="2" t="n">
        <f aca="false">MIN(Q18+1,P19+1,P18+IF($A19=Q$4,0,1))</f>
        <v>12</v>
      </c>
      <c r="R19" s="2" t="n">
        <f aca="false">MIN(R18+1,Q19+1,Q18+IF($A19=R$4,0,1))</f>
        <v>13</v>
      </c>
      <c r="S19" s="2" t="n">
        <f aca="false">MIN(S18+1,R19+1,R18+IF($A19=S$4,0,1))</f>
        <v>14</v>
      </c>
      <c r="T19" s="2" t="n">
        <f aca="false">MIN(T18+1,S19+1,S18+IF($A19=T$4,0,1))</f>
        <v>14</v>
      </c>
      <c r="U19" s="2" t="n">
        <f aca="false">MIN(U18+1,T19+1,T18+IF($A19=U$4,0,1))</f>
        <v>15</v>
      </c>
      <c r="V19" s="2" t="n">
        <f aca="false">MIN(V18+1,U19+1,U18+IF($A19=V$4,0,1))</f>
        <v>16</v>
      </c>
      <c r="W19" s="2" t="n">
        <f aca="false">MIN(W18+1,V19+1,V18+IF($A19=W$4,0,1))</f>
        <v>17</v>
      </c>
      <c r="X19" s="2" t="n">
        <f aca="false">MIN(X18+1,W19+1,W18+IF($A19=X$4,0,1))</f>
        <v>18</v>
      </c>
      <c r="Y19" s="2" t="n">
        <f aca="false">MIN(Y18+1,X19+1,X18+IF($A19=Y$4,0,1))</f>
        <v>19</v>
      </c>
      <c r="Z19" s="2" t="n">
        <f aca="false">MIN(Z18+1,Y19+1,Y18+IF($A19=Z$4,0,1))</f>
        <v>20</v>
      </c>
      <c r="AA19" s="2" t="n">
        <f aca="false">MIN(AA18+1,Z19+1,Z18+IF($A19=AA$4,0,1))</f>
        <v>21</v>
      </c>
      <c r="AB19" s="2" t="n">
        <f aca="false">MIN(AB18+1,AA19+1,AA18+IF($A19=AB$4,0,1))</f>
        <v>22</v>
      </c>
      <c r="AC19" s="2" t="n">
        <f aca="false">MIN(AC18+1,AB19+1,AB18+IF($A19=AC$4,0,1))</f>
        <v>23</v>
      </c>
      <c r="AD19" s="2" t="n">
        <f aca="false">MIN(AD18+1,AC19+1,AC18+IF($A19=AD$4,0,1))</f>
        <v>24</v>
      </c>
      <c r="AE19" s="2" t="n">
        <f aca="false">MIN(AE18+1,AD19+1,AD18+IF($A19=AE$4,0,1))</f>
        <v>25</v>
      </c>
      <c r="AF19" s="2" t="n">
        <f aca="false">MIN(AF18+1,AE19+1,AE18+IF($A19=AF$4,0,1))</f>
        <v>26</v>
      </c>
      <c r="AG19" s="2" t="n">
        <f aca="false">MIN(AG18+1,AF19+1,AF18+IF($A19=AG$4,0,1))</f>
        <v>27</v>
      </c>
      <c r="AH19" s="2" t="n">
        <f aca="false">MIN(AH18+1,AG19+1,AG18+IF($A19=AH$4,0,1))</f>
        <v>28</v>
      </c>
      <c r="AI19" s="2" t="n">
        <f aca="false">MIN(AI18+1,AH19+1,AH18+IF($A19=AI$4,0,1))</f>
        <v>29</v>
      </c>
      <c r="AJ19" s="2" t="n">
        <f aca="false">MIN(AJ18+1,AI19+1,AI18+IF($A19=AJ$4,0,1))</f>
        <v>30</v>
      </c>
      <c r="AK19" s="2" t="n">
        <f aca="false">MIN(AK18+1,AJ19+1,AJ18+IF($A19=AK$4,0,1))</f>
        <v>31</v>
      </c>
      <c r="AL19" s="2" t="n">
        <f aca="false">MIN(AL18+1,AK19+1,AK18+IF($A19=AL$4,0,1))</f>
        <v>32</v>
      </c>
      <c r="AM19" s="2" t="n">
        <f aca="false">MIN(AM18+1,AL19+1,AL18+IF($A19=AM$4,0,1))</f>
        <v>33</v>
      </c>
      <c r="AN19" s="2" t="n">
        <f aca="false">MIN(AN18+1,AM19+1,AM18+IF($A19=AN$4,0,1))</f>
        <v>34</v>
      </c>
      <c r="AO19" s="2" t="n">
        <f aca="false">MIN(AO18+1,AN19+1,AN18+IF($A19=AO$4,0,1))</f>
        <v>35</v>
      </c>
      <c r="AP19" s="2" t="n">
        <f aca="false">MIN(AP18+1,AO19+1,AO18+IF($A19=AP$4,0,1))</f>
        <v>36</v>
      </c>
      <c r="AQ19" s="2" t="n">
        <f aca="false">MIN(AQ18+1,AP19+1,AP18+IF($A19=AQ$4,0,1))</f>
        <v>37</v>
      </c>
      <c r="AR19" s="2" t="n">
        <f aca="false">MIN(AR18+1,AQ19+1,AQ18+IF($A19=AR$4,0,1))</f>
        <v>38</v>
      </c>
      <c r="AS19" s="2" t="n">
        <f aca="false">MIN(AS18+1,AR19+1,AR18+IF($A19=AS$4,0,1))</f>
        <v>39</v>
      </c>
      <c r="AT19" s="2" t="n">
        <f aca="false">MIN(AT18+1,AS19+1,AS18+IF($A19=AT$4,0,1))</f>
        <v>40</v>
      </c>
      <c r="AU19" s="2" t="n">
        <f aca="false">MIN(AU18+1,AT19+1,AT18+IF($A19=AU$4,0,1))</f>
        <v>41</v>
      </c>
      <c r="AV19" s="2" t="n">
        <f aca="false">MIN(AV18+1,AU19+1,AU18+IF($A19=AV$4,0,1))</f>
        <v>42</v>
      </c>
      <c r="AW19" s="2" t="n">
        <f aca="false">MIN(AW18+1,AV19+1,AV18+IF($A19=AW$4,0,1))</f>
        <v>43</v>
      </c>
      <c r="AX19" s="2" t="n">
        <f aca="false">MIN(AX18+1,AW19+1,AW18+IF($A19=AX$4,0,1))</f>
        <v>44</v>
      </c>
      <c r="AY19" s="2" t="n">
        <f aca="false">MIN(AY18+1,AX19+1,AX18+IF($A19=AY$4,0,1))</f>
        <v>45</v>
      </c>
      <c r="AZ19" s="2" t="n">
        <f aca="false">MIN(AZ18+1,AY19+1,AY18+IF($A19=AZ$4,0,1))</f>
        <v>46</v>
      </c>
      <c r="BA19" s="2" t="n">
        <f aca="false">MIN(BA18+1,AZ19+1,AZ18+IF($A19=BA$4,0,1))</f>
        <v>47</v>
      </c>
      <c r="BB19" s="2" t="n">
        <f aca="false">MIN(BB18+1,BA19+1,BA18+IF($A19=BB$4,0,1))</f>
        <v>48</v>
      </c>
      <c r="BC19" s="2" t="n">
        <f aca="false">MIN(BC18+1,BB19+1,BB18+IF($A19=BC$4,0,1))</f>
        <v>49</v>
      </c>
      <c r="BD19" s="2" t="n">
        <f aca="false">MIN(BD18+1,BC19+1,BC18+IF($A19=BD$4,0,1))</f>
        <v>50</v>
      </c>
      <c r="BE19" s="2" t="n">
        <f aca="false">MIN(BE18+1,BD19+1,BD18+IF($A19=BE$4,0,1))</f>
        <v>51</v>
      </c>
      <c r="BF19" s="2" t="n">
        <f aca="false">MIN(BF18+1,BE19+1,BE18+IF($A19=BF$4,0,1))</f>
        <v>52</v>
      </c>
      <c r="BG19" s="2" t="n">
        <f aca="false">MIN(BG18+1,BF19+1,BF18+IF($A19=BG$4,0,1))</f>
        <v>53</v>
      </c>
      <c r="BH19" s="2" t="n">
        <f aca="false">MIN(BH18+1,BG19+1,BG18+IF($A19=BH$4,0,1))</f>
        <v>54</v>
      </c>
      <c r="BI19" s="2" t="n">
        <f aca="false">MIN(BI18+1,BH19+1,BH18+IF($A19=BI$4,0,1))</f>
        <v>55</v>
      </c>
      <c r="BJ19" s="2" t="n">
        <f aca="false">MIN(BJ18+1,BI19+1,BI18+IF($A19=BJ$4,0,1))</f>
        <v>56</v>
      </c>
      <c r="BK19" s="2" t="n">
        <f aca="false">MIN(BK18+1,BJ19+1,BJ18+IF($A19=BK$4,0,1))</f>
        <v>57</v>
      </c>
      <c r="BL19" s="2" t="n">
        <f aca="false">MIN(BL18+1,BK19+1,BK18+IF($A19=BL$4,0,1))</f>
        <v>58</v>
      </c>
      <c r="BM19" s="2" t="n">
        <f aca="false">MIN(BM18+1,BL19+1,BL18+IF($A19=BM$4,0,1))</f>
        <v>59</v>
      </c>
      <c r="BN19" s="2" t="n">
        <f aca="false">MIN(BN18+1,BM19+1,BM18+IF($A19=BN$4,0,1))</f>
        <v>60</v>
      </c>
      <c r="BO19" s="2" t="n">
        <f aca="false">MIN(BO18+1,BN19+1,BN18+IF($A19=BO$4,0,1))</f>
        <v>60</v>
      </c>
      <c r="BP19" s="2" t="n">
        <f aca="false">MIN(BP18+1,BO19+1,BO18+IF($A19=BP$4,0,1))</f>
        <v>61</v>
      </c>
      <c r="BQ19" s="2" t="n">
        <f aca="false">MIN(BQ18+1,BP19+1,BP18+IF($A19=BQ$4,0,1))</f>
        <v>62</v>
      </c>
      <c r="BR19" s="2" t="n">
        <f aca="false">MIN(BR18+1,BQ19+1,BQ18+IF($A19=BR$4,0,1))</f>
        <v>63</v>
      </c>
      <c r="BS19" s="2" t="n">
        <f aca="false">MIN(BS18+1,BR19+1,BR18+IF($A19=BS$4,0,1))</f>
        <v>64</v>
      </c>
      <c r="BT19" s="2" t="n">
        <f aca="false">MIN(BT18+1,BS19+1,BS18+IF($A19=BT$4,0,1))</f>
        <v>65</v>
      </c>
      <c r="BU19" s="2" t="n">
        <f aca="false">MIN(BU18+1,BT19+1,BT18+IF($A19=BU$4,0,1))</f>
        <v>66</v>
      </c>
      <c r="BV19" s="2" t="n">
        <f aca="false">MIN(BV18+1,BU19+1,BU18+IF($A19=BV$4,0,1))</f>
        <v>67</v>
      </c>
      <c r="BW19" s="2" t="n">
        <f aca="false">MIN(BW18+1,BV19+1,BV18+IF($A19=BW$4,0,1))</f>
        <v>68</v>
      </c>
      <c r="BX19" s="2" t="n">
        <f aca="false">MIN(BX18+1,BW19+1,BW18+IF($A19=BX$4,0,1))</f>
        <v>69</v>
      </c>
      <c r="BY19" s="2" t="n">
        <f aca="false">MIN(BY18+1,BX19+1,BX18+IF($A19=BY$4,0,1))</f>
        <v>70</v>
      </c>
      <c r="BZ19" s="2" t="n">
        <f aca="false">MIN(BZ18+1,BY19+1,BY18+IF($A19=BZ$4,0,1))</f>
        <v>71</v>
      </c>
      <c r="CA19" s="2" t="n">
        <f aca="false">MIN(CA18+1,BZ19+1,BZ18+IF($A19=CA$4,0,1))</f>
        <v>72</v>
      </c>
      <c r="CB19" s="2" t="n">
        <f aca="false">MIN(CB18+1,CA19+1,CA18+IF($A19=CB$4,0,1))</f>
        <v>73</v>
      </c>
      <c r="CC19" s="2" t="n">
        <f aca="false">MIN(CC18+1,CB19+1,CB18+IF($A19=CC$4,0,1))</f>
        <v>74</v>
      </c>
      <c r="CD19" s="2" t="n">
        <f aca="false">MIN(CD18+1,CC19+1,CC18+IF($A19=CD$4,0,1))</f>
        <v>75</v>
      </c>
      <c r="CE19" s="2" t="n">
        <f aca="false">MIN(CE18+1,CD19+1,CD18+IF($A19=CE$4,0,1))</f>
        <v>76</v>
      </c>
      <c r="CF19" s="2" t="n">
        <f aca="false">MIN(CF18+1,CE19+1,CE18+IF($A19=CF$4,0,1))</f>
        <v>77</v>
      </c>
      <c r="CG19" s="2" t="n">
        <f aca="false">MIN(CG18+1,CF19+1,CF18+IF($A19=CG$4,0,1))</f>
        <v>78</v>
      </c>
      <c r="CH19" s="2" t="n">
        <f aca="false">MIN(CH18+1,CG19+1,CG18+IF($A19=CH$4,0,1))</f>
        <v>79</v>
      </c>
      <c r="CI19" s="2" t="n">
        <f aca="false">MIN(CI18+1,CH19+1,CH18+IF($A19=CI$4,0,1))</f>
        <v>80</v>
      </c>
      <c r="CJ19" s="2" t="n">
        <f aca="false">MIN(CJ18+1,CI19+1,CI18+IF($A19=CJ$4,0,1))</f>
        <v>81</v>
      </c>
      <c r="CK19" s="2" t="n">
        <f aca="false">MIN(CK18+1,CJ19+1,CJ18+IF($A19=CK$4,0,1))</f>
        <v>82</v>
      </c>
      <c r="CL19" s="2" t="n">
        <f aca="false">MIN(CL18+1,CK19+1,CK18+IF($A19=CL$4,0,1))</f>
        <v>83</v>
      </c>
      <c r="CM19" s="2" t="n">
        <f aca="false">MIN(CM18+1,CL19+1,CL18+IF($A19=CM$4,0,1))</f>
        <v>84</v>
      </c>
      <c r="CN19" s="2" t="n">
        <f aca="false">MIN(CN18+1,CM19+1,CM18+IF($A19=CN$4,0,1))</f>
        <v>85</v>
      </c>
      <c r="CO19" s="2" t="n">
        <f aca="false">MIN(CO18+1,CN19+1,CN18+IF($A19=CO$4,0,1))</f>
        <v>86</v>
      </c>
      <c r="CP19" s="2" t="n">
        <f aca="false">MIN(CP18+1,CO19+1,CO18+IF($A19=CP$4,0,1))</f>
        <v>87</v>
      </c>
      <c r="CQ19" s="2" t="n">
        <f aca="false">MIN(CQ18+1,CP19+1,CP18+IF($A19=CQ$4,0,1))</f>
        <v>88</v>
      </c>
    </row>
    <row r="20" customFormat="false" ht="15" hidden="false" customHeight="false" outlineLevel="0" collapsed="false">
      <c r="A20" s="4" t="s">
        <v>89</v>
      </c>
      <c r="B20" s="12" t="n">
        <v>15</v>
      </c>
      <c r="C20" s="2" t="n">
        <f aca="false">MIN(C19+1,B20+1,B19+IF($A20=C$4,0,1))</f>
        <v>15</v>
      </c>
      <c r="D20" s="2" t="n">
        <f aca="false">MIN(D19+1,C20+1,C19+IF($A20=D$4,0,1))</f>
        <v>15</v>
      </c>
      <c r="E20" s="2" t="n">
        <f aca="false">MIN(E19+1,D20+1,D19+IF($A20=E$4,0,1))</f>
        <v>14</v>
      </c>
      <c r="F20" s="2" t="n">
        <f aca="false">MIN(F19+1,E20+1,E19+IF($A20=F$4,0,1))</f>
        <v>13</v>
      </c>
      <c r="G20" s="2" t="n">
        <f aca="false">MIN(G19+1,F20+1,F19+IF($A20=G$4,0,1))</f>
        <v>13</v>
      </c>
      <c r="H20" s="2" t="n">
        <f aca="false">MIN(H19+1,G20+1,G19+IF($A20=H$4,0,1))</f>
        <v>13</v>
      </c>
      <c r="I20" s="2" t="n">
        <f aca="false">MIN(I19+1,H20+1,H19+IF($A20=I$4,0,1))</f>
        <v>13</v>
      </c>
      <c r="J20" s="2" t="n">
        <f aca="false">MIN(J19+1,I20+1,I19+IF($A20=J$4,0,1))</f>
        <v>13</v>
      </c>
      <c r="K20" s="2" t="n">
        <f aca="false">MIN(K19+1,J20+1,J19+IF($A20=K$4,0,1))</f>
        <v>12</v>
      </c>
      <c r="L20" s="2" t="n">
        <f aca="false">MIN(L19+1,K20+1,K19+IF($A20=L$4,0,1))</f>
        <v>13</v>
      </c>
      <c r="M20" s="2" t="n">
        <f aca="false">MIN(M19+1,L20+1,L19+IF($A20=M$4,0,1))</f>
        <v>13</v>
      </c>
      <c r="N20" s="2" t="n">
        <f aca="false">MIN(N19+1,M20+1,M19+IF($A20=N$4,0,1))</f>
        <v>13</v>
      </c>
      <c r="O20" s="2" t="n">
        <f aca="false">MIN(O19+1,N20+1,N19+IF($A20=O$4,0,1))</f>
        <v>12</v>
      </c>
      <c r="P20" s="2" t="n">
        <f aca="false">MIN(P19+1,O20+1,O19+IF($A20=P$4,0,1))</f>
        <v>13</v>
      </c>
      <c r="Q20" s="2" t="n">
        <f aca="false">MIN(Q19+1,P20+1,P19+IF($A20=Q$4,0,1))</f>
        <v>13</v>
      </c>
      <c r="R20" s="2" t="n">
        <f aca="false">MIN(R19+1,Q20+1,Q19+IF($A20=R$4,0,1))</f>
        <v>13</v>
      </c>
      <c r="S20" s="2" t="n">
        <f aca="false">MIN(S19+1,R20+1,R19+IF($A20=S$4,0,1))</f>
        <v>14</v>
      </c>
      <c r="T20" s="2" t="n">
        <f aca="false">MIN(T19+1,S20+1,S19+IF($A20=T$4,0,1))</f>
        <v>15</v>
      </c>
      <c r="U20" s="2" t="n">
        <f aca="false">MIN(U19+1,T20+1,T19+IF($A20=U$4,0,1))</f>
        <v>15</v>
      </c>
      <c r="V20" s="2" t="n">
        <f aca="false">MIN(V19+1,U20+1,U19+IF($A20=V$4,0,1))</f>
        <v>16</v>
      </c>
      <c r="W20" s="2" t="n">
        <f aca="false">MIN(W19+1,V20+1,V19+IF($A20=W$4,0,1))</f>
        <v>17</v>
      </c>
      <c r="X20" s="2" t="n">
        <f aca="false">MIN(X19+1,W20+1,W19+IF($A20=X$4,0,1))</f>
        <v>18</v>
      </c>
      <c r="Y20" s="2" t="n">
        <f aca="false">MIN(Y19+1,X20+1,X19+IF($A20=Y$4,0,1))</f>
        <v>19</v>
      </c>
      <c r="Z20" s="2" t="n">
        <f aca="false">MIN(Z19+1,Y20+1,Y19+IF($A20=Z$4,0,1))</f>
        <v>20</v>
      </c>
      <c r="AA20" s="2" t="n">
        <f aca="false">MIN(AA19+1,Z20+1,Z19+IF($A20=AA$4,0,1))</f>
        <v>21</v>
      </c>
      <c r="AB20" s="2" t="n">
        <f aca="false">MIN(AB19+1,AA20+1,AA19+IF($A20=AB$4,0,1))</f>
        <v>22</v>
      </c>
      <c r="AC20" s="2" t="n">
        <f aca="false">MIN(AC19+1,AB20+1,AB19+IF($A20=AC$4,0,1))</f>
        <v>23</v>
      </c>
      <c r="AD20" s="2" t="n">
        <f aca="false">MIN(AD19+1,AC20+1,AC19+IF($A20=AD$4,0,1))</f>
        <v>24</v>
      </c>
      <c r="AE20" s="2" t="n">
        <f aca="false">MIN(AE19+1,AD20+1,AD19+IF($A20=AE$4,0,1))</f>
        <v>25</v>
      </c>
      <c r="AF20" s="2" t="n">
        <f aca="false">MIN(AF19+1,AE20+1,AE19+IF($A20=AF$4,0,1))</f>
        <v>26</v>
      </c>
      <c r="AG20" s="2" t="n">
        <f aca="false">MIN(AG19+1,AF20+1,AF19+IF($A20=AG$4,0,1))</f>
        <v>27</v>
      </c>
      <c r="AH20" s="2" t="n">
        <f aca="false">MIN(AH19+1,AG20+1,AG19+IF($A20=AH$4,0,1))</f>
        <v>28</v>
      </c>
      <c r="AI20" s="2" t="n">
        <f aca="false">MIN(AI19+1,AH20+1,AH19+IF($A20=AI$4,0,1))</f>
        <v>29</v>
      </c>
      <c r="AJ20" s="2" t="n">
        <f aca="false">MIN(AJ19+1,AI20+1,AI19+IF($A20=AJ$4,0,1))</f>
        <v>30</v>
      </c>
      <c r="AK20" s="2" t="n">
        <f aca="false">MIN(AK19+1,AJ20+1,AJ19+IF($A20=AK$4,0,1))</f>
        <v>31</v>
      </c>
      <c r="AL20" s="2" t="n">
        <f aca="false">MIN(AL19+1,AK20+1,AK19+IF($A20=AL$4,0,1))</f>
        <v>32</v>
      </c>
      <c r="AM20" s="2" t="n">
        <f aca="false">MIN(AM19+1,AL20+1,AL19+IF($A20=AM$4,0,1))</f>
        <v>33</v>
      </c>
      <c r="AN20" s="2" t="n">
        <f aca="false">MIN(AN19+1,AM20+1,AM19+IF($A20=AN$4,0,1))</f>
        <v>34</v>
      </c>
      <c r="AO20" s="2" t="n">
        <f aca="false">MIN(AO19+1,AN20+1,AN19+IF($A20=AO$4,0,1))</f>
        <v>35</v>
      </c>
      <c r="AP20" s="2" t="n">
        <f aca="false">MIN(AP19+1,AO20+1,AO19+IF($A20=AP$4,0,1))</f>
        <v>36</v>
      </c>
      <c r="AQ20" s="2" t="n">
        <f aca="false">MIN(AQ19+1,AP20+1,AP19+IF($A20=AQ$4,0,1))</f>
        <v>37</v>
      </c>
      <c r="AR20" s="2" t="n">
        <f aca="false">MIN(AR19+1,AQ20+1,AQ19+IF($A20=AR$4,0,1))</f>
        <v>38</v>
      </c>
      <c r="AS20" s="2" t="n">
        <f aca="false">MIN(AS19+1,AR20+1,AR19+IF($A20=AS$4,0,1))</f>
        <v>39</v>
      </c>
      <c r="AT20" s="2" t="n">
        <f aca="false">MIN(AT19+1,AS20+1,AS19+IF($A20=AT$4,0,1))</f>
        <v>40</v>
      </c>
      <c r="AU20" s="2" t="n">
        <f aca="false">MIN(AU19+1,AT20+1,AT19+IF($A20=AU$4,0,1))</f>
        <v>41</v>
      </c>
      <c r="AV20" s="2" t="n">
        <f aca="false">MIN(AV19+1,AU20+1,AU19+IF($A20=AV$4,0,1))</f>
        <v>42</v>
      </c>
      <c r="AW20" s="2" t="n">
        <f aca="false">MIN(AW19+1,AV20+1,AV19+IF($A20=AW$4,0,1))</f>
        <v>43</v>
      </c>
      <c r="AX20" s="2" t="n">
        <f aca="false">MIN(AX19+1,AW20+1,AW19+IF($A20=AX$4,0,1))</f>
        <v>44</v>
      </c>
      <c r="AY20" s="2" t="n">
        <f aca="false">MIN(AY19+1,AX20+1,AX19+IF($A20=AY$4,0,1))</f>
        <v>45</v>
      </c>
      <c r="AZ20" s="2" t="n">
        <f aca="false">MIN(AZ19+1,AY20+1,AY19+IF($A20=AZ$4,0,1))</f>
        <v>46</v>
      </c>
      <c r="BA20" s="2" t="n">
        <f aca="false">MIN(BA19+1,AZ20+1,AZ19+IF($A20=BA$4,0,1))</f>
        <v>47</v>
      </c>
      <c r="BB20" s="2" t="n">
        <f aca="false">MIN(BB19+1,BA20+1,BA19+IF($A20=BB$4,0,1))</f>
        <v>48</v>
      </c>
      <c r="BC20" s="2" t="n">
        <f aca="false">MIN(BC19+1,BB20+1,BB19+IF($A20=BC$4,0,1))</f>
        <v>49</v>
      </c>
      <c r="BD20" s="2" t="n">
        <f aca="false">MIN(BD19+1,BC20+1,BC19+IF($A20=BD$4,0,1))</f>
        <v>50</v>
      </c>
      <c r="BE20" s="2" t="n">
        <f aca="false">MIN(BE19+1,BD20+1,BD19+IF($A20=BE$4,0,1))</f>
        <v>51</v>
      </c>
      <c r="BF20" s="2" t="n">
        <f aca="false">MIN(BF19+1,BE20+1,BE19+IF($A20=BF$4,0,1))</f>
        <v>52</v>
      </c>
      <c r="BG20" s="2" t="n">
        <f aca="false">MIN(BG19+1,BF20+1,BF19+IF($A20=BG$4,0,1))</f>
        <v>53</v>
      </c>
      <c r="BH20" s="2" t="n">
        <f aca="false">MIN(BH19+1,BG20+1,BG19+IF($A20=BH$4,0,1))</f>
        <v>54</v>
      </c>
      <c r="BI20" s="2" t="n">
        <f aca="false">MIN(BI19+1,BH20+1,BH19+IF($A20=BI$4,0,1))</f>
        <v>55</v>
      </c>
      <c r="BJ20" s="2" t="n">
        <f aca="false">MIN(BJ19+1,BI20+1,BI19+IF($A20=BJ$4,0,1))</f>
        <v>56</v>
      </c>
      <c r="BK20" s="2" t="n">
        <f aca="false">MIN(BK19+1,BJ20+1,BJ19+IF($A20=BK$4,0,1))</f>
        <v>57</v>
      </c>
      <c r="BL20" s="2" t="n">
        <f aca="false">MIN(BL19+1,BK20+1,BK19+IF($A20=BL$4,0,1))</f>
        <v>57</v>
      </c>
      <c r="BM20" s="2" t="n">
        <f aca="false">MIN(BM19+1,BL20+1,BL19+IF($A20=BM$4,0,1))</f>
        <v>58</v>
      </c>
      <c r="BN20" s="2" t="n">
        <f aca="false">MIN(BN19+1,BM20+1,BM19+IF($A20=BN$4,0,1))</f>
        <v>59</v>
      </c>
      <c r="BO20" s="2" t="n">
        <f aca="false">MIN(BO19+1,BN20+1,BN19+IF($A20=BO$4,0,1))</f>
        <v>60</v>
      </c>
      <c r="BP20" s="2" t="n">
        <f aca="false">MIN(BP19+1,BO20+1,BO19+IF($A20=BP$4,0,1))</f>
        <v>61</v>
      </c>
      <c r="BQ20" s="2" t="n">
        <f aca="false">MIN(BQ19+1,BP20+1,BP19+IF($A20=BQ$4,0,1))</f>
        <v>62</v>
      </c>
      <c r="BR20" s="2" t="n">
        <f aca="false">MIN(BR19+1,BQ20+1,BQ19+IF($A20=BR$4,0,1))</f>
        <v>63</v>
      </c>
      <c r="BS20" s="2" t="n">
        <f aca="false">MIN(BS19+1,BR20+1,BR19+IF($A20=BS$4,0,1))</f>
        <v>64</v>
      </c>
      <c r="BT20" s="2" t="n">
        <f aca="false">MIN(BT19+1,BS20+1,BS19+IF($A20=BT$4,0,1))</f>
        <v>65</v>
      </c>
      <c r="BU20" s="2" t="n">
        <f aca="false">MIN(BU19+1,BT20+1,BT19+IF($A20=BU$4,0,1))</f>
        <v>66</v>
      </c>
      <c r="BV20" s="2" t="n">
        <f aca="false">MIN(BV19+1,BU20+1,BU19+IF($A20=BV$4,0,1))</f>
        <v>67</v>
      </c>
      <c r="BW20" s="2" t="n">
        <f aca="false">MIN(BW19+1,BV20+1,BV19+IF($A20=BW$4,0,1))</f>
        <v>68</v>
      </c>
      <c r="BX20" s="2" t="n">
        <f aca="false">MIN(BX19+1,BW20+1,BW19+IF($A20=BX$4,0,1))</f>
        <v>69</v>
      </c>
      <c r="BY20" s="2" t="n">
        <f aca="false">MIN(BY19+1,BX20+1,BX19+IF($A20=BY$4,0,1))</f>
        <v>70</v>
      </c>
      <c r="BZ20" s="2" t="n">
        <f aca="false">MIN(BZ19+1,BY20+1,BY19+IF($A20=BZ$4,0,1))</f>
        <v>71</v>
      </c>
      <c r="CA20" s="2" t="n">
        <f aca="false">MIN(CA19+1,BZ20+1,BZ19+IF($A20=CA$4,0,1))</f>
        <v>72</v>
      </c>
      <c r="CB20" s="2" t="n">
        <f aca="false">MIN(CB19+1,CA20+1,CA19+IF($A20=CB$4,0,1))</f>
        <v>73</v>
      </c>
      <c r="CC20" s="2" t="n">
        <f aca="false">MIN(CC19+1,CB20+1,CB19+IF($A20=CC$4,0,1))</f>
        <v>74</v>
      </c>
      <c r="CD20" s="2" t="n">
        <f aca="false">MIN(CD19+1,CC20+1,CC19+IF($A20=CD$4,0,1))</f>
        <v>75</v>
      </c>
      <c r="CE20" s="2" t="n">
        <f aca="false">MIN(CE19+1,CD20+1,CD19+IF($A20=CE$4,0,1))</f>
        <v>76</v>
      </c>
      <c r="CF20" s="2" t="n">
        <f aca="false">MIN(CF19+1,CE20+1,CE19+IF($A20=CF$4,0,1))</f>
        <v>77</v>
      </c>
      <c r="CG20" s="2" t="n">
        <f aca="false">MIN(CG19+1,CF20+1,CF19+IF($A20=CG$4,0,1))</f>
        <v>78</v>
      </c>
      <c r="CH20" s="2" t="n">
        <f aca="false">MIN(CH19+1,CG20+1,CG19+IF($A20=CH$4,0,1))</f>
        <v>79</v>
      </c>
      <c r="CI20" s="2" t="n">
        <f aca="false">MIN(CI19+1,CH20+1,CH19+IF($A20=CI$4,0,1))</f>
        <v>80</v>
      </c>
      <c r="CJ20" s="2" t="n">
        <f aca="false">MIN(CJ19+1,CI20+1,CI19+IF($A20=CJ$4,0,1))</f>
        <v>81</v>
      </c>
      <c r="CK20" s="2" t="n">
        <f aca="false">MIN(CK19+1,CJ20+1,CJ19+IF($A20=CK$4,0,1))</f>
        <v>82</v>
      </c>
      <c r="CL20" s="2" t="n">
        <f aca="false">MIN(CL19+1,CK20+1,CK19+IF($A20=CL$4,0,1))</f>
        <v>83</v>
      </c>
      <c r="CM20" s="2" t="n">
        <f aca="false">MIN(CM19+1,CL20+1,CL19+IF($A20=CM$4,0,1))</f>
        <v>84</v>
      </c>
      <c r="CN20" s="2" t="n">
        <f aca="false">MIN(CN19+1,CM20+1,CM19+IF($A20=CN$4,0,1))</f>
        <v>85</v>
      </c>
      <c r="CO20" s="2" t="n">
        <f aca="false">MIN(CO19+1,CN20+1,CN19+IF($A20=CO$4,0,1))</f>
        <v>86</v>
      </c>
      <c r="CP20" s="2" t="n">
        <f aca="false">MIN(CP19+1,CO20+1,CO19+IF($A20=CP$4,0,1))</f>
        <v>87</v>
      </c>
      <c r="CQ20" s="2" t="n">
        <f aca="false">MIN(CQ19+1,CP20+1,CP19+IF($A20=CQ$4,0,1))</f>
        <v>88</v>
      </c>
    </row>
    <row r="21" customFormat="false" ht="15" hidden="false" customHeight="false" outlineLevel="0" collapsed="false">
      <c r="A21" s="4" t="s">
        <v>67</v>
      </c>
      <c r="B21" s="12" t="n">
        <v>16</v>
      </c>
      <c r="C21" s="2" t="n">
        <f aca="false">MIN(C20+1,B21+1,B20+IF($A21=C$4,0,1))</f>
        <v>16</v>
      </c>
      <c r="D21" s="2" t="n">
        <f aca="false">MIN(D20+1,C21+1,C20+IF($A21=D$4,0,1))</f>
        <v>16</v>
      </c>
      <c r="E21" s="2" t="n">
        <f aca="false">MIN(E20+1,D21+1,D20+IF($A21=E$4,0,1))</f>
        <v>15</v>
      </c>
      <c r="F21" s="2" t="n">
        <f aca="false">MIN(F20+1,E21+1,E20+IF($A21=F$4,0,1))</f>
        <v>14</v>
      </c>
      <c r="G21" s="2" t="n">
        <f aca="false">MIN(G20+1,F21+1,F20+IF($A21=G$4,0,1))</f>
        <v>14</v>
      </c>
      <c r="H21" s="2" t="n">
        <f aca="false">MIN(H20+1,G21+1,G20+IF($A21=H$4,0,1))</f>
        <v>14</v>
      </c>
      <c r="I21" s="2" t="n">
        <f aca="false">MIN(I20+1,H21+1,H20+IF($A21=I$4,0,1))</f>
        <v>14</v>
      </c>
      <c r="J21" s="2" t="n">
        <f aca="false">MIN(J20+1,I21+1,I20+IF($A21=J$4,0,1))</f>
        <v>14</v>
      </c>
      <c r="K21" s="2" t="n">
        <f aca="false">MIN(K20+1,J21+1,J20+IF($A21=K$4,0,1))</f>
        <v>13</v>
      </c>
      <c r="L21" s="2" t="n">
        <f aca="false">MIN(L20+1,K21+1,K20+IF($A21=L$4,0,1))</f>
        <v>13</v>
      </c>
      <c r="M21" s="2" t="n">
        <f aca="false">MIN(M20+1,L21+1,L20+IF($A21=M$4,0,1))</f>
        <v>14</v>
      </c>
      <c r="N21" s="2" t="n">
        <f aca="false">MIN(N20+1,M21+1,M20+IF($A21=N$4,0,1))</f>
        <v>14</v>
      </c>
      <c r="O21" s="2" t="n">
        <f aca="false">MIN(O20+1,N21+1,N20+IF($A21=O$4,0,1))</f>
        <v>13</v>
      </c>
      <c r="P21" s="2" t="n">
        <f aca="false">MIN(P20+1,O21+1,O20+IF($A21=P$4,0,1))</f>
        <v>13</v>
      </c>
      <c r="Q21" s="2" t="n">
        <f aca="false">MIN(Q20+1,P21+1,P20+IF($A21=Q$4,0,1))</f>
        <v>14</v>
      </c>
      <c r="R21" s="2" t="n">
        <f aca="false">MIN(R20+1,Q21+1,Q20+IF($A21=R$4,0,1))</f>
        <v>14</v>
      </c>
      <c r="S21" s="2" t="n">
        <f aca="false">MIN(S20+1,R21+1,R20+IF($A21=S$4,0,1))</f>
        <v>14</v>
      </c>
      <c r="T21" s="2" t="n">
        <f aca="false">MIN(T20+1,S21+1,S20+IF($A21=T$4,0,1))</f>
        <v>15</v>
      </c>
      <c r="U21" s="2" t="n">
        <f aca="false">MIN(U20+1,T21+1,T20+IF($A21=U$4,0,1))</f>
        <v>16</v>
      </c>
      <c r="V21" s="2" t="n">
        <f aca="false">MIN(V20+1,U21+1,U20+IF($A21=V$4,0,1))</f>
        <v>16</v>
      </c>
      <c r="W21" s="2" t="n">
        <f aca="false">MIN(W20+1,V21+1,V20+IF($A21=W$4,0,1))</f>
        <v>17</v>
      </c>
      <c r="X21" s="2" t="n">
        <f aca="false">MIN(X20+1,W21+1,W20+IF($A21=X$4,0,1))</f>
        <v>18</v>
      </c>
      <c r="Y21" s="2" t="n">
        <f aca="false">MIN(Y20+1,X21+1,X20+IF($A21=Y$4,0,1))</f>
        <v>19</v>
      </c>
      <c r="Z21" s="2" t="n">
        <f aca="false">MIN(Z20+1,Y21+1,Y20+IF($A21=Z$4,0,1))</f>
        <v>20</v>
      </c>
      <c r="AA21" s="2" t="n">
        <f aca="false">MIN(AA20+1,Z21+1,Z20+IF($A21=AA$4,0,1))</f>
        <v>21</v>
      </c>
      <c r="AB21" s="2" t="n">
        <f aca="false">MIN(AB20+1,AA21+1,AA20+IF($A21=AB$4,0,1))</f>
        <v>22</v>
      </c>
      <c r="AC21" s="2" t="n">
        <f aca="false">MIN(AC20+1,AB21+1,AB20+IF($A21=AC$4,0,1))</f>
        <v>23</v>
      </c>
      <c r="AD21" s="2" t="n">
        <f aca="false">MIN(AD20+1,AC21+1,AC20+IF($A21=AD$4,0,1))</f>
        <v>24</v>
      </c>
      <c r="AE21" s="2" t="n">
        <f aca="false">MIN(AE20+1,AD21+1,AD20+IF($A21=AE$4,0,1))</f>
        <v>25</v>
      </c>
      <c r="AF21" s="2" t="n">
        <f aca="false">MIN(AF20+1,AE21+1,AE20+IF($A21=AF$4,0,1))</f>
        <v>26</v>
      </c>
      <c r="AG21" s="2" t="n">
        <f aca="false">MIN(AG20+1,AF21+1,AF20+IF($A21=AG$4,0,1))</f>
        <v>27</v>
      </c>
      <c r="AH21" s="2" t="n">
        <f aca="false">MIN(AH20+1,AG21+1,AG20+IF($A21=AH$4,0,1))</f>
        <v>28</v>
      </c>
      <c r="AI21" s="2" t="n">
        <f aca="false">MIN(AI20+1,AH21+1,AH20+IF($A21=AI$4,0,1))</f>
        <v>29</v>
      </c>
      <c r="AJ21" s="2" t="n">
        <f aca="false">MIN(AJ20+1,AI21+1,AI20+IF($A21=AJ$4,0,1))</f>
        <v>30</v>
      </c>
      <c r="AK21" s="2" t="n">
        <f aca="false">MIN(AK20+1,AJ21+1,AJ20+IF($A21=AK$4,0,1))</f>
        <v>31</v>
      </c>
      <c r="AL21" s="2" t="n">
        <f aca="false">MIN(AL20+1,AK21+1,AK20+IF($A21=AL$4,0,1))</f>
        <v>32</v>
      </c>
      <c r="AM21" s="2" t="n">
        <f aca="false">MIN(AM20+1,AL21+1,AL20+IF($A21=AM$4,0,1))</f>
        <v>33</v>
      </c>
      <c r="AN21" s="2" t="n">
        <f aca="false">MIN(AN20+1,AM21+1,AM20+IF($A21=AN$4,0,1))</f>
        <v>34</v>
      </c>
      <c r="AO21" s="2" t="n">
        <f aca="false">MIN(AO20+1,AN21+1,AN20+IF($A21=AO$4,0,1))</f>
        <v>35</v>
      </c>
      <c r="AP21" s="2" t="n">
        <f aca="false">MIN(AP20+1,AO21+1,AO20+IF($A21=AP$4,0,1))</f>
        <v>36</v>
      </c>
      <c r="AQ21" s="2" t="n">
        <f aca="false">MIN(AQ20+1,AP21+1,AP20+IF($A21=AQ$4,0,1))</f>
        <v>37</v>
      </c>
      <c r="AR21" s="2" t="n">
        <f aca="false">MIN(AR20+1,AQ21+1,AQ20+IF($A21=AR$4,0,1))</f>
        <v>38</v>
      </c>
      <c r="AS21" s="2" t="n">
        <f aca="false">MIN(AS20+1,AR21+1,AR20+IF($A21=AS$4,0,1))</f>
        <v>39</v>
      </c>
      <c r="AT21" s="2" t="n">
        <f aca="false">MIN(AT20+1,AS21+1,AS20+IF($A21=AT$4,0,1))</f>
        <v>40</v>
      </c>
      <c r="AU21" s="2" t="n">
        <f aca="false">MIN(AU20+1,AT21+1,AT20+IF($A21=AU$4,0,1))</f>
        <v>41</v>
      </c>
      <c r="AV21" s="2" t="n">
        <f aca="false">MIN(AV20+1,AU21+1,AU20+IF($A21=AV$4,0,1))</f>
        <v>42</v>
      </c>
      <c r="AW21" s="2" t="n">
        <f aca="false">MIN(AW20+1,AV21+1,AV20+IF($A21=AW$4,0,1))</f>
        <v>43</v>
      </c>
      <c r="AX21" s="2" t="n">
        <f aca="false">MIN(AX20+1,AW21+1,AW20+IF($A21=AX$4,0,1))</f>
        <v>44</v>
      </c>
      <c r="AY21" s="2" t="n">
        <f aca="false">MIN(AY20+1,AX21+1,AX20+IF($A21=AY$4,0,1))</f>
        <v>45</v>
      </c>
      <c r="AZ21" s="2" t="n">
        <f aca="false">MIN(AZ20+1,AY21+1,AY20+IF($A21=AZ$4,0,1))</f>
        <v>46</v>
      </c>
      <c r="BA21" s="2" t="n">
        <f aca="false">MIN(BA20+1,AZ21+1,AZ20+IF($A21=BA$4,0,1))</f>
        <v>47</v>
      </c>
      <c r="BB21" s="2" t="n">
        <f aca="false">MIN(BB20+1,BA21+1,BA20+IF($A21=BB$4,0,1))</f>
        <v>48</v>
      </c>
      <c r="BC21" s="2" t="n">
        <f aca="false">MIN(BC20+1,BB21+1,BB20+IF($A21=BC$4,0,1))</f>
        <v>49</v>
      </c>
      <c r="BD21" s="2" t="n">
        <f aca="false">MIN(BD20+1,BC21+1,BC20+IF($A21=BD$4,0,1))</f>
        <v>50</v>
      </c>
      <c r="BE21" s="2" t="n">
        <f aca="false">MIN(BE20+1,BD21+1,BD20+IF($A21=BE$4,0,1))</f>
        <v>51</v>
      </c>
      <c r="BF21" s="2" t="n">
        <f aca="false">MIN(BF20+1,BE21+1,BE20+IF($A21=BF$4,0,1))</f>
        <v>52</v>
      </c>
      <c r="BG21" s="2" t="n">
        <f aca="false">MIN(BG20+1,BF21+1,BF20+IF($A21=BG$4,0,1))</f>
        <v>53</v>
      </c>
      <c r="BH21" s="2" t="n">
        <f aca="false">MIN(BH20+1,BG21+1,BG20+IF($A21=BH$4,0,1))</f>
        <v>54</v>
      </c>
      <c r="BI21" s="2" t="n">
        <f aca="false">MIN(BI20+1,BH21+1,BH20+IF($A21=BI$4,0,1))</f>
        <v>55</v>
      </c>
      <c r="BJ21" s="2" t="n">
        <f aca="false">MIN(BJ20+1,BI21+1,BI20+IF($A21=BJ$4,0,1))</f>
        <v>56</v>
      </c>
      <c r="BK21" s="2" t="n">
        <f aca="false">MIN(BK20+1,BJ21+1,BJ20+IF($A21=BK$4,0,1))</f>
        <v>57</v>
      </c>
      <c r="BL21" s="2" t="n">
        <f aca="false">MIN(BL20+1,BK21+1,BK20+IF($A21=BL$4,0,1))</f>
        <v>58</v>
      </c>
      <c r="BM21" s="2" t="n">
        <f aca="false">MIN(BM20+1,BL21+1,BL20+IF($A21=BM$4,0,1))</f>
        <v>58</v>
      </c>
      <c r="BN21" s="2" t="n">
        <f aca="false">MIN(BN20+1,BM21+1,BM20+IF($A21=BN$4,0,1))</f>
        <v>59</v>
      </c>
      <c r="BO21" s="2" t="n">
        <f aca="false">MIN(BO20+1,BN21+1,BN20+IF($A21=BO$4,0,1))</f>
        <v>60</v>
      </c>
      <c r="BP21" s="2" t="n">
        <f aca="false">MIN(BP20+1,BO21+1,BO20+IF($A21=BP$4,0,1))</f>
        <v>61</v>
      </c>
      <c r="BQ21" s="2" t="n">
        <f aca="false">MIN(BQ20+1,BP21+1,BP20+IF($A21=BQ$4,0,1))</f>
        <v>62</v>
      </c>
      <c r="BR21" s="2" t="n">
        <f aca="false">MIN(BR20+1,BQ21+1,BQ20+IF($A21=BR$4,0,1))</f>
        <v>63</v>
      </c>
      <c r="BS21" s="2" t="n">
        <f aca="false">MIN(BS20+1,BR21+1,BR20+IF($A21=BS$4,0,1))</f>
        <v>64</v>
      </c>
      <c r="BT21" s="2" t="n">
        <f aca="false">MIN(BT20+1,BS21+1,BS20+IF($A21=BT$4,0,1))</f>
        <v>65</v>
      </c>
      <c r="BU21" s="2" t="n">
        <f aca="false">MIN(BU20+1,BT21+1,BT20+IF($A21=BU$4,0,1))</f>
        <v>66</v>
      </c>
      <c r="BV21" s="2" t="n">
        <f aca="false">MIN(BV20+1,BU21+1,BU20+IF($A21=BV$4,0,1))</f>
        <v>67</v>
      </c>
      <c r="BW21" s="2" t="n">
        <f aca="false">MIN(BW20+1,BV21+1,BV20+IF($A21=BW$4,0,1))</f>
        <v>68</v>
      </c>
      <c r="BX21" s="2" t="n">
        <f aca="false">MIN(BX20+1,BW21+1,BW20+IF($A21=BX$4,0,1))</f>
        <v>69</v>
      </c>
      <c r="BY21" s="2" t="n">
        <f aca="false">MIN(BY20+1,BX21+1,BX20+IF($A21=BY$4,0,1))</f>
        <v>70</v>
      </c>
      <c r="BZ21" s="2" t="n">
        <f aca="false">MIN(BZ20+1,BY21+1,BY20+IF($A21=BZ$4,0,1))</f>
        <v>71</v>
      </c>
      <c r="CA21" s="2" t="n">
        <f aca="false">MIN(CA20+1,BZ21+1,BZ20+IF($A21=CA$4,0,1))</f>
        <v>72</v>
      </c>
      <c r="CB21" s="2" t="n">
        <f aca="false">MIN(CB20+1,CA21+1,CA20+IF($A21=CB$4,0,1))</f>
        <v>73</v>
      </c>
      <c r="CC21" s="2" t="n">
        <f aca="false">MIN(CC20+1,CB21+1,CB20+IF($A21=CC$4,0,1))</f>
        <v>74</v>
      </c>
      <c r="CD21" s="2" t="n">
        <f aca="false">MIN(CD20+1,CC21+1,CC20+IF($A21=CD$4,0,1))</f>
        <v>75</v>
      </c>
      <c r="CE21" s="2" t="n">
        <f aca="false">MIN(CE20+1,CD21+1,CD20+IF($A21=CE$4,0,1))</f>
        <v>76</v>
      </c>
      <c r="CF21" s="2" t="n">
        <f aca="false">MIN(CF20+1,CE21+1,CE20+IF($A21=CF$4,0,1))</f>
        <v>77</v>
      </c>
      <c r="CG21" s="2" t="n">
        <f aca="false">MIN(CG20+1,CF21+1,CF20+IF($A21=CG$4,0,1))</f>
        <v>78</v>
      </c>
      <c r="CH21" s="2" t="n">
        <f aca="false">MIN(CH20+1,CG21+1,CG20+IF($A21=CH$4,0,1))</f>
        <v>79</v>
      </c>
      <c r="CI21" s="2" t="n">
        <f aca="false">MIN(CI20+1,CH21+1,CH20+IF($A21=CI$4,0,1))</f>
        <v>80</v>
      </c>
      <c r="CJ21" s="2" t="n">
        <f aca="false">MIN(CJ20+1,CI21+1,CI20+IF($A21=CJ$4,0,1))</f>
        <v>81</v>
      </c>
      <c r="CK21" s="2" t="n">
        <f aca="false">MIN(CK20+1,CJ21+1,CJ20+IF($A21=CK$4,0,1))</f>
        <v>82</v>
      </c>
      <c r="CL21" s="2" t="n">
        <f aca="false">MIN(CL20+1,CK21+1,CK20+IF($A21=CL$4,0,1))</f>
        <v>83</v>
      </c>
      <c r="CM21" s="2" t="n">
        <f aca="false">MIN(CM20+1,CL21+1,CL20+IF($A21=CM$4,0,1))</f>
        <v>84</v>
      </c>
      <c r="CN21" s="2" t="n">
        <f aca="false">MIN(CN20+1,CM21+1,CM20+IF($A21=CN$4,0,1))</f>
        <v>85</v>
      </c>
      <c r="CO21" s="2" t="n">
        <f aca="false">MIN(CO20+1,CN21+1,CN20+IF($A21=CO$4,0,1))</f>
        <v>86</v>
      </c>
      <c r="CP21" s="2" t="n">
        <f aca="false">MIN(CP20+1,CO21+1,CO20+IF($A21=CP$4,0,1))</f>
        <v>87</v>
      </c>
      <c r="CQ21" s="2" t="n">
        <f aca="false">MIN(CQ20+1,CP21+1,CP20+IF($A21=CQ$4,0,1))</f>
        <v>88</v>
      </c>
    </row>
    <row r="22" customFormat="false" ht="15" hidden="false" customHeight="false" outlineLevel="0" collapsed="false">
      <c r="A22" s="4" t="s">
        <v>92</v>
      </c>
      <c r="B22" s="12" t="n">
        <v>17</v>
      </c>
      <c r="C22" s="2" t="n">
        <f aca="false">MIN(C21+1,B22+1,B21+IF($A22=C$4,0,1))</f>
        <v>17</v>
      </c>
      <c r="D22" s="2" t="n">
        <f aca="false">MIN(D21+1,C22+1,C21+IF($A22=D$4,0,1))</f>
        <v>17</v>
      </c>
      <c r="E22" s="2" t="n">
        <f aca="false">MIN(E21+1,D22+1,D21+IF($A22=E$4,0,1))</f>
        <v>16</v>
      </c>
      <c r="F22" s="2" t="n">
        <f aca="false">MIN(F21+1,E22+1,E21+IF($A22=F$4,0,1))</f>
        <v>15</v>
      </c>
      <c r="G22" s="2" t="n">
        <f aca="false">MIN(G21+1,F22+1,F21+IF($A22=G$4,0,1))</f>
        <v>15</v>
      </c>
      <c r="H22" s="2" t="n">
        <f aca="false">MIN(H21+1,G22+1,G21+IF($A22=H$4,0,1))</f>
        <v>15</v>
      </c>
      <c r="I22" s="2" t="n">
        <f aca="false">MIN(I21+1,H22+1,H21+IF($A22=I$4,0,1))</f>
        <v>15</v>
      </c>
      <c r="J22" s="2" t="n">
        <f aca="false">MIN(J21+1,I22+1,I21+IF($A22=J$4,0,1))</f>
        <v>15</v>
      </c>
      <c r="K22" s="2" t="n">
        <f aca="false">MIN(K21+1,J22+1,J21+IF($A22=K$4,0,1))</f>
        <v>14</v>
      </c>
      <c r="L22" s="2" t="n">
        <f aca="false">MIN(L21+1,K22+1,K21+IF($A22=L$4,0,1))</f>
        <v>14</v>
      </c>
      <c r="M22" s="2" t="n">
        <f aca="false">MIN(M21+1,L22+1,L21+IF($A22=M$4,0,1))</f>
        <v>14</v>
      </c>
      <c r="N22" s="2" t="n">
        <f aca="false">MIN(N21+1,M22+1,M21+IF($A22=N$4,0,1))</f>
        <v>14</v>
      </c>
      <c r="O22" s="2" t="n">
        <f aca="false">MIN(O21+1,N22+1,N21+IF($A22=O$4,0,1))</f>
        <v>14</v>
      </c>
      <c r="P22" s="2" t="n">
        <f aca="false">MIN(P21+1,O22+1,O21+IF($A22=P$4,0,1))</f>
        <v>14</v>
      </c>
      <c r="Q22" s="2" t="n">
        <f aca="false">MIN(Q21+1,P22+1,P21+IF($A22=Q$4,0,1))</f>
        <v>14</v>
      </c>
      <c r="R22" s="2" t="n">
        <f aca="false">MIN(R21+1,Q22+1,Q21+IF($A22=R$4,0,1))</f>
        <v>15</v>
      </c>
      <c r="S22" s="2" t="n">
        <f aca="false">MIN(S21+1,R22+1,R21+IF($A22=S$4,0,1))</f>
        <v>15</v>
      </c>
      <c r="T22" s="2" t="n">
        <f aca="false">MIN(T21+1,S22+1,S21+IF($A22=T$4,0,1))</f>
        <v>15</v>
      </c>
      <c r="U22" s="2" t="n">
        <f aca="false">MIN(U21+1,T22+1,T21+IF($A22=U$4,0,1))</f>
        <v>16</v>
      </c>
      <c r="V22" s="2" t="n">
        <f aca="false">MIN(V21+1,U22+1,U21+IF($A22=V$4,0,1))</f>
        <v>17</v>
      </c>
      <c r="W22" s="2" t="n">
        <f aca="false">MIN(W21+1,V22+1,V21+IF($A22=W$4,0,1))</f>
        <v>17</v>
      </c>
      <c r="X22" s="2" t="n">
        <f aca="false">MIN(X21+1,W22+1,W21+IF($A22=X$4,0,1))</f>
        <v>18</v>
      </c>
      <c r="Y22" s="2" t="n">
        <f aca="false">MIN(Y21+1,X22+1,X21+IF($A22=Y$4,0,1))</f>
        <v>19</v>
      </c>
      <c r="Z22" s="2" t="n">
        <f aca="false">MIN(Z21+1,Y22+1,Y21+IF($A22=Z$4,0,1))</f>
        <v>20</v>
      </c>
      <c r="AA22" s="2" t="n">
        <f aca="false">MIN(AA21+1,Z22+1,Z21+IF($A22=AA$4,0,1))</f>
        <v>21</v>
      </c>
      <c r="AB22" s="2" t="n">
        <f aca="false">MIN(AB21+1,AA22+1,AA21+IF($A22=AB$4,0,1))</f>
        <v>22</v>
      </c>
      <c r="AC22" s="2" t="n">
        <f aca="false">MIN(AC21+1,AB22+1,AB21+IF($A22=AC$4,0,1))</f>
        <v>23</v>
      </c>
      <c r="AD22" s="2" t="n">
        <f aca="false">MIN(AD21+1,AC22+1,AC21+IF($A22=AD$4,0,1))</f>
        <v>24</v>
      </c>
      <c r="AE22" s="2" t="n">
        <f aca="false">MIN(AE21+1,AD22+1,AD21+IF($A22=AE$4,0,1))</f>
        <v>25</v>
      </c>
      <c r="AF22" s="2" t="n">
        <f aca="false">MIN(AF21+1,AE22+1,AE21+IF($A22=AF$4,0,1))</f>
        <v>26</v>
      </c>
      <c r="AG22" s="2" t="n">
        <f aca="false">MIN(AG21+1,AF22+1,AF21+IF($A22=AG$4,0,1))</f>
        <v>27</v>
      </c>
      <c r="AH22" s="2" t="n">
        <f aca="false">MIN(AH21+1,AG22+1,AG21+IF($A22=AH$4,0,1))</f>
        <v>28</v>
      </c>
      <c r="AI22" s="2" t="n">
        <f aca="false">MIN(AI21+1,AH22+1,AH21+IF($A22=AI$4,0,1))</f>
        <v>29</v>
      </c>
      <c r="AJ22" s="2" t="n">
        <f aca="false">MIN(AJ21+1,AI22+1,AI21+IF($A22=AJ$4,0,1))</f>
        <v>30</v>
      </c>
      <c r="AK22" s="2" t="n">
        <f aca="false">MIN(AK21+1,AJ22+1,AJ21+IF($A22=AK$4,0,1))</f>
        <v>31</v>
      </c>
      <c r="AL22" s="2" t="n">
        <f aca="false">MIN(AL21+1,AK22+1,AK21+IF($A22=AL$4,0,1))</f>
        <v>32</v>
      </c>
      <c r="AM22" s="2" t="n">
        <f aca="false">MIN(AM21+1,AL22+1,AL21+IF($A22=AM$4,0,1))</f>
        <v>33</v>
      </c>
      <c r="AN22" s="2" t="n">
        <f aca="false">MIN(AN21+1,AM22+1,AM21+IF($A22=AN$4,0,1))</f>
        <v>34</v>
      </c>
      <c r="AO22" s="2" t="n">
        <f aca="false">MIN(AO21+1,AN22+1,AN21+IF($A22=AO$4,0,1))</f>
        <v>35</v>
      </c>
      <c r="AP22" s="2" t="n">
        <f aca="false">MIN(AP21+1,AO22+1,AO21+IF($A22=AP$4,0,1))</f>
        <v>36</v>
      </c>
      <c r="AQ22" s="2" t="n">
        <f aca="false">MIN(AQ21+1,AP22+1,AP21+IF($A22=AQ$4,0,1))</f>
        <v>37</v>
      </c>
      <c r="AR22" s="2" t="n">
        <f aca="false">MIN(AR21+1,AQ22+1,AQ21+IF($A22=AR$4,0,1))</f>
        <v>38</v>
      </c>
      <c r="AS22" s="2" t="n">
        <f aca="false">MIN(AS21+1,AR22+1,AR21+IF($A22=AS$4,0,1))</f>
        <v>39</v>
      </c>
      <c r="AT22" s="2" t="n">
        <f aca="false">MIN(AT21+1,AS22+1,AS21+IF($A22=AT$4,0,1))</f>
        <v>40</v>
      </c>
      <c r="AU22" s="2" t="n">
        <f aca="false">MIN(AU21+1,AT22+1,AT21+IF($A22=AU$4,0,1))</f>
        <v>41</v>
      </c>
      <c r="AV22" s="2" t="n">
        <f aca="false">MIN(AV21+1,AU22+1,AU21+IF($A22=AV$4,0,1))</f>
        <v>42</v>
      </c>
      <c r="AW22" s="2" t="n">
        <f aca="false">MIN(AW21+1,AV22+1,AV21+IF($A22=AW$4,0,1))</f>
        <v>43</v>
      </c>
      <c r="AX22" s="2" t="n">
        <f aca="false">MIN(AX21+1,AW22+1,AW21+IF($A22=AX$4,0,1))</f>
        <v>44</v>
      </c>
      <c r="AY22" s="2" t="n">
        <f aca="false">MIN(AY21+1,AX22+1,AX21+IF($A22=AY$4,0,1))</f>
        <v>45</v>
      </c>
      <c r="AZ22" s="2" t="n">
        <f aca="false">MIN(AZ21+1,AY22+1,AY21+IF($A22=AZ$4,0,1))</f>
        <v>46</v>
      </c>
      <c r="BA22" s="2" t="n">
        <f aca="false">MIN(BA21+1,AZ22+1,AZ21+IF($A22=BA$4,0,1))</f>
        <v>47</v>
      </c>
      <c r="BB22" s="2" t="n">
        <f aca="false">MIN(BB21+1,BA22+1,BA21+IF($A22=BB$4,0,1))</f>
        <v>48</v>
      </c>
      <c r="BC22" s="2" t="n">
        <f aca="false">MIN(BC21+1,BB22+1,BB21+IF($A22=BC$4,0,1))</f>
        <v>49</v>
      </c>
      <c r="BD22" s="2" t="n">
        <f aca="false">MIN(BD21+1,BC22+1,BC21+IF($A22=BD$4,0,1))</f>
        <v>50</v>
      </c>
      <c r="BE22" s="2" t="n">
        <f aca="false">MIN(BE21+1,BD22+1,BD21+IF($A22=BE$4,0,1))</f>
        <v>51</v>
      </c>
      <c r="BF22" s="2" t="n">
        <f aca="false">MIN(BF21+1,BE22+1,BE21+IF($A22=BF$4,0,1))</f>
        <v>52</v>
      </c>
      <c r="BG22" s="2" t="n">
        <f aca="false">MIN(BG21+1,BF22+1,BF21+IF($A22=BG$4,0,1))</f>
        <v>53</v>
      </c>
      <c r="BH22" s="2" t="n">
        <f aca="false">MIN(BH21+1,BG22+1,BG21+IF($A22=BH$4,0,1))</f>
        <v>54</v>
      </c>
      <c r="BI22" s="2" t="n">
        <f aca="false">MIN(BI21+1,BH22+1,BH21+IF($A22=BI$4,0,1))</f>
        <v>54</v>
      </c>
      <c r="BJ22" s="2" t="n">
        <f aca="false">MIN(BJ21+1,BI22+1,BI21+IF($A22=BJ$4,0,1))</f>
        <v>55</v>
      </c>
      <c r="BK22" s="2" t="n">
        <f aca="false">MIN(BK21+1,BJ22+1,BJ21+IF($A22=BK$4,0,1))</f>
        <v>56</v>
      </c>
      <c r="BL22" s="2" t="n">
        <f aca="false">MIN(BL21+1,BK22+1,BK21+IF($A22=BL$4,0,1))</f>
        <v>57</v>
      </c>
      <c r="BM22" s="2" t="n">
        <f aca="false">MIN(BM21+1,BL22+1,BL21+IF($A22=BM$4,0,1))</f>
        <v>58</v>
      </c>
      <c r="BN22" s="2" t="n">
        <f aca="false">MIN(BN21+1,BM22+1,BM21+IF($A22=BN$4,0,1))</f>
        <v>59</v>
      </c>
      <c r="BO22" s="2" t="n">
        <f aca="false">MIN(BO21+1,BN22+1,BN21+IF($A22=BO$4,0,1))</f>
        <v>60</v>
      </c>
      <c r="BP22" s="2" t="n">
        <f aca="false">MIN(BP21+1,BO22+1,BO21+IF($A22=BP$4,0,1))</f>
        <v>61</v>
      </c>
      <c r="BQ22" s="2" t="n">
        <f aca="false">MIN(BQ21+1,BP22+1,BP21+IF($A22=BQ$4,0,1))</f>
        <v>62</v>
      </c>
      <c r="BR22" s="2" t="n">
        <f aca="false">MIN(BR21+1,BQ22+1,BQ21+IF($A22=BR$4,0,1))</f>
        <v>63</v>
      </c>
      <c r="BS22" s="2" t="n">
        <f aca="false">MIN(BS21+1,BR22+1,BR21+IF($A22=BS$4,0,1))</f>
        <v>64</v>
      </c>
      <c r="BT22" s="2" t="n">
        <f aca="false">MIN(BT21+1,BS22+1,BS21+IF($A22=BT$4,0,1))</f>
        <v>65</v>
      </c>
      <c r="BU22" s="2" t="n">
        <f aca="false">MIN(BU21+1,BT22+1,BT21+IF($A22=BU$4,0,1))</f>
        <v>66</v>
      </c>
      <c r="BV22" s="2" t="n">
        <f aca="false">MIN(BV21+1,BU22+1,BU21+IF($A22=BV$4,0,1))</f>
        <v>67</v>
      </c>
      <c r="BW22" s="2" t="n">
        <f aca="false">MIN(BW21+1,BV22+1,BV21+IF($A22=BW$4,0,1))</f>
        <v>68</v>
      </c>
      <c r="BX22" s="2" t="n">
        <f aca="false">MIN(BX21+1,BW22+1,BW21+IF($A22=BX$4,0,1))</f>
        <v>69</v>
      </c>
      <c r="BY22" s="2" t="n">
        <f aca="false">MIN(BY21+1,BX22+1,BX21+IF($A22=BY$4,0,1))</f>
        <v>70</v>
      </c>
      <c r="BZ22" s="2" t="n">
        <f aca="false">MIN(BZ21+1,BY22+1,BY21+IF($A22=BZ$4,0,1))</f>
        <v>71</v>
      </c>
      <c r="CA22" s="2" t="n">
        <f aca="false">MIN(CA21+1,BZ22+1,BZ21+IF($A22=CA$4,0,1))</f>
        <v>72</v>
      </c>
      <c r="CB22" s="2" t="n">
        <f aca="false">MIN(CB21+1,CA22+1,CA21+IF($A22=CB$4,0,1))</f>
        <v>73</v>
      </c>
      <c r="CC22" s="2" t="n">
        <f aca="false">MIN(CC21+1,CB22+1,CB21+IF($A22=CC$4,0,1))</f>
        <v>74</v>
      </c>
      <c r="CD22" s="2" t="n">
        <f aca="false">MIN(CD21+1,CC22+1,CC21+IF($A22=CD$4,0,1))</f>
        <v>75</v>
      </c>
      <c r="CE22" s="2" t="n">
        <f aca="false">MIN(CE21+1,CD22+1,CD21+IF($A22=CE$4,0,1))</f>
        <v>76</v>
      </c>
      <c r="CF22" s="2" t="n">
        <f aca="false">MIN(CF21+1,CE22+1,CE21+IF($A22=CF$4,0,1))</f>
        <v>77</v>
      </c>
      <c r="CG22" s="2" t="n">
        <f aca="false">MIN(CG21+1,CF22+1,CF21+IF($A22=CG$4,0,1))</f>
        <v>78</v>
      </c>
      <c r="CH22" s="2" t="n">
        <f aca="false">MIN(CH21+1,CG22+1,CG21+IF($A22=CH$4,0,1))</f>
        <v>79</v>
      </c>
      <c r="CI22" s="2" t="n">
        <f aca="false">MIN(CI21+1,CH22+1,CH21+IF($A22=CI$4,0,1))</f>
        <v>80</v>
      </c>
      <c r="CJ22" s="2" t="n">
        <f aca="false">MIN(CJ21+1,CI22+1,CI21+IF($A22=CJ$4,0,1))</f>
        <v>81</v>
      </c>
      <c r="CK22" s="2" t="n">
        <f aca="false">MIN(CK21+1,CJ22+1,CJ21+IF($A22=CK$4,0,1))</f>
        <v>82</v>
      </c>
      <c r="CL22" s="2" t="n">
        <f aca="false">MIN(CL21+1,CK22+1,CK21+IF($A22=CL$4,0,1))</f>
        <v>83</v>
      </c>
      <c r="CM22" s="2" t="n">
        <f aca="false">MIN(CM21+1,CL22+1,CL21+IF($A22=CM$4,0,1))</f>
        <v>84</v>
      </c>
      <c r="CN22" s="2" t="n">
        <f aca="false">MIN(CN21+1,CM22+1,CM21+IF($A22=CN$4,0,1))</f>
        <v>85</v>
      </c>
      <c r="CO22" s="2" t="n">
        <f aca="false">MIN(CO21+1,CN22+1,CN21+IF($A22=CO$4,0,1))</f>
        <v>86</v>
      </c>
      <c r="CP22" s="2" t="n">
        <f aca="false">MIN(CP21+1,CO22+1,CO21+IF($A22=CP$4,0,1))</f>
        <v>87</v>
      </c>
      <c r="CQ22" s="2" t="n">
        <f aca="false">MIN(CQ21+1,CP22+1,CP21+IF($A22=CQ$4,0,1))</f>
        <v>88</v>
      </c>
    </row>
    <row r="23" customFormat="false" ht="15" hidden="false" customHeight="false" outlineLevel="0" collapsed="false">
      <c r="A23" s="4" t="s">
        <v>155</v>
      </c>
      <c r="B23" s="12" t="n">
        <v>18</v>
      </c>
      <c r="C23" s="2" t="n">
        <f aca="false">MIN(C22+1,B23+1,B22+IF($A23=C$4,0,1))</f>
        <v>18</v>
      </c>
      <c r="D23" s="2" t="n">
        <f aca="false">MIN(D22+1,C23+1,C22+IF($A23=D$4,0,1))</f>
        <v>18</v>
      </c>
      <c r="E23" s="2" t="n">
        <f aca="false">MIN(E22+1,D23+1,D22+IF($A23=E$4,0,1))</f>
        <v>17</v>
      </c>
      <c r="F23" s="2" t="n">
        <f aca="false">MIN(F22+1,E23+1,E22+IF($A23=F$4,0,1))</f>
        <v>16</v>
      </c>
      <c r="G23" s="2" t="n">
        <f aca="false">MIN(G22+1,F23+1,F22+IF($A23=G$4,0,1))</f>
        <v>16</v>
      </c>
      <c r="H23" s="2" t="n">
        <f aca="false">MIN(H22+1,G23+1,G22+IF($A23=H$4,0,1))</f>
        <v>16</v>
      </c>
      <c r="I23" s="2" t="n">
        <f aca="false">MIN(I22+1,H23+1,H22+IF($A23=I$4,0,1))</f>
        <v>16</v>
      </c>
      <c r="J23" s="2" t="n">
        <f aca="false">MIN(J22+1,I23+1,I22+IF($A23=J$4,0,1))</f>
        <v>16</v>
      </c>
      <c r="K23" s="2" t="n">
        <f aca="false">MIN(K22+1,J23+1,J22+IF($A23=K$4,0,1))</f>
        <v>15</v>
      </c>
      <c r="L23" s="2" t="n">
        <f aca="false">MIN(L22+1,K23+1,K22+IF($A23=L$4,0,1))</f>
        <v>15</v>
      </c>
      <c r="M23" s="2" t="n">
        <f aca="false">MIN(M22+1,L23+1,L22+IF($A23=M$4,0,1))</f>
        <v>15</v>
      </c>
      <c r="N23" s="2" t="n">
        <f aca="false">MIN(N22+1,M23+1,M22+IF($A23=N$4,0,1))</f>
        <v>15</v>
      </c>
      <c r="O23" s="2" t="n">
        <f aca="false">MIN(O22+1,N23+1,N22+IF($A23=O$4,0,1))</f>
        <v>15</v>
      </c>
      <c r="P23" s="2" t="n">
        <f aca="false">MIN(P22+1,O23+1,O22+IF($A23=P$4,0,1))</f>
        <v>15</v>
      </c>
      <c r="Q23" s="2" t="n">
        <f aca="false">MIN(Q22+1,P23+1,P22+IF($A23=Q$4,0,1))</f>
        <v>15</v>
      </c>
      <c r="R23" s="2" t="n">
        <f aca="false">MIN(R22+1,Q23+1,Q22+IF($A23=R$4,0,1))</f>
        <v>15</v>
      </c>
      <c r="S23" s="2" t="n">
        <f aca="false">MIN(S22+1,R23+1,R22+IF($A23=S$4,0,1))</f>
        <v>16</v>
      </c>
      <c r="T23" s="2" t="n">
        <f aca="false">MIN(T22+1,S23+1,S22+IF($A23=T$4,0,1))</f>
        <v>16</v>
      </c>
      <c r="U23" s="2" t="n">
        <f aca="false">MIN(U22+1,T23+1,T22+IF($A23=U$4,0,1))</f>
        <v>16</v>
      </c>
      <c r="V23" s="2" t="n">
        <f aca="false">MIN(V22+1,U23+1,U22+IF($A23=V$4,0,1))</f>
        <v>17</v>
      </c>
      <c r="W23" s="2" t="n">
        <f aca="false">MIN(W22+1,V23+1,V22+IF($A23=W$4,0,1))</f>
        <v>18</v>
      </c>
      <c r="X23" s="2" t="n">
        <f aca="false">MIN(X22+1,W23+1,W22+IF($A23=X$4,0,1))</f>
        <v>18</v>
      </c>
      <c r="Y23" s="2" t="n">
        <f aca="false">MIN(Y22+1,X23+1,X22+IF($A23=Y$4,0,1))</f>
        <v>19</v>
      </c>
      <c r="Z23" s="2" t="n">
        <f aca="false">MIN(Z22+1,Y23+1,Y22+IF($A23=Z$4,0,1))</f>
        <v>20</v>
      </c>
      <c r="AA23" s="2" t="n">
        <f aca="false">MIN(AA22+1,Z23+1,Z22+IF($A23=AA$4,0,1))</f>
        <v>21</v>
      </c>
      <c r="AB23" s="2" t="n">
        <f aca="false">MIN(AB22+1,AA23+1,AA22+IF($A23=AB$4,0,1))</f>
        <v>22</v>
      </c>
      <c r="AC23" s="2" t="n">
        <f aca="false">MIN(AC22+1,AB23+1,AB22+IF($A23=AC$4,0,1))</f>
        <v>23</v>
      </c>
      <c r="AD23" s="2" t="n">
        <f aca="false">MIN(AD22+1,AC23+1,AC22+IF($A23=AD$4,0,1))</f>
        <v>24</v>
      </c>
      <c r="AE23" s="2" t="n">
        <f aca="false">MIN(AE22+1,AD23+1,AD22+IF($A23=AE$4,0,1))</f>
        <v>25</v>
      </c>
      <c r="AF23" s="2" t="n">
        <f aca="false">MIN(AF22+1,AE23+1,AE22+IF($A23=AF$4,0,1))</f>
        <v>26</v>
      </c>
      <c r="AG23" s="2" t="n">
        <f aca="false">MIN(AG22+1,AF23+1,AF22+IF($A23=AG$4,0,1))</f>
        <v>27</v>
      </c>
      <c r="AH23" s="2" t="n">
        <f aca="false">MIN(AH22+1,AG23+1,AG22+IF($A23=AH$4,0,1))</f>
        <v>28</v>
      </c>
      <c r="AI23" s="2" t="n">
        <f aca="false">MIN(AI22+1,AH23+1,AH22+IF($A23=AI$4,0,1))</f>
        <v>29</v>
      </c>
      <c r="AJ23" s="2" t="n">
        <f aca="false">MIN(AJ22+1,AI23+1,AI22+IF($A23=AJ$4,0,1))</f>
        <v>30</v>
      </c>
      <c r="AK23" s="2" t="n">
        <f aca="false">MIN(AK22+1,AJ23+1,AJ22+IF($A23=AK$4,0,1))</f>
        <v>31</v>
      </c>
      <c r="AL23" s="2" t="n">
        <f aca="false">MIN(AL22+1,AK23+1,AK22+IF($A23=AL$4,0,1))</f>
        <v>32</v>
      </c>
      <c r="AM23" s="2" t="n">
        <f aca="false">MIN(AM22+1,AL23+1,AL22+IF($A23=AM$4,0,1))</f>
        <v>33</v>
      </c>
      <c r="AN23" s="2" t="n">
        <f aca="false">MIN(AN22+1,AM23+1,AM22+IF($A23=AN$4,0,1))</f>
        <v>34</v>
      </c>
      <c r="AO23" s="2" t="n">
        <f aca="false">MIN(AO22+1,AN23+1,AN22+IF($A23=AO$4,0,1))</f>
        <v>35</v>
      </c>
      <c r="AP23" s="2" t="n">
        <f aca="false">MIN(AP22+1,AO23+1,AO22+IF($A23=AP$4,0,1))</f>
        <v>36</v>
      </c>
      <c r="AQ23" s="2" t="n">
        <f aca="false">MIN(AQ22+1,AP23+1,AP22+IF($A23=AQ$4,0,1))</f>
        <v>37</v>
      </c>
      <c r="AR23" s="2" t="n">
        <f aca="false">MIN(AR22+1,AQ23+1,AQ22+IF($A23=AR$4,0,1))</f>
        <v>38</v>
      </c>
      <c r="AS23" s="2" t="n">
        <f aca="false">MIN(AS22+1,AR23+1,AR22+IF($A23=AS$4,0,1))</f>
        <v>39</v>
      </c>
      <c r="AT23" s="2" t="n">
        <f aca="false">MIN(AT22+1,AS23+1,AS22+IF($A23=AT$4,0,1))</f>
        <v>40</v>
      </c>
      <c r="AU23" s="2" t="n">
        <f aca="false">MIN(AU22+1,AT23+1,AT22+IF($A23=AU$4,0,1))</f>
        <v>41</v>
      </c>
      <c r="AV23" s="2" t="n">
        <f aca="false">MIN(AV22+1,AU23+1,AU22+IF($A23=AV$4,0,1))</f>
        <v>42</v>
      </c>
      <c r="AW23" s="2" t="n">
        <f aca="false">MIN(AW22+1,AV23+1,AV22+IF($A23=AW$4,0,1))</f>
        <v>43</v>
      </c>
      <c r="AX23" s="2" t="n">
        <f aca="false">MIN(AX22+1,AW23+1,AW22+IF($A23=AX$4,0,1))</f>
        <v>44</v>
      </c>
      <c r="AY23" s="2" t="n">
        <f aca="false">MIN(AY22+1,AX23+1,AX22+IF($A23=AY$4,0,1))</f>
        <v>45</v>
      </c>
      <c r="AZ23" s="2" t="n">
        <f aca="false">MIN(AZ22+1,AY23+1,AY22+IF($A23=AZ$4,0,1))</f>
        <v>46</v>
      </c>
      <c r="BA23" s="2" t="n">
        <f aca="false">MIN(BA22+1,AZ23+1,AZ22+IF($A23=BA$4,0,1))</f>
        <v>47</v>
      </c>
      <c r="BB23" s="2" t="n">
        <f aca="false">MIN(BB22+1,BA23+1,BA22+IF($A23=BB$4,0,1))</f>
        <v>48</v>
      </c>
      <c r="BC23" s="2" t="n">
        <f aca="false">MIN(BC22+1,BB23+1,BB22+IF($A23=BC$4,0,1))</f>
        <v>49</v>
      </c>
      <c r="BD23" s="2" t="n">
        <f aca="false">MIN(BD22+1,BC23+1,BC22+IF($A23=BD$4,0,1))</f>
        <v>50</v>
      </c>
      <c r="BE23" s="2" t="n">
        <f aca="false">MIN(BE22+1,BD23+1,BD22+IF($A23=BE$4,0,1))</f>
        <v>51</v>
      </c>
      <c r="BF23" s="2" t="n">
        <f aca="false">MIN(BF22+1,BE23+1,BE22+IF($A23=BF$4,0,1))</f>
        <v>52</v>
      </c>
      <c r="BG23" s="2" t="n">
        <f aca="false">MIN(BG22+1,BF23+1,BF22+IF($A23=BG$4,0,1))</f>
        <v>53</v>
      </c>
      <c r="BH23" s="2" t="n">
        <f aca="false">MIN(BH22+1,BG23+1,BG22+IF($A23=BH$4,0,1))</f>
        <v>54</v>
      </c>
      <c r="BI23" s="2" t="n">
        <f aca="false">MIN(BI22+1,BH23+1,BH22+IF($A23=BI$4,0,1))</f>
        <v>55</v>
      </c>
      <c r="BJ23" s="2" t="n">
        <f aca="false">MIN(BJ22+1,BI23+1,BI22+IF($A23=BJ$4,0,1))</f>
        <v>55</v>
      </c>
      <c r="BK23" s="2" t="n">
        <f aca="false">MIN(BK22+1,BJ23+1,BJ22+IF($A23=BK$4,0,1))</f>
        <v>56</v>
      </c>
      <c r="BL23" s="2" t="n">
        <f aca="false">MIN(BL22+1,BK23+1,BK22+IF($A23=BL$4,0,1))</f>
        <v>57</v>
      </c>
      <c r="BM23" s="2" t="n">
        <f aca="false">MIN(BM22+1,BL23+1,BL22+IF($A23=BM$4,0,1))</f>
        <v>58</v>
      </c>
      <c r="BN23" s="2" t="n">
        <f aca="false">MIN(BN22+1,BM23+1,BM22+IF($A23=BN$4,0,1))</f>
        <v>59</v>
      </c>
      <c r="BO23" s="2" t="n">
        <f aca="false">MIN(BO22+1,BN23+1,BN22+IF($A23=BO$4,0,1))</f>
        <v>60</v>
      </c>
      <c r="BP23" s="2" t="n">
        <f aca="false">MIN(BP22+1,BO23+1,BO22+IF($A23=BP$4,0,1))</f>
        <v>61</v>
      </c>
      <c r="BQ23" s="2" t="n">
        <f aca="false">MIN(BQ22+1,BP23+1,BP22+IF($A23=BQ$4,0,1))</f>
        <v>62</v>
      </c>
      <c r="BR23" s="2" t="n">
        <f aca="false">MIN(BR22+1,BQ23+1,BQ22+IF($A23=BR$4,0,1))</f>
        <v>63</v>
      </c>
      <c r="BS23" s="2" t="n">
        <f aca="false">MIN(BS22+1,BR23+1,BR22+IF($A23=BS$4,0,1))</f>
        <v>64</v>
      </c>
      <c r="BT23" s="2" t="n">
        <f aca="false">MIN(BT22+1,BS23+1,BS22+IF($A23=BT$4,0,1))</f>
        <v>65</v>
      </c>
      <c r="BU23" s="2" t="n">
        <f aca="false">MIN(BU22+1,BT23+1,BT22+IF($A23=BU$4,0,1))</f>
        <v>66</v>
      </c>
      <c r="BV23" s="2" t="n">
        <f aca="false">MIN(BV22+1,BU23+1,BU22+IF($A23=BV$4,0,1))</f>
        <v>67</v>
      </c>
      <c r="BW23" s="2" t="n">
        <f aca="false">MIN(BW22+1,BV23+1,BV22+IF($A23=BW$4,0,1))</f>
        <v>68</v>
      </c>
      <c r="BX23" s="2" t="n">
        <f aca="false">MIN(BX22+1,BW23+1,BW22+IF($A23=BX$4,0,1))</f>
        <v>69</v>
      </c>
      <c r="BY23" s="2" t="n">
        <f aca="false">MIN(BY22+1,BX23+1,BX22+IF($A23=BY$4,0,1))</f>
        <v>70</v>
      </c>
      <c r="BZ23" s="2" t="n">
        <f aca="false">MIN(BZ22+1,BY23+1,BY22+IF($A23=BZ$4,0,1))</f>
        <v>71</v>
      </c>
      <c r="CA23" s="2" t="n">
        <f aca="false">MIN(CA22+1,BZ23+1,BZ22+IF($A23=CA$4,0,1))</f>
        <v>72</v>
      </c>
      <c r="CB23" s="2" t="n">
        <f aca="false">MIN(CB22+1,CA23+1,CA22+IF($A23=CB$4,0,1))</f>
        <v>73</v>
      </c>
      <c r="CC23" s="2" t="n">
        <f aca="false">MIN(CC22+1,CB23+1,CB22+IF($A23=CC$4,0,1))</f>
        <v>74</v>
      </c>
      <c r="CD23" s="2" t="n">
        <f aca="false">MIN(CD22+1,CC23+1,CC22+IF($A23=CD$4,0,1))</f>
        <v>75</v>
      </c>
      <c r="CE23" s="2" t="n">
        <f aca="false">MIN(CE22+1,CD23+1,CD22+IF($A23=CE$4,0,1))</f>
        <v>76</v>
      </c>
      <c r="CF23" s="2" t="n">
        <f aca="false">MIN(CF22+1,CE23+1,CE22+IF($A23=CF$4,0,1))</f>
        <v>77</v>
      </c>
      <c r="CG23" s="2" t="n">
        <f aca="false">MIN(CG22+1,CF23+1,CF22+IF($A23=CG$4,0,1))</f>
        <v>78</v>
      </c>
      <c r="CH23" s="2" t="n">
        <f aca="false">MIN(CH22+1,CG23+1,CG22+IF($A23=CH$4,0,1))</f>
        <v>79</v>
      </c>
      <c r="CI23" s="2" t="n">
        <f aca="false">MIN(CI22+1,CH23+1,CH22+IF($A23=CI$4,0,1))</f>
        <v>80</v>
      </c>
      <c r="CJ23" s="2" t="n">
        <f aca="false">MIN(CJ22+1,CI23+1,CI22+IF($A23=CJ$4,0,1))</f>
        <v>81</v>
      </c>
      <c r="CK23" s="2" t="n">
        <f aca="false">MIN(CK22+1,CJ23+1,CJ22+IF($A23=CK$4,0,1))</f>
        <v>82</v>
      </c>
      <c r="CL23" s="2" t="n">
        <f aca="false">MIN(CL22+1,CK23+1,CK22+IF($A23=CL$4,0,1))</f>
        <v>83</v>
      </c>
      <c r="CM23" s="2" t="n">
        <f aca="false">MIN(CM22+1,CL23+1,CL22+IF($A23=CM$4,0,1))</f>
        <v>84</v>
      </c>
      <c r="CN23" s="2" t="n">
        <f aca="false">MIN(CN22+1,CM23+1,CM22+IF($A23=CN$4,0,1))</f>
        <v>85</v>
      </c>
      <c r="CO23" s="2" t="n">
        <f aca="false">MIN(CO22+1,CN23+1,CN22+IF($A23=CO$4,0,1))</f>
        <v>86</v>
      </c>
      <c r="CP23" s="2" t="n">
        <f aca="false">MIN(CP22+1,CO23+1,CO22+IF($A23=CP$4,0,1))</f>
        <v>87</v>
      </c>
      <c r="CQ23" s="2" t="n">
        <f aca="false">MIN(CQ22+1,CP23+1,CP22+IF($A23=CQ$4,0,1))</f>
        <v>88</v>
      </c>
    </row>
    <row r="24" customFormat="false" ht="15" hidden="false" customHeight="false" outlineLevel="0" collapsed="false">
      <c r="A24" s="4" t="s">
        <v>156</v>
      </c>
      <c r="B24" s="12" t="n">
        <v>19</v>
      </c>
      <c r="C24" s="2" t="n">
        <f aca="false">MIN(C23+1,B24+1,B23+IF($A24=C$4,0,1))</f>
        <v>19</v>
      </c>
      <c r="D24" s="2" t="n">
        <f aca="false">MIN(D23+1,C24+1,C23+IF($A24=D$4,0,1))</f>
        <v>19</v>
      </c>
      <c r="E24" s="2" t="n">
        <f aca="false">MIN(E23+1,D24+1,D23+IF($A24=E$4,0,1))</f>
        <v>18</v>
      </c>
      <c r="F24" s="2" t="n">
        <f aca="false">MIN(F23+1,E24+1,E23+IF($A24=F$4,0,1))</f>
        <v>17</v>
      </c>
      <c r="G24" s="2" t="n">
        <f aca="false">MIN(G23+1,F24+1,F23+IF($A24=G$4,0,1))</f>
        <v>17</v>
      </c>
      <c r="H24" s="2" t="n">
        <f aca="false">MIN(H23+1,G24+1,G23+IF($A24=H$4,0,1))</f>
        <v>17</v>
      </c>
      <c r="I24" s="2" t="n">
        <f aca="false">MIN(I23+1,H24+1,H23+IF($A24=I$4,0,1))</f>
        <v>17</v>
      </c>
      <c r="J24" s="2" t="n">
        <f aca="false">MIN(J23+1,I24+1,I23+IF($A24=J$4,0,1))</f>
        <v>17</v>
      </c>
      <c r="K24" s="2" t="n">
        <f aca="false">MIN(K23+1,J24+1,J23+IF($A24=K$4,0,1))</f>
        <v>16</v>
      </c>
      <c r="L24" s="2" t="n">
        <f aca="false">MIN(L23+1,K24+1,K23+IF($A24=L$4,0,1))</f>
        <v>16</v>
      </c>
      <c r="M24" s="2" t="n">
        <f aca="false">MIN(M23+1,L24+1,L23+IF($A24=M$4,0,1))</f>
        <v>16</v>
      </c>
      <c r="N24" s="2" t="n">
        <f aca="false">MIN(N23+1,M24+1,M23+IF($A24=N$4,0,1))</f>
        <v>16</v>
      </c>
      <c r="O24" s="2" t="n">
        <f aca="false">MIN(O23+1,N24+1,N23+IF($A24=O$4,0,1))</f>
        <v>16</v>
      </c>
      <c r="P24" s="2" t="n">
        <f aca="false">MIN(P23+1,O24+1,O23+IF($A24=P$4,0,1))</f>
        <v>16</v>
      </c>
      <c r="Q24" s="2" t="n">
        <f aca="false">MIN(Q23+1,P24+1,P23+IF($A24=Q$4,0,1))</f>
        <v>16</v>
      </c>
      <c r="R24" s="2" t="n">
        <f aca="false">MIN(R23+1,Q24+1,Q23+IF($A24=R$4,0,1))</f>
        <v>16</v>
      </c>
      <c r="S24" s="2" t="n">
        <f aca="false">MIN(S23+1,R24+1,R23+IF($A24=S$4,0,1))</f>
        <v>16</v>
      </c>
      <c r="T24" s="2" t="n">
        <f aca="false">MIN(T23+1,S24+1,S23+IF($A24=T$4,0,1))</f>
        <v>17</v>
      </c>
      <c r="U24" s="2" t="n">
        <f aca="false">MIN(U23+1,T24+1,T23+IF($A24=U$4,0,1))</f>
        <v>17</v>
      </c>
      <c r="V24" s="2" t="n">
        <f aca="false">MIN(V23+1,U24+1,U23+IF($A24=V$4,0,1))</f>
        <v>17</v>
      </c>
      <c r="W24" s="2" t="n">
        <f aca="false">MIN(W23+1,V24+1,V23+IF($A24=W$4,0,1))</f>
        <v>18</v>
      </c>
      <c r="X24" s="2" t="n">
        <f aca="false">MIN(X23+1,W24+1,W23+IF($A24=X$4,0,1))</f>
        <v>19</v>
      </c>
      <c r="Y24" s="2" t="n">
        <f aca="false">MIN(Y23+1,X24+1,X23+IF($A24=Y$4,0,1))</f>
        <v>19</v>
      </c>
      <c r="Z24" s="2" t="n">
        <f aca="false">MIN(Z23+1,Y24+1,Y23+IF($A24=Z$4,0,1))</f>
        <v>20</v>
      </c>
      <c r="AA24" s="2" t="n">
        <f aca="false">MIN(AA23+1,Z24+1,Z23+IF($A24=AA$4,0,1))</f>
        <v>21</v>
      </c>
      <c r="AB24" s="2" t="n">
        <f aca="false">MIN(AB23+1,AA24+1,AA23+IF($A24=AB$4,0,1))</f>
        <v>22</v>
      </c>
      <c r="AC24" s="2" t="n">
        <f aca="false">MIN(AC23+1,AB24+1,AB23+IF($A24=AC$4,0,1))</f>
        <v>23</v>
      </c>
      <c r="AD24" s="2" t="n">
        <f aca="false">MIN(AD23+1,AC24+1,AC23+IF($A24=AD$4,0,1))</f>
        <v>24</v>
      </c>
      <c r="AE24" s="2" t="n">
        <f aca="false">MIN(AE23+1,AD24+1,AD23+IF($A24=AE$4,0,1))</f>
        <v>25</v>
      </c>
      <c r="AF24" s="2" t="n">
        <f aca="false">MIN(AF23+1,AE24+1,AE23+IF($A24=AF$4,0,1))</f>
        <v>26</v>
      </c>
      <c r="AG24" s="2" t="n">
        <f aca="false">MIN(AG23+1,AF24+1,AF23+IF($A24=AG$4,0,1))</f>
        <v>27</v>
      </c>
      <c r="AH24" s="2" t="n">
        <f aca="false">MIN(AH23+1,AG24+1,AG23+IF($A24=AH$4,0,1))</f>
        <v>28</v>
      </c>
      <c r="AI24" s="2" t="n">
        <f aca="false">MIN(AI23+1,AH24+1,AH23+IF($A24=AI$4,0,1))</f>
        <v>29</v>
      </c>
      <c r="AJ24" s="2" t="n">
        <f aca="false">MIN(AJ23+1,AI24+1,AI23+IF($A24=AJ$4,0,1))</f>
        <v>30</v>
      </c>
      <c r="AK24" s="2" t="n">
        <f aca="false">MIN(AK23+1,AJ24+1,AJ23+IF($A24=AK$4,0,1))</f>
        <v>31</v>
      </c>
      <c r="AL24" s="2" t="n">
        <f aca="false">MIN(AL23+1,AK24+1,AK23+IF($A24=AL$4,0,1))</f>
        <v>32</v>
      </c>
      <c r="AM24" s="2" t="n">
        <f aca="false">MIN(AM23+1,AL24+1,AL23+IF($A24=AM$4,0,1))</f>
        <v>33</v>
      </c>
      <c r="AN24" s="2" t="n">
        <f aca="false">MIN(AN23+1,AM24+1,AM23+IF($A24=AN$4,0,1))</f>
        <v>34</v>
      </c>
      <c r="AO24" s="2" t="n">
        <f aca="false">MIN(AO23+1,AN24+1,AN23+IF($A24=AO$4,0,1))</f>
        <v>35</v>
      </c>
      <c r="AP24" s="2" t="n">
        <f aca="false">MIN(AP23+1,AO24+1,AO23+IF($A24=AP$4,0,1))</f>
        <v>36</v>
      </c>
      <c r="AQ24" s="2" t="n">
        <f aca="false">MIN(AQ23+1,AP24+1,AP23+IF($A24=AQ$4,0,1))</f>
        <v>37</v>
      </c>
      <c r="AR24" s="2" t="n">
        <f aca="false">MIN(AR23+1,AQ24+1,AQ23+IF($A24=AR$4,0,1))</f>
        <v>38</v>
      </c>
      <c r="AS24" s="2" t="n">
        <f aca="false">MIN(AS23+1,AR24+1,AR23+IF($A24=AS$4,0,1))</f>
        <v>39</v>
      </c>
      <c r="AT24" s="2" t="n">
        <f aca="false">MIN(AT23+1,AS24+1,AS23+IF($A24=AT$4,0,1))</f>
        <v>40</v>
      </c>
      <c r="AU24" s="2" t="n">
        <f aca="false">MIN(AU23+1,AT24+1,AT23+IF($A24=AU$4,0,1))</f>
        <v>41</v>
      </c>
      <c r="AV24" s="2" t="n">
        <f aca="false">MIN(AV23+1,AU24+1,AU23+IF($A24=AV$4,0,1))</f>
        <v>42</v>
      </c>
      <c r="AW24" s="2" t="n">
        <f aca="false">MIN(AW23+1,AV24+1,AV23+IF($A24=AW$4,0,1))</f>
        <v>43</v>
      </c>
      <c r="AX24" s="2" t="n">
        <f aca="false">MIN(AX23+1,AW24+1,AW23+IF($A24=AX$4,0,1))</f>
        <v>44</v>
      </c>
      <c r="AY24" s="2" t="n">
        <f aca="false">MIN(AY23+1,AX24+1,AX23+IF($A24=AY$4,0,1))</f>
        <v>45</v>
      </c>
      <c r="AZ24" s="2" t="n">
        <f aca="false">MIN(AZ23+1,AY24+1,AY23+IF($A24=AZ$4,0,1))</f>
        <v>46</v>
      </c>
      <c r="BA24" s="2" t="n">
        <f aca="false">MIN(BA23+1,AZ24+1,AZ23+IF($A24=BA$4,0,1))</f>
        <v>47</v>
      </c>
      <c r="BB24" s="2" t="n">
        <f aca="false">MIN(BB23+1,BA24+1,BA23+IF($A24=BB$4,0,1))</f>
        <v>48</v>
      </c>
      <c r="BC24" s="2" t="n">
        <f aca="false">MIN(BC23+1,BB24+1,BB23+IF($A24=BC$4,0,1))</f>
        <v>49</v>
      </c>
      <c r="BD24" s="2" t="n">
        <f aca="false">MIN(BD23+1,BC24+1,BC23+IF($A24=BD$4,0,1))</f>
        <v>50</v>
      </c>
      <c r="BE24" s="2" t="n">
        <f aca="false">MIN(BE23+1,BD24+1,BD23+IF($A24=BE$4,0,1))</f>
        <v>51</v>
      </c>
      <c r="BF24" s="2" t="n">
        <f aca="false">MIN(BF23+1,BE24+1,BE23+IF($A24=BF$4,0,1))</f>
        <v>52</v>
      </c>
      <c r="BG24" s="2" t="n">
        <f aca="false">MIN(BG23+1,BF24+1,BF23+IF($A24=BG$4,0,1))</f>
        <v>53</v>
      </c>
      <c r="BH24" s="2" t="n">
        <f aca="false">MIN(BH23+1,BG24+1,BG23+IF($A24=BH$4,0,1))</f>
        <v>54</v>
      </c>
      <c r="BI24" s="2" t="n">
        <f aca="false">MIN(BI23+1,BH24+1,BH23+IF($A24=BI$4,0,1))</f>
        <v>55</v>
      </c>
      <c r="BJ24" s="2" t="n">
        <f aca="false">MIN(BJ23+1,BI24+1,BI23+IF($A24=BJ$4,0,1))</f>
        <v>56</v>
      </c>
      <c r="BK24" s="2" t="n">
        <f aca="false">MIN(BK23+1,BJ24+1,BJ23+IF($A24=BK$4,0,1))</f>
        <v>56</v>
      </c>
      <c r="BL24" s="2" t="n">
        <f aca="false">MIN(BL23+1,BK24+1,BK23+IF($A24=BL$4,0,1))</f>
        <v>57</v>
      </c>
      <c r="BM24" s="2" t="n">
        <f aca="false">MIN(BM23+1,BL24+1,BL23+IF($A24=BM$4,0,1))</f>
        <v>58</v>
      </c>
      <c r="BN24" s="2" t="n">
        <f aca="false">MIN(BN23+1,BM24+1,BM23+IF($A24=BN$4,0,1))</f>
        <v>59</v>
      </c>
      <c r="BO24" s="2" t="n">
        <f aca="false">MIN(BO23+1,BN24+1,BN23+IF($A24=BO$4,0,1))</f>
        <v>60</v>
      </c>
      <c r="BP24" s="2" t="n">
        <f aca="false">MIN(BP23+1,BO24+1,BO23+IF($A24=BP$4,0,1))</f>
        <v>61</v>
      </c>
      <c r="BQ24" s="2" t="n">
        <f aca="false">MIN(BQ23+1,BP24+1,BP23+IF($A24=BQ$4,0,1))</f>
        <v>62</v>
      </c>
      <c r="BR24" s="2" t="n">
        <f aca="false">MIN(BR23+1,BQ24+1,BQ23+IF($A24=BR$4,0,1))</f>
        <v>63</v>
      </c>
      <c r="BS24" s="2" t="n">
        <f aca="false">MIN(BS23+1,BR24+1,BR23+IF($A24=BS$4,0,1))</f>
        <v>64</v>
      </c>
      <c r="BT24" s="2" t="n">
        <f aca="false">MIN(BT23+1,BS24+1,BS23+IF($A24=BT$4,0,1))</f>
        <v>65</v>
      </c>
      <c r="BU24" s="2" t="n">
        <f aca="false">MIN(BU23+1,BT24+1,BT23+IF($A24=BU$4,0,1))</f>
        <v>66</v>
      </c>
      <c r="BV24" s="2" t="n">
        <f aca="false">MIN(BV23+1,BU24+1,BU23+IF($A24=BV$4,0,1))</f>
        <v>67</v>
      </c>
      <c r="BW24" s="2" t="n">
        <f aca="false">MIN(BW23+1,BV24+1,BV23+IF($A24=BW$4,0,1))</f>
        <v>68</v>
      </c>
      <c r="BX24" s="2" t="n">
        <f aca="false">MIN(BX23+1,BW24+1,BW23+IF($A24=BX$4,0,1))</f>
        <v>69</v>
      </c>
      <c r="BY24" s="2" t="n">
        <f aca="false">MIN(BY23+1,BX24+1,BX23+IF($A24=BY$4,0,1))</f>
        <v>70</v>
      </c>
      <c r="BZ24" s="2" t="n">
        <f aca="false">MIN(BZ23+1,BY24+1,BY23+IF($A24=BZ$4,0,1))</f>
        <v>71</v>
      </c>
      <c r="CA24" s="2" t="n">
        <f aca="false">MIN(CA23+1,BZ24+1,BZ23+IF($A24=CA$4,0,1))</f>
        <v>72</v>
      </c>
      <c r="CB24" s="2" t="n">
        <f aca="false">MIN(CB23+1,CA24+1,CA23+IF($A24=CB$4,0,1))</f>
        <v>73</v>
      </c>
      <c r="CC24" s="2" t="n">
        <f aca="false">MIN(CC23+1,CB24+1,CB23+IF($A24=CC$4,0,1))</f>
        <v>74</v>
      </c>
      <c r="CD24" s="2" t="n">
        <f aca="false">MIN(CD23+1,CC24+1,CC23+IF($A24=CD$4,0,1))</f>
        <v>75</v>
      </c>
      <c r="CE24" s="2" t="n">
        <f aca="false">MIN(CE23+1,CD24+1,CD23+IF($A24=CE$4,0,1))</f>
        <v>76</v>
      </c>
      <c r="CF24" s="2" t="n">
        <f aca="false">MIN(CF23+1,CE24+1,CE23+IF($A24=CF$4,0,1))</f>
        <v>77</v>
      </c>
      <c r="CG24" s="2" t="n">
        <f aca="false">MIN(CG23+1,CF24+1,CF23+IF($A24=CG$4,0,1))</f>
        <v>78</v>
      </c>
      <c r="CH24" s="2" t="n">
        <f aca="false">MIN(CH23+1,CG24+1,CG23+IF($A24=CH$4,0,1))</f>
        <v>79</v>
      </c>
      <c r="CI24" s="2" t="n">
        <f aca="false">MIN(CI23+1,CH24+1,CH23+IF($A24=CI$4,0,1))</f>
        <v>80</v>
      </c>
      <c r="CJ24" s="2" t="n">
        <f aca="false">MIN(CJ23+1,CI24+1,CI23+IF($A24=CJ$4,0,1))</f>
        <v>81</v>
      </c>
      <c r="CK24" s="2" t="n">
        <f aca="false">MIN(CK23+1,CJ24+1,CJ23+IF($A24=CK$4,0,1))</f>
        <v>82</v>
      </c>
      <c r="CL24" s="2" t="n">
        <f aca="false">MIN(CL23+1,CK24+1,CK23+IF($A24=CL$4,0,1))</f>
        <v>83</v>
      </c>
      <c r="CM24" s="2" t="n">
        <f aca="false">MIN(CM23+1,CL24+1,CL23+IF($A24=CM$4,0,1))</f>
        <v>84</v>
      </c>
      <c r="CN24" s="2" t="n">
        <f aca="false">MIN(CN23+1,CM24+1,CM23+IF($A24=CN$4,0,1))</f>
        <v>85</v>
      </c>
      <c r="CO24" s="2" t="n">
        <f aca="false">MIN(CO23+1,CN24+1,CN23+IF($A24=CO$4,0,1))</f>
        <v>86</v>
      </c>
      <c r="CP24" s="2" t="n">
        <f aca="false">MIN(CP23+1,CO24+1,CO23+IF($A24=CP$4,0,1))</f>
        <v>87</v>
      </c>
      <c r="CQ24" s="2" t="n">
        <f aca="false">MIN(CQ23+1,CP24+1,CP23+IF($A24=CQ$4,0,1))</f>
        <v>88</v>
      </c>
    </row>
    <row r="25" customFormat="false" ht="15" hidden="false" customHeight="false" outlineLevel="0" collapsed="false">
      <c r="A25" s="4" t="s">
        <v>157</v>
      </c>
      <c r="B25" s="12" t="n">
        <v>20</v>
      </c>
      <c r="C25" s="2" t="n">
        <f aca="false">MIN(C24+1,B25+1,B24+IF($A25=C$4,0,1))</f>
        <v>20</v>
      </c>
      <c r="D25" s="2" t="n">
        <f aca="false">MIN(D24+1,C25+1,C24+IF($A25=D$4,0,1))</f>
        <v>20</v>
      </c>
      <c r="E25" s="2" t="n">
        <f aca="false">MIN(E24+1,D25+1,D24+IF($A25=E$4,0,1))</f>
        <v>19</v>
      </c>
      <c r="F25" s="2" t="n">
        <f aca="false">MIN(F24+1,E25+1,E24+IF($A25=F$4,0,1))</f>
        <v>18</v>
      </c>
      <c r="G25" s="2" t="n">
        <f aca="false">MIN(G24+1,F25+1,F24+IF($A25=G$4,0,1))</f>
        <v>18</v>
      </c>
      <c r="H25" s="2" t="n">
        <f aca="false">MIN(H24+1,G25+1,G24+IF($A25=H$4,0,1))</f>
        <v>18</v>
      </c>
      <c r="I25" s="2" t="n">
        <f aca="false">MIN(I24+1,H25+1,H24+IF($A25=I$4,0,1))</f>
        <v>18</v>
      </c>
      <c r="J25" s="2" t="n">
        <f aca="false">MIN(J24+1,I25+1,I24+IF($A25=J$4,0,1))</f>
        <v>18</v>
      </c>
      <c r="K25" s="2" t="n">
        <f aca="false">MIN(K24+1,J25+1,J24+IF($A25=K$4,0,1))</f>
        <v>17</v>
      </c>
      <c r="L25" s="2" t="n">
        <f aca="false">MIN(L24+1,K25+1,K24+IF($A25=L$4,0,1))</f>
        <v>17</v>
      </c>
      <c r="M25" s="2" t="n">
        <f aca="false">MIN(M24+1,L25+1,L24+IF($A25=M$4,0,1))</f>
        <v>17</v>
      </c>
      <c r="N25" s="2" t="n">
        <f aca="false">MIN(N24+1,M25+1,M24+IF($A25=N$4,0,1))</f>
        <v>17</v>
      </c>
      <c r="O25" s="2" t="n">
        <f aca="false">MIN(O24+1,N25+1,N24+IF($A25=O$4,0,1))</f>
        <v>17</v>
      </c>
      <c r="P25" s="2" t="n">
        <f aca="false">MIN(P24+1,O25+1,O24+IF($A25=P$4,0,1))</f>
        <v>17</v>
      </c>
      <c r="Q25" s="2" t="n">
        <f aca="false">MIN(Q24+1,P25+1,P24+IF($A25=Q$4,0,1))</f>
        <v>17</v>
      </c>
      <c r="R25" s="2" t="n">
        <f aca="false">MIN(R24+1,Q25+1,Q24+IF($A25=R$4,0,1))</f>
        <v>17</v>
      </c>
      <c r="S25" s="2" t="n">
        <f aca="false">MIN(S24+1,R25+1,R24+IF($A25=S$4,0,1))</f>
        <v>17</v>
      </c>
      <c r="T25" s="2" t="n">
        <f aca="false">MIN(T24+1,S25+1,S24+IF($A25=T$4,0,1))</f>
        <v>17</v>
      </c>
      <c r="U25" s="2" t="n">
        <f aca="false">MIN(U24+1,T25+1,T24+IF($A25=U$4,0,1))</f>
        <v>18</v>
      </c>
      <c r="V25" s="2" t="n">
        <f aca="false">MIN(V24+1,U25+1,U24+IF($A25=V$4,0,1))</f>
        <v>18</v>
      </c>
      <c r="W25" s="2" t="n">
        <f aca="false">MIN(W24+1,V25+1,V24+IF($A25=W$4,0,1))</f>
        <v>18</v>
      </c>
      <c r="X25" s="2" t="n">
        <f aca="false">MIN(X24+1,W25+1,W24+IF($A25=X$4,0,1))</f>
        <v>19</v>
      </c>
      <c r="Y25" s="2" t="n">
        <f aca="false">MIN(Y24+1,X25+1,X24+IF($A25=Y$4,0,1))</f>
        <v>20</v>
      </c>
      <c r="Z25" s="2" t="n">
        <f aca="false">MIN(Z24+1,Y25+1,Y24+IF($A25=Z$4,0,1))</f>
        <v>20</v>
      </c>
      <c r="AA25" s="2" t="n">
        <f aca="false">MIN(AA24+1,Z25+1,Z24+IF($A25=AA$4,0,1))</f>
        <v>21</v>
      </c>
      <c r="AB25" s="2" t="n">
        <f aca="false">MIN(AB24+1,AA25+1,AA24+IF($A25=AB$4,0,1))</f>
        <v>22</v>
      </c>
      <c r="AC25" s="2" t="n">
        <f aca="false">MIN(AC24+1,AB25+1,AB24+IF($A25=AC$4,0,1))</f>
        <v>23</v>
      </c>
      <c r="AD25" s="2" t="n">
        <f aca="false">MIN(AD24+1,AC25+1,AC24+IF($A25=AD$4,0,1))</f>
        <v>24</v>
      </c>
      <c r="AE25" s="2" t="n">
        <f aca="false">MIN(AE24+1,AD25+1,AD24+IF($A25=AE$4,0,1))</f>
        <v>25</v>
      </c>
      <c r="AF25" s="2" t="n">
        <f aca="false">MIN(AF24+1,AE25+1,AE24+IF($A25=AF$4,0,1))</f>
        <v>26</v>
      </c>
      <c r="AG25" s="2" t="n">
        <f aca="false">MIN(AG24+1,AF25+1,AF24+IF($A25=AG$4,0,1))</f>
        <v>27</v>
      </c>
      <c r="AH25" s="2" t="n">
        <f aca="false">MIN(AH24+1,AG25+1,AG24+IF($A25=AH$4,0,1))</f>
        <v>28</v>
      </c>
      <c r="AI25" s="2" t="n">
        <f aca="false">MIN(AI24+1,AH25+1,AH24+IF($A25=AI$4,0,1))</f>
        <v>29</v>
      </c>
      <c r="AJ25" s="2" t="n">
        <f aca="false">MIN(AJ24+1,AI25+1,AI24+IF($A25=AJ$4,0,1))</f>
        <v>30</v>
      </c>
      <c r="AK25" s="2" t="n">
        <f aca="false">MIN(AK24+1,AJ25+1,AJ24+IF($A25=AK$4,0,1))</f>
        <v>31</v>
      </c>
      <c r="AL25" s="2" t="n">
        <f aca="false">MIN(AL24+1,AK25+1,AK24+IF($A25=AL$4,0,1))</f>
        <v>32</v>
      </c>
      <c r="AM25" s="2" t="n">
        <f aca="false">MIN(AM24+1,AL25+1,AL24+IF($A25=AM$4,0,1))</f>
        <v>33</v>
      </c>
      <c r="AN25" s="2" t="n">
        <f aca="false">MIN(AN24+1,AM25+1,AM24+IF($A25=AN$4,0,1))</f>
        <v>34</v>
      </c>
      <c r="AO25" s="2" t="n">
        <f aca="false">MIN(AO24+1,AN25+1,AN24+IF($A25=AO$4,0,1))</f>
        <v>35</v>
      </c>
      <c r="AP25" s="2" t="n">
        <f aca="false">MIN(AP24+1,AO25+1,AO24+IF($A25=AP$4,0,1))</f>
        <v>36</v>
      </c>
      <c r="AQ25" s="2" t="n">
        <f aca="false">MIN(AQ24+1,AP25+1,AP24+IF($A25=AQ$4,0,1))</f>
        <v>37</v>
      </c>
      <c r="AR25" s="2" t="n">
        <f aca="false">MIN(AR24+1,AQ25+1,AQ24+IF($A25=AR$4,0,1))</f>
        <v>38</v>
      </c>
      <c r="AS25" s="2" t="n">
        <f aca="false">MIN(AS24+1,AR25+1,AR24+IF($A25=AS$4,0,1))</f>
        <v>39</v>
      </c>
      <c r="AT25" s="2" t="n">
        <f aca="false">MIN(AT24+1,AS25+1,AS24+IF($A25=AT$4,0,1))</f>
        <v>40</v>
      </c>
      <c r="AU25" s="2" t="n">
        <f aca="false">MIN(AU24+1,AT25+1,AT24+IF($A25=AU$4,0,1))</f>
        <v>41</v>
      </c>
      <c r="AV25" s="2" t="n">
        <f aca="false">MIN(AV24+1,AU25+1,AU24+IF($A25=AV$4,0,1))</f>
        <v>42</v>
      </c>
      <c r="AW25" s="2" t="n">
        <f aca="false">MIN(AW24+1,AV25+1,AV24+IF($A25=AW$4,0,1))</f>
        <v>43</v>
      </c>
      <c r="AX25" s="2" t="n">
        <f aca="false">MIN(AX24+1,AW25+1,AW24+IF($A25=AX$4,0,1))</f>
        <v>44</v>
      </c>
      <c r="AY25" s="2" t="n">
        <f aca="false">MIN(AY24+1,AX25+1,AX24+IF($A25=AY$4,0,1))</f>
        <v>45</v>
      </c>
      <c r="AZ25" s="2" t="n">
        <f aca="false">MIN(AZ24+1,AY25+1,AY24+IF($A25=AZ$4,0,1))</f>
        <v>46</v>
      </c>
      <c r="BA25" s="2" t="n">
        <f aca="false">MIN(BA24+1,AZ25+1,AZ24+IF($A25=BA$4,0,1))</f>
        <v>47</v>
      </c>
      <c r="BB25" s="2" t="n">
        <f aca="false">MIN(BB24+1,BA25+1,BA24+IF($A25=BB$4,0,1))</f>
        <v>48</v>
      </c>
      <c r="BC25" s="2" t="n">
        <f aca="false">MIN(BC24+1,BB25+1,BB24+IF($A25=BC$4,0,1))</f>
        <v>49</v>
      </c>
      <c r="BD25" s="2" t="n">
        <f aca="false">MIN(BD24+1,BC25+1,BC24+IF($A25=BD$4,0,1))</f>
        <v>50</v>
      </c>
      <c r="BE25" s="2" t="n">
        <f aca="false">MIN(BE24+1,BD25+1,BD24+IF($A25=BE$4,0,1))</f>
        <v>51</v>
      </c>
      <c r="BF25" s="2" t="n">
        <f aca="false">MIN(BF24+1,BE25+1,BE24+IF($A25=BF$4,0,1))</f>
        <v>52</v>
      </c>
      <c r="BG25" s="2" t="n">
        <f aca="false">MIN(BG24+1,BF25+1,BF24+IF($A25=BG$4,0,1))</f>
        <v>53</v>
      </c>
      <c r="BH25" s="2" t="n">
        <f aca="false">MIN(BH24+1,BG25+1,BG24+IF($A25=BH$4,0,1))</f>
        <v>54</v>
      </c>
      <c r="BI25" s="2" t="n">
        <f aca="false">MIN(BI24+1,BH25+1,BH24+IF($A25=BI$4,0,1))</f>
        <v>55</v>
      </c>
      <c r="BJ25" s="2" t="n">
        <f aca="false">MIN(BJ24+1,BI25+1,BI24+IF($A25=BJ$4,0,1))</f>
        <v>56</v>
      </c>
      <c r="BK25" s="2" t="n">
        <f aca="false">MIN(BK24+1,BJ25+1,BJ24+IF($A25=BK$4,0,1))</f>
        <v>57</v>
      </c>
      <c r="BL25" s="2" t="n">
        <f aca="false">MIN(BL24+1,BK25+1,BK24+IF($A25=BL$4,0,1))</f>
        <v>57</v>
      </c>
      <c r="BM25" s="2" t="n">
        <f aca="false">MIN(BM24+1,BL25+1,BL24+IF($A25=BM$4,0,1))</f>
        <v>58</v>
      </c>
      <c r="BN25" s="2" t="n">
        <f aca="false">MIN(BN24+1,BM25+1,BM24+IF($A25=BN$4,0,1))</f>
        <v>59</v>
      </c>
      <c r="BO25" s="2" t="n">
        <f aca="false">MIN(BO24+1,BN25+1,BN24+IF($A25=BO$4,0,1))</f>
        <v>60</v>
      </c>
      <c r="BP25" s="2" t="n">
        <f aca="false">MIN(BP24+1,BO25+1,BO24+IF($A25=BP$4,0,1))</f>
        <v>61</v>
      </c>
      <c r="BQ25" s="2" t="n">
        <f aca="false">MIN(BQ24+1,BP25+1,BP24+IF($A25=BQ$4,0,1))</f>
        <v>62</v>
      </c>
      <c r="BR25" s="2" t="n">
        <f aca="false">MIN(BR24+1,BQ25+1,BQ24+IF($A25=BR$4,0,1))</f>
        <v>63</v>
      </c>
      <c r="BS25" s="2" t="n">
        <f aca="false">MIN(BS24+1,BR25+1,BR24+IF($A25=BS$4,0,1))</f>
        <v>64</v>
      </c>
      <c r="BT25" s="2" t="n">
        <f aca="false">MIN(BT24+1,BS25+1,BS24+IF($A25=BT$4,0,1))</f>
        <v>65</v>
      </c>
      <c r="BU25" s="2" t="n">
        <f aca="false">MIN(BU24+1,BT25+1,BT24+IF($A25=BU$4,0,1))</f>
        <v>66</v>
      </c>
      <c r="BV25" s="2" t="n">
        <f aca="false">MIN(BV24+1,BU25+1,BU24+IF($A25=BV$4,0,1))</f>
        <v>67</v>
      </c>
      <c r="BW25" s="2" t="n">
        <f aca="false">MIN(BW24+1,BV25+1,BV24+IF($A25=BW$4,0,1))</f>
        <v>68</v>
      </c>
      <c r="BX25" s="2" t="n">
        <f aca="false">MIN(BX24+1,BW25+1,BW24+IF($A25=BX$4,0,1))</f>
        <v>69</v>
      </c>
      <c r="BY25" s="2" t="n">
        <f aca="false">MIN(BY24+1,BX25+1,BX24+IF($A25=BY$4,0,1))</f>
        <v>70</v>
      </c>
      <c r="BZ25" s="2" t="n">
        <f aca="false">MIN(BZ24+1,BY25+1,BY24+IF($A25=BZ$4,0,1))</f>
        <v>71</v>
      </c>
      <c r="CA25" s="2" t="n">
        <f aca="false">MIN(CA24+1,BZ25+1,BZ24+IF($A25=CA$4,0,1))</f>
        <v>72</v>
      </c>
      <c r="CB25" s="2" t="n">
        <f aca="false">MIN(CB24+1,CA25+1,CA24+IF($A25=CB$4,0,1))</f>
        <v>73</v>
      </c>
      <c r="CC25" s="2" t="n">
        <f aca="false">MIN(CC24+1,CB25+1,CB24+IF($A25=CC$4,0,1))</f>
        <v>74</v>
      </c>
      <c r="CD25" s="2" t="n">
        <f aca="false">MIN(CD24+1,CC25+1,CC24+IF($A25=CD$4,0,1))</f>
        <v>75</v>
      </c>
      <c r="CE25" s="2" t="n">
        <f aca="false">MIN(CE24+1,CD25+1,CD24+IF($A25=CE$4,0,1))</f>
        <v>76</v>
      </c>
      <c r="CF25" s="2" t="n">
        <f aca="false">MIN(CF24+1,CE25+1,CE24+IF($A25=CF$4,0,1))</f>
        <v>77</v>
      </c>
      <c r="CG25" s="2" t="n">
        <f aca="false">MIN(CG24+1,CF25+1,CF24+IF($A25=CG$4,0,1))</f>
        <v>78</v>
      </c>
      <c r="CH25" s="2" t="n">
        <f aca="false">MIN(CH24+1,CG25+1,CG24+IF($A25=CH$4,0,1))</f>
        <v>79</v>
      </c>
      <c r="CI25" s="2" t="n">
        <f aca="false">MIN(CI24+1,CH25+1,CH24+IF($A25=CI$4,0,1))</f>
        <v>80</v>
      </c>
      <c r="CJ25" s="2" t="n">
        <f aca="false">MIN(CJ24+1,CI25+1,CI24+IF($A25=CJ$4,0,1))</f>
        <v>81</v>
      </c>
      <c r="CK25" s="2" t="n">
        <f aca="false">MIN(CK24+1,CJ25+1,CJ24+IF($A25=CK$4,0,1))</f>
        <v>82</v>
      </c>
      <c r="CL25" s="2" t="n">
        <f aca="false">MIN(CL24+1,CK25+1,CK24+IF($A25=CL$4,0,1))</f>
        <v>83</v>
      </c>
      <c r="CM25" s="2" t="n">
        <f aca="false">MIN(CM24+1,CL25+1,CL24+IF($A25=CM$4,0,1))</f>
        <v>84</v>
      </c>
      <c r="CN25" s="2" t="n">
        <f aca="false">MIN(CN24+1,CM25+1,CM24+IF($A25=CN$4,0,1))</f>
        <v>85</v>
      </c>
      <c r="CO25" s="2" t="n">
        <f aca="false">MIN(CO24+1,CN25+1,CN24+IF($A25=CO$4,0,1))</f>
        <v>86</v>
      </c>
      <c r="CP25" s="2" t="n">
        <f aca="false">MIN(CP24+1,CO25+1,CO24+IF($A25=CP$4,0,1))</f>
        <v>87</v>
      </c>
      <c r="CQ25" s="2" t="n">
        <f aca="false">MIN(CQ24+1,CP25+1,CP24+IF($A25=CQ$4,0,1))</f>
        <v>88</v>
      </c>
    </row>
    <row r="26" customFormat="false" ht="15" hidden="false" customHeight="false" outlineLevel="0" collapsed="false">
      <c r="A26" s="4" t="s">
        <v>158</v>
      </c>
      <c r="B26" s="12" t="n">
        <v>21</v>
      </c>
      <c r="C26" s="2" t="n">
        <f aca="false">MIN(C25+1,B26+1,B25+IF($A26=C$4,0,1))</f>
        <v>21</v>
      </c>
      <c r="D26" s="2" t="n">
        <f aca="false">MIN(D25+1,C26+1,C25+IF($A26=D$4,0,1))</f>
        <v>21</v>
      </c>
      <c r="E26" s="2" t="n">
        <f aca="false">MIN(E25+1,D26+1,D25+IF($A26=E$4,0,1))</f>
        <v>20</v>
      </c>
      <c r="F26" s="2" t="n">
        <f aca="false">MIN(F25+1,E26+1,E25+IF($A26=F$4,0,1))</f>
        <v>19</v>
      </c>
      <c r="G26" s="2" t="n">
        <f aca="false">MIN(G25+1,F26+1,F25+IF($A26=G$4,0,1))</f>
        <v>19</v>
      </c>
      <c r="H26" s="2" t="n">
        <f aca="false">MIN(H25+1,G26+1,G25+IF($A26=H$4,0,1))</f>
        <v>19</v>
      </c>
      <c r="I26" s="2" t="n">
        <f aca="false">MIN(I25+1,H26+1,H25+IF($A26=I$4,0,1))</f>
        <v>19</v>
      </c>
      <c r="J26" s="2" t="n">
        <f aca="false">MIN(J25+1,I26+1,I25+IF($A26=J$4,0,1))</f>
        <v>19</v>
      </c>
      <c r="K26" s="2" t="n">
        <f aca="false">MIN(K25+1,J26+1,J25+IF($A26=K$4,0,1))</f>
        <v>18</v>
      </c>
      <c r="L26" s="2" t="n">
        <f aca="false">MIN(L25+1,K26+1,K25+IF($A26=L$4,0,1))</f>
        <v>18</v>
      </c>
      <c r="M26" s="2" t="n">
        <f aca="false">MIN(M25+1,L26+1,L25+IF($A26=M$4,0,1))</f>
        <v>18</v>
      </c>
      <c r="N26" s="2" t="n">
        <f aca="false">MIN(N25+1,M26+1,M25+IF($A26=N$4,0,1))</f>
        <v>18</v>
      </c>
      <c r="O26" s="2" t="n">
        <f aca="false">MIN(O25+1,N26+1,N25+IF($A26=O$4,0,1))</f>
        <v>18</v>
      </c>
      <c r="P26" s="2" t="n">
        <f aca="false">MIN(P25+1,O26+1,O25+IF($A26=P$4,0,1))</f>
        <v>18</v>
      </c>
      <c r="Q26" s="2" t="n">
        <f aca="false">MIN(Q25+1,P26+1,P25+IF($A26=Q$4,0,1))</f>
        <v>18</v>
      </c>
      <c r="R26" s="2" t="n">
        <f aca="false">MIN(R25+1,Q26+1,Q25+IF($A26=R$4,0,1))</f>
        <v>18</v>
      </c>
      <c r="S26" s="2" t="n">
        <f aca="false">MIN(S25+1,R26+1,R25+IF($A26=S$4,0,1))</f>
        <v>18</v>
      </c>
      <c r="T26" s="2" t="n">
        <f aca="false">MIN(T25+1,S26+1,S25+IF($A26=T$4,0,1))</f>
        <v>18</v>
      </c>
      <c r="U26" s="2" t="n">
        <f aca="false">MIN(U25+1,T26+1,T25+IF($A26=U$4,0,1))</f>
        <v>18</v>
      </c>
      <c r="V26" s="2" t="n">
        <f aca="false">MIN(V25+1,U26+1,U25+IF($A26=V$4,0,1))</f>
        <v>19</v>
      </c>
      <c r="W26" s="2" t="n">
        <f aca="false">MIN(W25+1,V26+1,V25+IF($A26=W$4,0,1))</f>
        <v>19</v>
      </c>
      <c r="X26" s="2" t="n">
        <f aca="false">MIN(X25+1,W26+1,W25+IF($A26=X$4,0,1))</f>
        <v>19</v>
      </c>
      <c r="Y26" s="2" t="n">
        <f aca="false">MIN(Y25+1,X26+1,X25+IF($A26=Y$4,0,1))</f>
        <v>20</v>
      </c>
      <c r="Z26" s="2" t="n">
        <f aca="false">MIN(Z25+1,Y26+1,Y25+IF($A26=Z$4,0,1))</f>
        <v>21</v>
      </c>
      <c r="AA26" s="2" t="n">
        <f aca="false">MIN(AA25+1,Z26+1,Z25+IF($A26=AA$4,0,1))</f>
        <v>21</v>
      </c>
      <c r="AB26" s="2" t="n">
        <f aca="false">MIN(AB25+1,AA26+1,AA25+IF($A26=AB$4,0,1))</f>
        <v>22</v>
      </c>
      <c r="AC26" s="2" t="n">
        <f aca="false">MIN(AC25+1,AB26+1,AB25+IF($A26=AC$4,0,1))</f>
        <v>23</v>
      </c>
      <c r="AD26" s="2" t="n">
        <f aca="false">MIN(AD25+1,AC26+1,AC25+IF($A26=AD$4,0,1))</f>
        <v>24</v>
      </c>
      <c r="AE26" s="2" t="n">
        <f aca="false">MIN(AE25+1,AD26+1,AD25+IF($A26=AE$4,0,1))</f>
        <v>25</v>
      </c>
      <c r="AF26" s="2" t="n">
        <f aca="false">MIN(AF25+1,AE26+1,AE25+IF($A26=AF$4,0,1))</f>
        <v>26</v>
      </c>
      <c r="AG26" s="2" t="n">
        <f aca="false">MIN(AG25+1,AF26+1,AF25+IF($A26=AG$4,0,1))</f>
        <v>27</v>
      </c>
      <c r="AH26" s="2" t="n">
        <f aca="false">MIN(AH25+1,AG26+1,AG25+IF($A26=AH$4,0,1))</f>
        <v>28</v>
      </c>
      <c r="AI26" s="2" t="n">
        <f aca="false">MIN(AI25+1,AH26+1,AH25+IF($A26=AI$4,0,1))</f>
        <v>29</v>
      </c>
      <c r="AJ26" s="2" t="n">
        <f aca="false">MIN(AJ25+1,AI26+1,AI25+IF($A26=AJ$4,0,1))</f>
        <v>30</v>
      </c>
      <c r="AK26" s="2" t="n">
        <f aca="false">MIN(AK25+1,AJ26+1,AJ25+IF($A26=AK$4,0,1))</f>
        <v>31</v>
      </c>
      <c r="AL26" s="2" t="n">
        <f aca="false">MIN(AL25+1,AK26+1,AK25+IF($A26=AL$4,0,1))</f>
        <v>32</v>
      </c>
      <c r="AM26" s="2" t="n">
        <f aca="false">MIN(AM25+1,AL26+1,AL25+IF($A26=AM$4,0,1))</f>
        <v>33</v>
      </c>
      <c r="AN26" s="2" t="n">
        <f aca="false">MIN(AN25+1,AM26+1,AM25+IF($A26=AN$4,0,1))</f>
        <v>34</v>
      </c>
      <c r="AO26" s="2" t="n">
        <f aca="false">MIN(AO25+1,AN26+1,AN25+IF($A26=AO$4,0,1))</f>
        <v>35</v>
      </c>
      <c r="AP26" s="2" t="n">
        <f aca="false">MIN(AP25+1,AO26+1,AO25+IF($A26=AP$4,0,1))</f>
        <v>36</v>
      </c>
      <c r="AQ26" s="2" t="n">
        <f aca="false">MIN(AQ25+1,AP26+1,AP25+IF($A26=AQ$4,0,1))</f>
        <v>37</v>
      </c>
      <c r="AR26" s="2" t="n">
        <f aca="false">MIN(AR25+1,AQ26+1,AQ25+IF($A26=AR$4,0,1))</f>
        <v>38</v>
      </c>
      <c r="AS26" s="2" t="n">
        <f aca="false">MIN(AS25+1,AR26+1,AR25+IF($A26=AS$4,0,1))</f>
        <v>39</v>
      </c>
      <c r="AT26" s="2" t="n">
        <f aca="false">MIN(AT25+1,AS26+1,AS25+IF($A26=AT$4,0,1))</f>
        <v>40</v>
      </c>
      <c r="AU26" s="2" t="n">
        <f aca="false">MIN(AU25+1,AT26+1,AT25+IF($A26=AU$4,0,1))</f>
        <v>41</v>
      </c>
      <c r="AV26" s="2" t="n">
        <f aca="false">MIN(AV25+1,AU26+1,AU25+IF($A26=AV$4,0,1))</f>
        <v>42</v>
      </c>
      <c r="AW26" s="2" t="n">
        <f aca="false">MIN(AW25+1,AV26+1,AV25+IF($A26=AW$4,0,1))</f>
        <v>43</v>
      </c>
      <c r="AX26" s="2" t="n">
        <f aca="false">MIN(AX25+1,AW26+1,AW25+IF($A26=AX$4,0,1))</f>
        <v>44</v>
      </c>
      <c r="AY26" s="2" t="n">
        <f aca="false">MIN(AY25+1,AX26+1,AX25+IF($A26=AY$4,0,1))</f>
        <v>45</v>
      </c>
      <c r="AZ26" s="2" t="n">
        <f aca="false">MIN(AZ25+1,AY26+1,AY25+IF($A26=AZ$4,0,1))</f>
        <v>46</v>
      </c>
      <c r="BA26" s="2" t="n">
        <f aca="false">MIN(BA25+1,AZ26+1,AZ25+IF($A26=BA$4,0,1))</f>
        <v>47</v>
      </c>
      <c r="BB26" s="2" t="n">
        <f aca="false">MIN(BB25+1,BA26+1,BA25+IF($A26=BB$4,0,1))</f>
        <v>48</v>
      </c>
      <c r="BC26" s="2" t="n">
        <f aca="false">MIN(BC25+1,BB26+1,BB25+IF($A26=BC$4,0,1))</f>
        <v>49</v>
      </c>
      <c r="BD26" s="2" t="n">
        <f aca="false">MIN(BD25+1,BC26+1,BC25+IF($A26=BD$4,0,1))</f>
        <v>50</v>
      </c>
      <c r="BE26" s="2" t="n">
        <f aca="false">MIN(BE25+1,BD26+1,BD25+IF($A26=BE$4,0,1))</f>
        <v>51</v>
      </c>
      <c r="BF26" s="2" t="n">
        <f aca="false">MIN(BF25+1,BE26+1,BE25+IF($A26=BF$4,0,1))</f>
        <v>52</v>
      </c>
      <c r="BG26" s="2" t="n">
        <f aca="false">MIN(BG25+1,BF26+1,BF25+IF($A26=BG$4,0,1))</f>
        <v>53</v>
      </c>
      <c r="BH26" s="2" t="n">
        <f aca="false">MIN(BH25+1,BG26+1,BG25+IF($A26=BH$4,0,1))</f>
        <v>54</v>
      </c>
      <c r="BI26" s="2" t="n">
        <f aca="false">MIN(BI25+1,BH26+1,BH25+IF($A26=BI$4,0,1))</f>
        <v>55</v>
      </c>
      <c r="BJ26" s="2" t="n">
        <f aca="false">MIN(BJ25+1,BI26+1,BI25+IF($A26=BJ$4,0,1))</f>
        <v>56</v>
      </c>
      <c r="BK26" s="2" t="n">
        <f aca="false">MIN(BK25+1,BJ26+1,BJ25+IF($A26=BK$4,0,1))</f>
        <v>57</v>
      </c>
      <c r="BL26" s="2" t="n">
        <f aca="false">MIN(BL25+1,BK26+1,BK25+IF($A26=BL$4,0,1))</f>
        <v>58</v>
      </c>
      <c r="BM26" s="2" t="n">
        <f aca="false">MIN(BM25+1,BL26+1,BL25+IF($A26=BM$4,0,1))</f>
        <v>58</v>
      </c>
      <c r="BN26" s="2" t="n">
        <f aca="false">MIN(BN25+1,BM26+1,BM25+IF($A26=BN$4,0,1))</f>
        <v>59</v>
      </c>
      <c r="BO26" s="2" t="n">
        <f aca="false">MIN(BO25+1,BN26+1,BN25+IF($A26=BO$4,0,1))</f>
        <v>60</v>
      </c>
      <c r="BP26" s="2" t="n">
        <f aca="false">MIN(BP25+1,BO26+1,BO25+IF($A26=BP$4,0,1))</f>
        <v>61</v>
      </c>
      <c r="BQ26" s="2" t="n">
        <f aca="false">MIN(BQ25+1,BP26+1,BP25+IF($A26=BQ$4,0,1))</f>
        <v>62</v>
      </c>
      <c r="BR26" s="2" t="n">
        <f aca="false">MIN(BR25+1,BQ26+1,BQ25+IF($A26=BR$4,0,1))</f>
        <v>63</v>
      </c>
      <c r="BS26" s="2" t="n">
        <f aca="false">MIN(BS25+1,BR26+1,BR25+IF($A26=BS$4,0,1))</f>
        <v>64</v>
      </c>
      <c r="BT26" s="2" t="n">
        <f aca="false">MIN(BT25+1,BS26+1,BS25+IF($A26=BT$4,0,1))</f>
        <v>65</v>
      </c>
      <c r="BU26" s="2" t="n">
        <f aca="false">MIN(BU25+1,BT26+1,BT25+IF($A26=BU$4,0,1))</f>
        <v>66</v>
      </c>
      <c r="BV26" s="2" t="n">
        <f aca="false">MIN(BV25+1,BU26+1,BU25+IF($A26=BV$4,0,1))</f>
        <v>67</v>
      </c>
      <c r="BW26" s="2" t="n">
        <f aca="false">MIN(BW25+1,BV26+1,BV25+IF($A26=BW$4,0,1))</f>
        <v>68</v>
      </c>
      <c r="BX26" s="2" t="n">
        <f aca="false">MIN(BX25+1,BW26+1,BW25+IF($A26=BX$4,0,1))</f>
        <v>69</v>
      </c>
      <c r="BY26" s="2" t="n">
        <f aca="false">MIN(BY25+1,BX26+1,BX25+IF($A26=BY$4,0,1))</f>
        <v>70</v>
      </c>
      <c r="BZ26" s="2" t="n">
        <f aca="false">MIN(BZ25+1,BY26+1,BY25+IF($A26=BZ$4,0,1))</f>
        <v>71</v>
      </c>
      <c r="CA26" s="2" t="n">
        <f aca="false">MIN(CA25+1,BZ26+1,BZ25+IF($A26=CA$4,0,1))</f>
        <v>72</v>
      </c>
      <c r="CB26" s="2" t="n">
        <f aca="false">MIN(CB25+1,CA26+1,CA25+IF($A26=CB$4,0,1))</f>
        <v>73</v>
      </c>
      <c r="CC26" s="2" t="n">
        <f aca="false">MIN(CC25+1,CB26+1,CB25+IF($A26=CC$4,0,1))</f>
        <v>74</v>
      </c>
      <c r="CD26" s="2" t="n">
        <f aca="false">MIN(CD25+1,CC26+1,CC25+IF($A26=CD$4,0,1))</f>
        <v>75</v>
      </c>
      <c r="CE26" s="2" t="n">
        <f aca="false">MIN(CE25+1,CD26+1,CD25+IF($A26=CE$4,0,1))</f>
        <v>76</v>
      </c>
      <c r="CF26" s="2" t="n">
        <f aca="false">MIN(CF25+1,CE26+1,CE25+IF($A26=CF$4,0,1))</f>
        <v>77</v>
      </c>
      <c r="CG26" s="2" t="n">
        <f aca="false">MIN(CG25+1,CF26+1,CF25+IF($A26=CG$4,0,1))</f>
        <v>78</v>
      </c>
      <c r="CH26" s="2" t="n">
        <f aca="false">MIN(CH25+1,CG26+1,CG25+IF($A26=CH$4,0,1))</f>
        <v>79</v>
      </c>
      <c r="CI26" s="2" t="n">
        <f aca="false">MIN(CI25+1,CH26+1,CH25+IF($A26=CI$4,0,1))</f>
        <v>80</v>
      </c>
      <c r="CJ26" s="2" t="n">
        <f aca="false">MIN(CJ25+1,CI26+1,CI25+IF($A26=CJ$4,0,1))</f>
        <v>81</v>
      </c>
      <c r="CK26" s="2" t="n">
        <f aca="false">MIN(CK25+1,CJ26+1,CJ25+IF($A26=CK$4,0,1))</f>
        <v>82</v>
      </c>
      <c r="CL26" s="2" t="n">
        <f aca="false">MIN(CL25+1,CK26+1,CK25+IF($A26=CL$4,0,1))</f>
        <v>83</v>
      </c>
      <c r="CM26" s="2" t="n">
        <f aca="false">MIN(CM25+1,CL26+1,CL25+IF($A26=CM$4,0,1))</f>
        <v>84</v>
      </c>
      <c r="CN26" s="2" t="n">
        <f aca="false">MIN(CN25+1,CM26+1,CM25+IF($A26=CN$4,0,1))</f>
        <v>85</v>
      </c>
      <c r="CO26" s="2" t="n">
        <f aca="false">MIN(CO25+1,CN26+1,CN25+IF($A26=CO$4,0,1))</f>
        <v>86</v>
      </c>
      <c r="CP26" s="2" t="n">
        <f aca="false">MIN(CP25+1,CO26+1,CO25+IF($A26=CP$4,0,1))</f>
        <v>87</v>
      </c>
      <c r="CQ26" s="2" t="n">
        <f aca="false">MIN(CQ25+1,CP26+1,CP25+IF($A26=CQ$4,0,1))</f>
        <v>88</v>
      </c>
    </row>
    <row r="27" customFormat="false" ht="15" hidden="false" customHeight="false" outlineLevel="0" collapsed="false">
      <c r="A27" s="4" t="s">
        <v>159</v>
      </c>
      <c r="B27" s="12" t="n">
        <v>22</v>
      </c>
      <c r="C27" s="2" t="n">
        <f aca="false">MIN(C26+1,B27+1,B26+IF($A27=C$4,0,1))</f>
        <v>22</v>
      </c>
      <c r="D27" s="2" t="n">
        <f aca="false">MIN(D26+1,C27+1,C26+IF($A27=D$4,0,1))</f>
        <v>22</v>
      </c>
      <c r="E27" s="2" t="n">
        <f aca="false">MIN(E26+1,D27+1,D26+IF($A27=E$4,0,1))</f>
        <v>21</v>
      </c>
      <c r="F27" s="2" t="n">
        <f aca="false">MIN(F26+1,E27+1,E26+IF($A27=F$4,0,1))</f>
        <v>20</v>
      </c>
      <c r="G27" s="2" t="n">
        <f aca="false">MIN(G26+1,F27+1,F26+IF($A27=G$4,0,1))</f>
        <v>20</v>
      </c>
      <c r="H27" s="2" t="n">
        <f aca="false">MIN(H26+1,G27+1,G26+IF($A27=H$4,0,1))</f>
        <v>20</v>
      </c>
      <c r="I27" s="2" t="n">
        <f aca="false">MIN(I26+1,H27+1,H26+IF($A27=I$4,0,1))</f>
        <v>20</v>
      </c>
      <c r="J27" s="2" t="n">
        <f aca="false">MIN(J26+1,I27+1,I26+IF($A27=J$4,0,1))</f>
        <v>20</v>
      </c>
      <c r="K27" s="2" t="n">
        <f aca="false">MIN(K26+1,J27+1,J26+IF($A27=K$4,0,1))</f>
        <v>19</v>
      </c>
      <c r="L27" s="2" t="n">
        <f aca="false">MIN(L26+1,K27+1,K26+IF($A27=L$4,0,1))</f>
        <v>19</v>
      </c>
      <c r="M27" s="2" t="n">
        <f aca="false">MIN(M26+1,L27+1,L26+IF($A27=M$4,0,1))</f>
        <v>19</v>
      </c>
      <c r="N27" s="2" t="n">
        <f aca="false">MIN(N26+1,M27+1,M26+IF($A27=N$4,0,1))</f>
        <v>19</v>
      </c>
      <c r="O27" s="2" t="n">
        <f aca="false">MIN(O26+1,N27+1,N26+IF($A27=O$4,0,1))</f>
        <v>19</v>
      </c>
      <c r="P27" s="2" t="n">
        <f aca="false">MIN(P26+1,O27+1,O26+IF($A27=P$4,0,1))</f>
        <v>19</v>
      </c>
      <c r="Q27" s="2" t="n">
        <f aca="false">MIN(Q26+1,P27+1,P26+IF($A27=Q$4,0,1))</f>
        <v>19</v>
      </c>
      <c r="R27" s="2" t="n">
        <f aca="false">MIN(R26+1,Q27+1,Q26+IF($A27=R$4,0,1))</f>
        <v>19</v>
      </c>
      <c r="S27" s="2" t="n">
        <f aca="false">MIN(S26+1,R27+1,R26+IF($A27=S$4,0,1))</f>
        <v>19</v>
      </c>
      <c r="T27" s="2" t="n">
        <f aca="false">MIN(T26+1,S27+1,S26+IF($A27=T$4,0,1))</f>
        <v>19</v>
      </c>
      <c r="U27" s="2" t="n">
        <f aca="false">MIN(U26+1,T27+1,T26+IF($A27=U$4,0,1))</f>
        <v>19</v>
      </c>
      <c r="V27" s="2" t="n">
        <f aca="false">MIN(V26+1,U27+1,U26+IF($A27=V$4,0,1))</f>
        <v>19</v>
      </c>
      <c r="W27" s="2" t="n">
        <f aca="false">MIN(W26+1,V27+1,V26+IF($A27=W$4,0,1))</f>
        <v>20</v>
      </c>
      <c r="X27" s="2" t="n">
        <f aca="false">MIN(X26+1,W27+1,W26+IF($A27=X$4,0,1))</f>
        <v>20</v>
      </c>
      <c r="Y27" s="2" t="n">
        <f aca="false">MIN(Y26+1,X27+1,X26+IF($A27=Y$4,0,1))</f>
        <v>20</v>
      </c>
      <c r="Z27" s="2" t="n">
        <f aca="false">MIN(Z26+1,Y27+1,Y26+IF($A27=Z$4,0,1))</f>
        <v>21</v>
      </c>
      <c r="AA27" s="2" t="n">
        <f aca="false">MIN(AA26+1,Z27+1,Z26+IF($A27=AA$4,0,1))</f>
        <v>22</v>
      </c>
      <c r="AB27" s="2" t="n">
        <f aca="false">MIN(AB26+1,AA27+1,AA26+IF($A27=AB$4,0,1))</f>
        <v>22</v>
      </c>
      <c r="AC27" s="2" t="n">
        <f aca="false">MIN(AC26+1,AB27+1,AB26+IF($A27=AC$4,0,1))</f>
        <v>23</v>
      </c>
      <c r="AD27" s="2" t="n">
        <f aca="false">MIN(AD26+1,AC27+1,AC26+IF($A27=AD$4,0,1))</f>
        <v>24</v>
      </c>
      <c r="AE27" s="2" t="n">
        <f aca="false">MIN(AE26+1,AD27+1,AD26+IF($A27=AE$4,0,1))</f>
        <v>25</v>
      </c>
      <c r="AF27" s="2" t="n">
        <f aca="false">MIN(AF26+1,AE27+1,AE26+IF($A27=AF$4,0,1))</f>
        <v>26</v>
      </c>
      <c r="AG27" s="2" t="n">
        <f aca="false">MIN(AG26+1,AF27+1,AF26+IF($A27=AG$4,0,1))</f>
        <v>27</v>
      </c>
      <c r="AH27" s="2" t="n">
        <f aca="false">MIN(AH26+1,AG27+1,AG26+IF($A27=AH$4,0,1))</f>
        <v>28</v>
      </c>
      <c r="AI27" s="2" t="n">
        <f aca="false">MIN(AI26+1,AH27+1,AH26+IF($A27=AI$4,0,1))</f>
        <v>29</v>
      </c>
      <c r="AJ27" s="2" t="n">
        <f aca="false">MIN(AJ26+1,AI27+1,AI26+IF($A27=AJ$4,0,1))</f>
        <v>30</v>
      </c>
      <c r="AK27" s="2" t="n">
        <f aca="false">MIN(AK26+1,AJ27+1,AJ26+IF($A27=AK$4,0,1))</f>
        <v>31</v>
      </c>
      <c r="AL27" s="2" t="n">
        <f aca="false">MIN(AL26+1,AK27+1,AK26+IF($A27=AL$4,0,1))</f>
        <v>32</v>
      </c>
      <c r="AM27" s="2" t="n">
        <f aca="false">MIN(AM26+1,AL27+1,AL26+IF($A27=AM$4,0,1))</f>
        <v>33</v>
      </c>
      <c r="AN27" s="2" t="n">
        <f aca="false">MIN(AN26+1,AM27+1,AM26+IF($A27=AN$4,0,1))</f>
        <v>34</v>
      </c>
      <c r="AO27" s="2" t="n">
        <f aca="false">MIN(AO26+1,AN27+1,AN26+IF($A27=AO$4,0,1))</f>
        <v>35</v>
      </c>
      <c r="AP27" s="2" t="n">
        <f aca="false">MIN(AP26+1,AO27+1,AO26+IF($A27=AP$4,0,1))</f>
        <v>36</v>
      </c>
      <c r="AQ27" s="2" t="n">
        <f aca="false">MIN(AQ26+1,AP27+1,AP26+IF($A27=AQ$4,0,1))</f>
        <v>37</v>
      </c>
      <c r="AR27" s="2" t="n">
        <f aca="false">MIN(AR26+1,AQ27+1,AQ26+IF($A27=AR$4,0,1))</f>
        <v>38</v>
      </c>
      <c r="AS27" s="2" t="n">
        <f aca="false">MIN(AS26+1,AR27+1,AR26+IF($A27=AS$4,0,1))</f>
        <v>39</v>
      </c>
      <c r="AT27" s="2" t="n">
        <f aca="false">MIN(AT26+1,AS27+1,AS26+IF($A27=AT$4,0,1))</f>
        <v>40</v>
      </c>
      <c r="AU27" s="2" t="n">
        <f aca="false">MIN(AU26+1,AT27+1,AT26+IF($A27=AU$4,0,1))</f>
        <v>41</v>
      </c>
      <c r="AV27" s="2" t="n">
        <f aca="false">MIN(AV26+1,AU27+1,AU26+IF($A27=AV$4,0,1))</f>
        <v>42</v>
      </c>
      <c r="AW27" s="2" t="n">
        <f aca="false">MIN(AW26+1,AV27+1,AV26+IF($A27=AW$4,0,1))</f>
        <v>43</v>
      </c>
      <c r="AX27" s="2" t="n">
        <f aca="false">MIN(AX26+1,AW27+1,AW26+IF($A27=AX$4,0,1))</f>
        <v>44</v>
      </c>
      <c r="AY27" s="2" t="n">
        <f aca="false">MIN(AY26+1,AX27+1,AX26+IF($A27=AY$4,0,1))</f>
        <v>45</v>
      </c>
      <c r="AZ27" s="2" t="n">
        <f aca="false">MIN(AZ26+1,AY27+1,AY26+IF($A27=AZ$4,0,1))</f>
        <v>46</v>
      </c>
      <c r="BA27" s="2" t="n">
        <f aca="false">MIN(BA26+1,AZ27+1,AZ26+IF($A27=BA$4,0,1))</f>
        <v>47</v>
      </c>
      <c r="BB27" s="2" t="n">
        <f aca="false">MIN(BB26+1,BA27+1,BA26+IF($A27=BB$4,0,1))</f>
        <v>48</v>
      </c>
      <c r="BC27" s="2" t="n">
        <f aca="false">MIN(BC26+1,BB27+1,BB26+IF($A27=BC$4,0,1))</f>
        <v>49</v>
      </c>
      <c r="BD27" s="2" t="n">
        <f aca="false">MIN(BD26+1,BC27+1,BC26+IF($A27=BD$4,0,1))</f>
        <v>50</v>
      </c>
      <c r="BE27" s="2" t="n">
        <f aca="false">MIN(BE26+1,BD27+1,BD26+IF($A27=BE$4,0,1))</f>
        <v>51</v>
      </c>
      <c r="BF27" s="2" t="n">
        <f aca="false">MIN(BF26+1,BE27+1,BE26+IF($A27=BF$4,0,1))</f>
        <v>52</v>
      </c>
      <c r="BG27" s="2" t="n">
        <f aca="false">MIN(BG26+1,BF27+1,BF26+IF($A27=BG$4,0,1))</f>
        <v>53</v>
      </c>
      <c r="BH27" s="2" t="n">
        <f aca="false">MIN(BH26+1,BG27+1,BG26+IF($A27=BH$4,0,1))</f>
        <v>54</v>
      </c>
      <c r="BI27" s="2" t="n">
        <f aca="false">MIN(BI26+1,BH27+1,BH26+IF($A27=BI$4,0,1))</f>
        <v>55</v>
      </c>
      <c r="BJ27" s="2" t="n">
        <f aca="false">MIN(BJ26+1,BI27+1,BI26+IF($A27=BJ$4,0,1))</f>
        <v>56</v>
      </c>
      <c r="BK27" s="2" t="n">
        <f aca="false">MIN(BK26+1,BJ27+1,BJ26+IF($A27=BK$4,0,1))</f>
        <v>57</v>
      </c>
      <c r="BL27" s="2" t="n">
        <f aca="false">MIN(BL26+1,BK27+1,BK26+IF($A27=BL$4,0,1))</f>
        <v>58</v>
      </c>
      <c r="BM27" s="2" t="n">
        <f aca="false">MIN(BM26+1,BL27+1,BL26+IF($A27=BM$4,0,1))</f>
        <v>59</v>
      </c>
      <c r="BN27" s="2" t="n">
        <f aca="false">MIN(BN26+1,BM27+1,BM26+IF($A27=BN$4,0,1))</f>
        <v>59</v>
      </c>
      <c r="BO27" s="2" t="n">
        <f aca="false">MIN(BO26+1,BN27+1,BN26+IF($A27=BO$4,0,1))</f>
        <v>60</v>
      </c>
      <c r="BP27" s="2" t="n">
        <f aca="false">MIN(BP26+1,BO27+1,BO26+IF($A27=BP$4,0,1))</f>
        <v>61</v>
      </c>
      <c r="BQ27" s="2" t="n">
        <f aca="false">MIN(BQ26+1,BP27+1,BP26+IF($A27=BQ$4,0,1))</f>
        <v>62</v>
      </c>
      <c r="BR27" s="2" t="n">
        <f aca="false">MIN(BR26+1,BQ27+1,BQ26+IF($A27=BR$4,0,1))</f>
        <v>63</v>
      </c>
      <c r="BS27" s="2" t="n">
        <f aca="false">MIN(BS26+1,BR27+1,BR26+IF($A27=BS$4,0,1))</f>
        <v>64</v>
      </c>
      <c r="BT27" s="2" t="n">
        <f aca="false">MIN(BT26+1,BS27+1,BS26+IF($A27=BT$4,0,1))</f>
        <v>65</v>
      </c>
      <c r="BU27" s="2" t="n">
        <f aca="false">MIN(BU26+1,BT27+1,BT26+IF($A27=BU$4,0,1))</f>
        <v>66</v>
      </c>
      <c r="BV27" s="2" t="n">
        <f aca="false">MIN(BV26+1,BU27+1,BU26+IF($A27=BV$4,0,1))</f>
        <v>67</v>
      </c>
      <c r="BW27" s="2" t="n">
        <f aca="false">MIN(BW26+1,BV27+1,BV26+IF($A27=BW$4,0,1))</f>
        <v>68</v>
      </c>
      <c r="BX27" s="2" t="n">
        <f aca="false">MIN(BX26+1,BW27+1,BW26+IF($A27=BX$4,0,1))</f>
        <v>69</v>
      </c>
      <c r="BY27" s="2" t="n">
        <f aca="false">MIN(BY26+1,BX27+1,BX26+IF($A27=BY$4,0,1))</f>
        <v>70</v>
      </c>
      <c r="BZ27" s="2" t="n">
        <f aca="false">MIN(BZ26+1,BY27+1,BY26+IF($A27=BZ$4,0,1))</f>
        <v>71</v>
      </c>
      <c r="CA27" s="2" t="n">
        <f aca="false">MIN(CA26+1,BZ27+1,BZ26+IF($A27=CA$4,0,1))</f>
        <v>72</v>
      </c>
      <c r="CB27" s="2" t="n">
        <f aca="false">MIN(CB26+1,CA27+1,CA26+IF($A27=CB$4,0,1))</f>
        <v>73</v>
      </c>
      <c r="CC27" s="2" t="n">
        <f aca="false">MIN(CC26+1,CB27+1,CB26+IF($A27=CC$4,0,1))</f>
        <v>74</v>
      </c>
      <c r="CD27" s="2" t="n">
        <f aca="false">MIN(CD26+1,CC27+1,CC26+IF($A27=CD$4,0,1))</f>
        <v>75</v>
      </c>
      <c r="CE27" s="2" t="n">
        <f aca="false">MIN(CE26+1,CD27+1,CD26+IF($A27=CE$4,0,1))</f>
        <v>76</v>
      </c>
      <c r="CF27" s="2" t="n">
        <f aca="false">MIN(CF26+1,CE27+1,CE26+IF($A27=CF$4,0,1))</f>
        <v>77</v>
      </c>
      <c r="CG27" s="2" t="n">
        <f aca="false">MIN(CG26+1,CF27+1,CF26+IF($A27=CG$4,0,1))</f>
        <v>78</v>
      </c>
      <c r="CH27" s="2" t="n">
        <f aca="false">MIN(CH26+1,CG27+1,CG26+IF($A27=CH$4,0,1))</f>
        <v>79</v>
      </c>
      <c r="CI27" s="2" t="n">
        <f aca="false">MIN(CI26+1,CH27+1,CH26+IF($A27=CI$4,0,1))</f>
        <v>80</v>
      </c>
      <c r="CJ27" s="2" t="n">
        <f aca="false">MIN(CJ26+1,CI27+1,CI26+IF($A27=CJ$4,0,1))</f>
        <v>81</v>
      </c>
      <c r="CK27" s="2" t="n">
        <f aca="false">MIN(CK26+1,CJ27+1,CJ26+IF($A27=CK$4,0,1))</f>
        <v>82</v>
      </c>
      <c r="CL27" s="2" t="n">
        <f aca="false">MIN(CL26+1,CK27+1,CK26+IF($A27=CL$4,0,1))</f>
        <v>83</v>
      </c>
      <c r="CM27" s="2" t="n">
        <f aca="false">MIN(CM26+1,CL27+1,CL26+IF($A27=CM$4,0,1))</f>
        <v>84</v>
      </c>
      <c r="CN27" s="2" t="n">
        <f aca="false">MIN(CN26+1,CM27+1,CM26+IF($A27=CN$4,0,1))</f>
        <v>85</v>
      </c>
      <c r="CO27" s="2" t="n">
        <f aca="false">MIN(CO26+1,CN27+1,CN26+IF($A27=CO$4,0,1))</f>
        <v>86</v>
      </c>
      <c r="CP27" s="2" t="n">
        <f aca="false">MIN(CP26+1,CO27+1,CO26+IF($A27=CP$4,0,1))</f>
        <v>87</v>
      </c>
      <c r="CQ27" s="2" t="n">
        <f aca="false">MIN(CQ26+1,CP27+1,CP26+IF($A27=CQ$4,0,1))</f>
        <v>88</v>
      </c>
    </row>
    <row r="28" customFormat="false" ht="15" hidden="false" customHeight="false" outlineLevel="0" collapsed="false">
      <c r="A28" s="4" t="s">
        <v>160</v>
      </c>
      <c r="B28" s="12" t="n">
        <v>23</v>
      </c>
      <c r="C28" s="2" t="n">
        <f aca="false">MIN(C27+1,B28+1,B27+IF($A28=C$4,0,1))</f>
        <v>23</v>
      </c>
      <c r="D28" s="2" t="n">
        <f aca="false">MIN(D27+1,C28+1,C27+IF($A28=D$4,0,1))</f>
        <v>23</v>
      </c>
      <c r="E28" s="2" t="n">
        <f aca="false">MIN(E27+1,D28+1,D27+IF($A28=E$4,0,1))</f>
        <v>22</v>
      </c>
      <c r="F28" s="2" t="n">
        <f aca="false">MIN(F27+1,E28+1,E27+IF($A28=F$4,0,1))</f>
        <v>21</v>
      </c>
      <c r="G28" s="2" t="n">
        <f aca="false">MIN(G27+1,F28+1,F27+IF($A28=G$4,0,1))</f>
        <v>21</v>
      </c>
      <c r="H28" s="2" t="n">
        <f aca="false">MIN(H27+1,G28+1,G27+IF($A28=H$4,0,1))</f>
        <v>21</v>
      </c>
      <c r="I28" s="2" t="n">
        <f aca="false">MIN(I27+1,H28+1,H27+IF($A28=I$4,0,1))</f>
        <v>21</v>
      </c>
      <c r="J28" s="2" t="n">
        <f aca="false">MIN(J27+1,I28+1,I27+IF($A28=J$4,0,1))</f>
        <v>21</v>
      </c>
      <c r="K28" s="2" t="n">
        <f aca="false">MIN(K27+1,J28+1,J27+IF($A28=K$4,0,1))</f>
        <v>20</v>
      </c>
      <c r="L28" s="2" t="n">
        <f aca="false">MIN(L27+1,K28+1,K27+IF($A28=L$4,0,1))</f>
        <v>20</v>
      </c>
      <c r="M28" s="2" t="n">
        <f aca="false">MIN(M27+1,L28+1,L27+IF($A28=M$4,0,1))</f>
        <v>20</v>
      </c>
      <c r="N28" s="2" t="n">
        <f aca="false">MIN(N27+1,M28+1,M27+IF($A28=N$4,0,1))</f>
        <v>20</v>
      </c>
      <c r="O28" s="2" t="n">
        <f aca="false">MIN(O27+1,N28+1,N27+IF($A28=O$4,0,1))</f>
        <v>20</v>
      </c>
      <c r="P28" s="2" t="n">
        <f aca="false">MIN(P27+1,O28+1,O27+IF($A28=P$4,0,1))</f>
        <v>20</v>
      </c>
      <c r="Q28" s="2" t="n">
        <f aca="false">MIN(Q27+1,P28+1,P27+IF($A28=Q$4,0,1))</f>
        <v>20</v>
      </c>
      <c r="R28" s="2" t="n">
        <f aca="false">MIN(R27+1,Q28+1,Q27+IF($A28=R$4,0,1))</f>
        <v>20</v>
      </c>
      <c r="S28" s="2" t="n">
        <f aca="false">MIN(S27+1,R28+1,R27+IF($A28=S$4,0,1))</f>
        <v>20</v>
      </c>
      <c r="T28" s="2" t="n">
        <f aca="false">MIN(T27+1,S28+1,S27+IF($A28=T$4,0,1))</f>
        <v>20</v>
      </c>
      <c r="U28" s="2" t="n">
        <f aca="false">MIN(U27+1,T28+1,T27+IF($A28=U$4,0,1))</f>
        <v>20</v>
      </c>
      <c r="V28" s="2" t="n">
        <f aca="false">MIN(V27+1,U28+1,U27+IF($A28=V$4,0,1))</f>
        <v>20</v>
      </c>
      <c r="W28" s="2" t="n">
        <f aca="false">MIN(W27+1,V28+1,V27+IF($A28=W$4,0,1))</f>
        <v>20</v>
      </c>
      <c r="X28" s="2" t="n">
        <f aca="false">MIN(X27+1,W28+1,W27+IF($A28=X$4,0,1))</f>
        <v>21</v>
      </c>
      <c r="Y28" s="2" t="n">
        <f aca="false">MIN(Y27+1,X28+1,X27+IF($A28=Y$4,0,1))</f>
        <v>21</v>
      </c>
      <c r="Z28" s="2" t="n">
        <f aca="false">MIN(Z27+1,Y28+1,Y27+IF($A28=Z$4,0,1))</f>
        <v>21</v>
      </c>
      <c r="AA28" s="2" t="n">
        <f aca="false">MIN(AA27+1,Z28+1,Z27+IF($A28=AA$4,0,1))</f>
        <v>22</v>
      </c>
      <c r="AB28" s="2" t="n">
        <f aca="false">MIN(AB27+1,AA28+1,AA27+IF($A28=AB$4,0,1))</f>
        <v>23</v>
      </c>
      <c r="AC28" s="2" t="n">
        <f aca="false">MIN(AC27+1,AB28+1,AB27+IF($A28=AC$4,0,1))</f>
        <v>23</v>
      </c>
      <c r="AD28" s="2" t="n">
        <f aca="false">MIN(AD27+1,AC28+1,AC27+IF($A28=AD$4,0,1))</f>
        <v>24</v>
      </c>
      <c r="AE28" s="2" t="n">
        <f aca="false">MIN(AE27+1,AD28+1,AD27+IF($A28=AE$4,0,1))</f>
        <v>25</v>
      </c>
      <c r="AF28" s="2" t="n">
        <f aca="false">MIN(AF27+1,AE28+1,AE27+IF($A28=AF$4,0,1))</f>
        <v>26</v>
      </c>
      <c r="AG28" s="2" t="n">
        <f aca="false">MIN(AG27+1,AF28+1,AF27+IF($A28=AG$4,0,1))</f>
        <v>27</v>
      </c>
      <c r="AH28" s="2" t="n">
        <f aca="false">MIN(AH27+1,AG28+1,AG27+IF($A28=AH$4,0,1))</f>
        <v>28</v>
      </c>
      <c r="AI28" s="2" t="n">
        <f aca="false">MIN(AI27+1,AH28+1,AH27+IF($A28=AI$4,0,1))</f>
        <v>29</v>
      </c>
      <c r="AJ28" s="2" t="n">
        <f aca="false">MIN(AJ27+1,AI28+1,AI27+IF($A28=AJ$4,0,1))</f>
        <v>30</v>
      </c>
      <c r="AK28" s="2" t="n">
        <f aca="false">MIN(AK27+1,AJ28+1,AJ27+IF($A28=AK$4,0,1))</f>
        <v>31</v>
      </c>
      <c r="AL28" s="2" t="n">
        <f aca="false">MIN(AL27+1,AK28+1,AK27+IF($A28=AL$4,0,1))</f>
        <v>32</v>
      </c>
      <c r="AM28" s="2" t="n">
        <f aca="false">MIN(AM27+1,AL28+1,AL27+IF($A28=AM$4,0,1))</f>
        <v>33</v>
      </c>
      <c r="AN28" s="2" t="n">
        <f aca="false">MIN(AN27+1,AM28+1,AM27+IF($A28=AN$4,0,1))</f>
        <v>34</v>
      </c>
      <c r="AO28" s="2" t="n">
        <f aca="false">MIN(AO27+1,AN28+1,AN27+IF($A28=AO$4,0,1))</f>
        <v>35</v>
      </c>
      <c r="AP28" s="2" t="n">
        <f aca="false">MIN(AP27+1,AO28+1,AO27+IF($A28=AP$4,0,1))</f>
        <v>36</v>
      </c>
      <c r="AQ28" s="2" t="n">
        <f aca="false">MIN(AQ27+1,AP28+1,AP27+IF($A28=AQ$4,0,1))</f>
        <v>37</v>
      </c>
      <c r="AR28" s="2" t="n">
        <f aca="false">MIN(AR27+1,AQ28+1,AQ27+IF($A28=AR$4,0,1))</f>
        <v>38</v>
      </c>
      <c r="AS28" s="2" t="n">
        <f aca="false">MIN(AS27+1,AR28+1,AR27+IF($A28=AS$4,0,1))</f>
        <v>39</v>
      </c>
      <c r="AT28" s="2" t="n">
        <f aca="false">MIN(AT27+1,AS28+1,AS27+IF($A28=AT$4,0,1))</f>
        <v>40</v>
      </c>
      <c r="AU28" s="2" t="n">
        <f aca="false">MIN(AU27+1,AT28+1,AT27+IF($A28=AU$4,0,1))</f>
        <v>41</v>
      </c>
      <c r="AV28" s="2" t="n">
        <f aca="false">MIN(AV27+1,AU28+1,AU27+IF($A28=AV$4,0,1))</f>
        <v>42</v>
      </c>
      <c r="AW28" s="2" t="n">
        <f aca="false">MIN(AW27+1,AV28+1,AV27+IF($A28=AW$4,0,1))</f>
        <v>43</v>
      </c>
      <c r="AX28" s="2" t="n">
        <f aca="false">MIN(AX27+1,AW28+1,AW27+IF($A28=AX$4,0,1))</f>
        <v>44</v>
      </c>
      <c r="AY28" s="2" t="n">
        <f aca="false">MIN(AY27+1,AX28+1,AX27+IF($A28=AY$4,0,1))</f>
        <v>45</v>
      </c>
      <c r="AZ28" s="2" t="n">
        <f aca="false">MIN(AZ27+1,AY28+1,AY27+IF($A28=AZ$4,0,1))</f>
        <v>46</v>
      </c>
      <c r="BA28" s="2" t="n">
        <f aca="false">MIN(BA27+1,AZ28+1,AZ27+IF($A28=BA$4,0,1))</f>
        <v>47</v>
      </c>
      <c r="BB28" s="2" t="n">
        <f aca="false">MIN(BB27+1,BA28+1,BA27+IF($A28=BB$4,0,1))</f>
        <v>48</v>
      </c>
      <c r="BC28" s="2" t="n">
        <f aca="false">MIN(BC27+1,BB28+1,BB27+IF($A28=BC$4,0,1))</f>
        <v>49</v>
      </c>
      <c r="BD28" s="2" t="n">
        <f aca="false">MIN(BD27+1,BC28+1,BC27+IF($A28=BD$4,0,1))</f>
        <v>50</v>
      </c>
      <c r="BE28" s="2" t="n">
        <f aca="false">MIN(BE27+1,BD28+1,BD27+IF($A28=BE$4,0,1))</f>
        <v>51</v>
      </c>
      <c r="BF28" s="2" t="n">
        <f aca="false">MIN(BF27+1,BE28+1,BE27+IF($A28=BF$4,0,1))</f>
        <v>52</v>
      </c>
      <c r="BG28" s="2" t="n">
        <f aca="false">MIN(BG27+1,BF28+1,BF27+IF($A28=BG$4,0,1))</f>
        <v>53</v>
      </c>
      <c r="BH28" s="2" t="n">
        <f aca="false">MIN(BH27+1,BG28+1,BG27+IF($A28=BH$4,0,1))</f>
        <v>54</v>
      </c>
      <c r="BI28" s="2" t="n">
        <f aca="false">MIN(BI27+1,BH28+1,BH27+IF($A28=BI$4,0,1))</f>
        <v>55</v>
      </c>
      <c r="BJ28" s="2" t="n">
        <f aca="false">MIN(BJ27+1,BI28+1,BI27+IF($A28=BJ$4,0,1))</f>
        <v>56</v>
      </c>
      <c r="BK28" s="2" t="n">
        <f aca="false">MIN(BK27+1,BJ28+1,BJ27+IF($A28=BK$4,0,1))</f>
        <v>57</v>
      </c>
      <c r="BL28" s="2" t="n">
        <f aca="false">MIN(BL27+1,BK28+1,BK27+IF($A28=BL$4,0,1))</f>
        <v>58</v>
      </c>
      <c r="BM28" s="2" t="n">
        <f aca="false">MIN(BM27+1,BL28+1,BL27+IF($A28=BM$4,0,1))</f>
        <v>59</v>
      </c>
      <c r="BN28" s="2" t="n">
        <f aca="false">MIN(BN27+1,BM28+1,BM27+IF($A28=BN$4,0,1))</f>
        <v>60</v>
      </c>
      <c r="BO28" s="2" t="n">
        <f aca="false">MIN(BO27+1,BN28+1,BN27+IF($A28=BO$4,0,1))</f>
        <v>60</v>
      </c>
      <c r="BP28" s="2" t="n">
        <f aca="false">MIN(BP27+1,BO28+1,BO27+IF($A28=BP$4,0,1))</f>
        <v>61</v>
      </c>
      <c r="BQ28" s="2" t="n">
        <f aca="false">MIN(BQ27+1,BP28+1,BP27+IF($A28=BQ$4,0,1))</f>
        <v>62</v>
      </c>
      <c r="BR28" s="2" t="n">
        <f aca="false">MIN(BR27+1,BQ28+1,BQ27+IF($A28=BR$4,0,1))</f>
        <v>63</v>
      </c>
      <c r="BS28" s="2" t="n">
        <f aca="false">MIN(BS27+1,BR28+1,BR27+IF($A28=BS$4,0,1))</f>
        <v>64</v>
      </c>
      <c r="BT28" s="2" t="n">
        <f aca="false">MIN(BT27+1,BS28+1,BS27+IF($A28=BT$4,0,1))</f>
        <v>65</v>
      </c>
      <c r="BU28" s="2" t="n">
        <f aca="false">MIN(BU27+1,BT28+1,BT27+IF($A28=BU$4,0,1))</f>
        <v>66</v>
      </c>
      <c r="BV28" s="2" t="n">
        <f aca="false">MIN(BV27+1,BU28+1,BU27+IF($A28=BV$4,0,1))</f>
        <v>67</v>
      </c>
      <c r="BW28" s="2" t="n">
        <f aca="false">MIN(BW27+1,BV28+1,BV27+IF($A28=BW$4,0,1))</f>
        <v>68</v>
      </c>
      <c r="BX28" s="2" t="n">
        <f aca="false">MIN(BX27+1,BW28+1,BW27+IF($A28=BX$4,0,1))</f>
        <v>69</v>
      </c>
      <c r="BY28" s="2" t="n">
        <f aca="false">MIN(BY27+1,BX28+1,BX27+IF($A28=BY$4,0,1))</f>
        <v>70</v>
      </c>
      <c r="BZ28" s="2" t="n">
        <f aca="false">MIN(BZ27+1,BY28+1,BY27+IF($A28=BZ$4,0,1))</f>
        <v>71</v>
      </c>
      <c r="CA28" s="2" t="n">
        <f aca="false">MIN(CA27+1,BZ28+1,BZ27+IF($A28=CA$4,0,1))</f>
        <v>72</v>
      </c>
      <c r="CB28" s="2" t="n">
        <f aca="false">MIN(CB27+1,CA28+1,CA27+IF($A28=CB$4,0,1))</f>
        <v>73</v>
      </c>
      <c r="CC28" s="2" t="n">
        <f aca="false">MIN(CC27+1,CB28+1,CB27+IF($A28=CC$4,0,1))</f>
        <v>74</v>
      </c>
      <c r="CD28" s="2" t="n">
        <f aca="false">MIN(CD27+1,CC28+1,CC27+IF($A28=CD$4,0,1))</f>
        <v>75</v>
      </c>
      <c r="CE28" s="2" t="n">
        <f aca="false">MIN(CE27+1,CD28+1,CD27+IF($A28=CE$4,0,1))</f>
        <v>76</v>
      </c>
      <c r="CF28" s="2" t="n">
        <f aca="false">MIN(CF27+1,CE28+1,CE27+IF($A28=CF$4,0,1))</f>
        <v>77</v>
      </c>
      <c r="CG28" s="2" t="n">
        <f aca="false">MIN(CG27+1,CF28+1,CF27+IF($A28=CG$4,0,1))</f>
        <v>78</v>
      </c>
      <c r="CH28" s="2" t="n">
        <f aca="false">MIN(CH27+1,CG28+1,CG27+IF($A28=CH$4,0,1))</f>
        <v>79</v>
      </c>
      <c r="CI28" s="2" t="n">
        <f aca="false">MIN(CI27+1,CH28+1,CH27+IF($A28=CI$4,0,1))</f>
        <v>80</v>
      </c>
      <c r="CJ28" s="2" t="n">
        <f aca="false">MIN(CJ27+1,CI28+1,CI27+IF($A28=CJ$4,0,1))</f>
        <v>81</v>
      </c>
      <c r="CK28" s="2" t="n">
        <f aca="false">MIN(CK27+1,CJ28+1,CJ27+IF($A28=CK$4,0,1))</f>
        <v>82</v>
      </c>
      <c r="CL28" s="2" t="n">
        <f aca="false">MIN(CL27+1,CK28+1,CK27+IF($A28=CL$4,0,1))</f>
        <v>83</v>
      </c>
      <c r="CM28" s="2" t="n">
        <f aca="false">MIN(CM27+1,CL28+1,CL27+IF($A28=CM$4,0,1))</f>
        <v>84</v>
      </c>
      <c r="CN28" s="2" t="n">
        <f aca="false">MIN(CN27+1,CM28+1,CM27+IF($A28=CN$4,0,1))</f>
        <v>85</v>
      </c>
      <c r="CO28" s="2" t="n">
        <f aca="false">MIN(CO27+1,CN28+1,CN27+IF($A28=CO$4,0,1))</f>
        <v>86</v>
      </c>
      <c r="CP28" s="2" t="n">
        <f aca="false">MIN(CP27+1,CO28+1,CO27+IF($A28=CP$4,0,1))</f>
        <v>87</v>
      </c>
      <c r="CQ28" s="2" t="n">
        <f aca="false">MIN(CQ27+1,CP28+1,CP27+IF($A28=CQ$4,0,1))</f>
        <v>88</v>
      </c>
    </row>
    <row r="29" customFormat="false" ht="15" hidden="false" customHeight="false" outlineLevel="0" collapsed="false">
      <c r="A29" s="4" t="s">
        <v>161</v>
      </c>
      <c r="B29" s="12" t="n">
        <v>24</v>
      </c>
      <c r="C29" s="2" t="n">
        <f aca="false">MIN(C28+1,B29+1,B28+IF($A29=C$4,0,1))</f>
        <v>24</v>
      </c>
      <c r="D29" s="2" t="n">
        <f aca="false">MIN(D28+1,C29+1,C28+IF($A29=D$4,0,1))</f>
        <v>24</v>
      </c>
      <c r="E29" s="2" t="n">
        <f aca="false">MIN(E28+1,D29+1,D28+IF($A29=E$4,0,1))</f>
        <v>23</v>
      </c>
      <c r="F29" s="2" t="n">
        <f aca="false">MIN(F28+1,E29+1,E28+IF($A29=F$4,0,1))</f>
        <v>22</v>
      </c>
      <c r="G29" s="2" t="n">
        <f aca="false">MIN(G28+1,F29+1,F28+IF($A29=G$4,0,1))</f>
        <v>22</v>
      </c>
      <c r="H29" s="2" t="n">
        <f aca="false">MIN(H28+1,G29+1,G28+IF($A29=H$4,0,1))</f>
        <v>22</v>
      </c>
      <c r="I29" s="2" t="n">
        <f aca="false">MIN(I28+1,H29+1,H28+IF($A29=I$4,0,1))</f>
        <v>22</v>
      </c>
      <c r="J29" s="2" t="n">
        <f aca="false">MIN(J28+1,I29+1,I28+IF($A29=J$4,0,1))</f>
        <v>22</v>
      </c>
      <c r="K29" s="2" t="n">
        <f aca="false">MIN(K28+1,J29+1,J28+IF($A29=K$4,0,1))</f>
        <v>21</v>
      </c>
      <c r="L29" s="2" t="n">
        <f aca="false">MIN(L28+1,K29+1,K28+IF($A29=L$4,0,1))</f>
        <v>21</v>
      </c>
      <c r="M29" s="2" t="n">
        <f aca="false">MIN(M28+1,L29+1,L28+IF($A29=M$4,0,1))</f>
        <v>21</v>
      </c>
      <c r="N29" s="2" t="n">
        <f aca="false">MIN(N28+1,M29+1,M28+IF($A29=N$4,0,1))</f>
        <v>21</v>
      </c>
      <c r="O29" s="2" t="n">
        <f aca="false">MIN(O28+1,N29+1,N28+IF($A29=O$4,0,1))</f>
        <v>21</v>
      </c>
      <c r="P29" s="2" t="n">
        <f aca="false">MIN(P28+1,O29+1,O28+IF($A29=P$4,0,1))</f>
        <v>21</v>
      </c>
      <c r="Q29" s="2" t="n">
        <f aca="false">MIN(Q28+1,P29+1,P28+IF($A29=Q$4,0,1))</f>
        <v>21</v>
      </c>
      <c r="R29" s="2" t="n">
        <f aca="false">MIN(R28+1,Q29+1,Q28+IF($A29=R$4,0,1))</f>
        <v>21</v>
      </c>
      <c r="S29" s="2" t="n">
        <f aca="false">MIN(S28+1,R29+1,R28+IF($A29=S$4,0,1))</f>
        <v>21</v>
      </c>
      <c r="T29" s="2" t="n">
        <f aca="false">MIN(T28+1,S29+1,S28+IF($A29=T$4,0,1))</f>
        <v>21</v>
      </c>
      <c r="U29" s="2" t="n">
        <f aca="false">MIN(U28+1,T29+1,T28+IF($A29=U$4,0,1))</f>
        <v>21</v>
      </c>
      <c r="V29" s="2" t="n">
        <f aca="false">MIN(V28+1,U29+1,U28+IF($A29=V$4,0,1))</f>
        <v>21</v>
      </c>
      <c r="W29" s="2" t="n">
        <f aca="false">MIN(W28+1,V29+1,V28+IF($A29=W$4,0,1))</f>
        <v>21</v>
      </c>
      <c r="X29" s="2" t="n">
        <f aca="false">MIN(X28+1,W29+1,W28+IF($A29=X$4,0,1))</f>
        <v>21</v>
      </c>
      <c r="Y29" s="2" t="n">
        <f aca="false">MIN(Y28+1,X29+1,X28+IF($A29=Y$4,0,1))</f>
        <v>22</v>
      </c>
      <c r="Z29" s="2" t="n">
        <f aca="false">MIN(Z28+1,Y29+1,Y28+IF($A29=Z$4,0,1))</f>
        <v>22</v>
      </c>
      <c r="AA29" s="2" t="n">
        <f aca="false">MIN(AA28+1,Z29+1,Z28+IF($A29=AA$4,0,1))</f>
        <v>22</v>
      </c>
      <c r="AB29" s="2" t="n">
        <f aca="false">MIN(AB28+1,AA29+1,AA28+IF($A29=AB$4,0,1))</f>
        <v>23</v>
      </c>
      <c r="AC29" s="2" t="n">
        <f aca="false">MIN(AC28+1,AB29+1,AB28+IF($A29=AC$4,0,1))</f>
        <v>24</v>
      </c>
      <c r="AD29" s="2" t="n">
        <f aca="false">MIN(AD28+1,AC29+1,AC28+IF($A29=AD$4,0,1))</f>
        <v>24</v>
      </c>
      <c r="AE29" s="2" t="n">
        <f aca="false">MIN(AE28+1,AD29+1,AD28+IF($A29=AE$4,0,1))</f>
        <v>25</v>
      </c>
      <c r="AF29" s="2" t="n">
        <f aca="false">MIN(AF28+1,AE29+1,AE28+IF($A29=AF$4,0,1))</f>
        <v>26</v>
      </c>
      <c r="AG29" s="2" t="n">
        <f aca="false">MIN(AG28+1,AF29+1,AF28+IF($A29=AG$4,0,1))</f>
        <v>27</v>
      </c>
      <c r="AH29" s="2" t="n">
        <f aca="false">MIN(AH28+1,AG29+1,AG28+IF($A29=AH$4,0,1))</f>
        <v>28</v>
      </c>
      <c r="AI29" s="2" t="n">
        <f aca="false">MIN(AI28+1,AH29+1,AH28+IF($A29=AI$4,0,1))</f>
        <v>29</v>
      </c>
      <c r="AJ29" s="2" t="n">
        <f aca="false">MIN(AJ28+1,AI29+1,AI28+IF($A29=AJ$4,0,1))</f>
        <v>30</v>
      </c>
      <c r="AK29" s="2" t="n">
        <f aca="false">MIN(AK28+1,AJ29+1,AJ28+IF($A29=AK$4,0,1))</f>
        <v>31</v>
      </c>
      <c r="AL29" s="2" t="n">
        <f aca="false">MIN(AL28+1,AK29+1,AK28+IF($A29=AL$4,0,1))</f>
        <v>32</v>
      </c>
      <c r="AM29" s="2" t="n">
        <f aca="false">MIN(AM28+1,AL29+1,AL28+IF($A29=AM$4,0,1))</f>
        <v>33</v>
      </c>
      <c r="AN29" s="2" t="n">
        <f aca="false">MIN(AN28+1,AM29+1,AM28+IF($A29=AN$4,0,1))</f>
        <v>34</v>
      </c>
      <c r="AO29" s="2" t="n">
        <f aca="false">MIN(AO28+1,AN29+1,AN28+IF($A29=AO$4,0,1))</f>
        <v>35</v>
      </c>
      <c r="AP29" s="2" t="n">
        <f aca="false">MIN(AP28+1,AO29+1,AO28+IF($A29=AP$4,0,1))</f>
        <v>36</v>
      </c>
      <c r="AQ29" s="2" t="n">
        <f aca="false">MIN(AQ28+1,AP29+1,AP28+IF($A29=AQ$4,0,1))</f>
        <v>37</v>
      </c>
      <c r="AR29" s="2" t="n">
        <f aca="false">MIN(AR28+1,AQ29+1,AQ28+IF($A29=AR$4,0,1))</f>
        <v>38</v>
      </c>
      <c r="AS29" s="2" t="n">
        <f aca="false">MIN(AS28+1,AR29+1,AR28+IF($A29=AS$4,0,1))</f>
        <v>39</v>
      </c>
      <c r="AT29" s="2" t="n">
        <f aca="false">MIN(AT28+1,AS29+1,AS28+IF($A29=AT$4,0,1))</f>
        <v>40</v>
      </c>
      <c r="AU29" s="2" t="n">
        <f aca="false">MIN(AU28+1,AT29+1,AT28+IF($A29=AU$4,0,1))</f>
        <v>41</v>
      </c>
      <c r="AV29" s="2" t="n">
        <f aca="false">MIN(AV28+1,AU29+1,AU28+IF($A29=AV$4,0,1))</f>
        <v>42</v>
      </c>
      <c r="AW29" s="2" t="n">
        <f aca="false">MIN(AW28+1,AV29+1,AV28+IF($A29=AW$4,0,1))</f>
        <v>43</v>
      </c>
      <c r="AX29" s="2" t="n">
        <f aca="false">MIN(AX28+1,AW29+1,AW28+IF($A29=AX$4,0,1))</f>
        <v>44</v>
      </c>
      <c r="AY29" s="2" t="n">
        <f aca="false">MIN(AY28+1,AX29+1,AX28+IF($A29=AY$4,0,1))</f>
        <v>45</v>
      </c>
      <c r="AZ29" s="2" t="n">
        <f aca="false">MIN(AZ28+1,AY29+1,AY28+IF($A29=AZ$4,0,1))</f>
        <v>46</v>
      </c>
      <c r="BA29" s="2" t="n">
        <f aca="false">MIN(BA28+1,AZ29+1,AZ28+IF($A29=BA$4,0,1))</f>
        <v>47</v>
      </c>
      <c r="BB29" s="2" t="n">
        <f aca="false">MIN(BB28+1,BA29+1,BA28+IF($A29=BB$4,0,1))</f>
        <v>48</v>
      </c>
      <c r="BC29" s="2" t="n">
        <f aca="false">MIN(BC28+1,BB29+1,BB28+IF($A29=BC$4,0,1))</f>
        <v>49</v>
      </c>
      <c r="BD29" s="2" t="n">
        <f aca="false">MIN(BD28+1,BC29+1,BC28+IF($A29=BD$4,0,1))</f>
        <v>50</v>
      </c>
      <c r="BE29" s="2" t="n">
        <f aca="false">MIN(BE28+1,BD29+1,BD28+IF($A29=BE$4,0,1))</f>
        <v>51</v>
      </c>
      <c r="BF29" s="2" t="n">
        <f aca="false">MIN(BF28+1,BE29+1,BE28+IF($A29=BF$4,0,1))</f>
        <v>52</v>
      </c>
      <c r="BG29" s="2" t="n">
        <f aca="false">MIN(BG28+1,BF29+1,BF28+IF($A29=BG$4,0,1))</f>
        <v>53</v>
      </c>
      <c r="BH29" s="2" t="n">
        <f aca="false">MIN(BH28+1,BG29+1,BG28+IF($A29=BH$4,0,1))</f>
        <v>54</v>
      </c>
      <c r="BI29" s="2" t="n">
        <f aca="false">MIN(BI28+1,BH29+1,BH28+IF($A29=BI$4,0,1))</f>
        <v>55</v>
      </c>
      <c r="BJ29" s="2" t="n">
        <f aca="false">MIN(BJ28+1,BI29+1,BI28+IF($A29=BJ$4,0,1))</f>
        <v>56</v>
      </c>
      <c r="BK29" s="2" t="n">
        <f aca="false">MIN(BK28+1,BJ29+1,BJ28+IF($A29=BK$4,0,1))</f>
        <v>57</v>
      </c>
      <c r="BL29" s="2" t="n">
        <f aca="false">MIN(BL28+1,BK29+1,BK28+IF($A29=BL$4,0,1))</f>
        <v>58</v>
      </c>
      <c r="BM29" s="2" t="n">
        <f aca="false">MIN(BM28+1,BL29+1,BL28+IF($A29=BM$4,0,1))</f>
        <v>59</v>
      </c>
      <c r="BN29" s="2" t="n">
        <f aca="false">MIN(BN28+1,BM29+1,BM28+IF($A29=BN$4,0,1))</f>
        <v>60</v>
      </c>
      <c r="BO29" s="2" t="n">
        <f aca="false">MIN(BO28+1,BN29+1,BN28+IF($A29=BO$4,0,1))</f>
        <v>61</v>
      </c>
      <c r="BP29" s="2" t="n">
        <f aca="false">MIN(BP28+1,BO29+1,BO28+IF($A29=BP$4,0,1))</f>
        <v>61</v>
      </c>
      <c r="BQ29" s="2" t="n">
        <f aca="false">MIN(BQ28+1,BP29+1,BP28+IF($A29=BQ$4,0,1))</f>
        <v>62</v>
      </c>
      <c r="BR29" s="2" t="n">
        <f aca="false">MIN(BR28+1,BQ29+1,BQ28+IF($A29=BR$4,0,1))</f>
        <v>63</v>
      </c>
      <c r="BS29" s="2" t="n">
        <f aca="false">MIN(BS28+1,BR29+1,BR28+IF($A29=BS$4,0,1))</f>
        <v>64</v>
      </c>
      <c r="BT29" s="2" t="n">
        <f aca="false">MIN(BT28+1,BS29+1,BS28+IF($A29=BT$4,0,1))</f>
        <v>65</v>
      </c>
      <c r="BU29" s="2" t="n">
        <f aca="false">MIN(BU28+1,BT29+1,BT28+IF($A29=BU$4,0,1))</f>
        <v>66</v>
      </c>
      <c r="BV29" s="2" t="n">
        <f aca="false">MIN(BV28+1,BU29+1,BU28+IF($A29=BV$4,0,1))</f>
        <v>67</v>
      </c>
      <c r="BW29" s="2" t="n">
        <f aca="false">MIN(BW28+1,BV29+1,BV28+IF($A29=BW$4,0,1))</f>
        <v>68</v>
      </c>
      <c r="BX29" s="2" t="n">
        <f aca="false">MIN(BX28+1,BW29+1,BW28+IF($A29=BX$4,0,1))</f>
        <v>69</v>
      </c>
      <c r="BY29" s="2" t="n">
        <f aca="false">MIN(BY28+1,BX29+1,BX28+IF($A29=BY$4,0,1))</f>
        <v>70</v>
      </c>
      <c r="BZ29" s="2" t="n">
        <f aca="false">MIN(BZ28+1,BY29+1,BY28+IF($A29=BZ$4,0,1))</f>
        <v>71</v>
      </c>
      <c r="CA29" s="2" t="n">
        <f aca="false">MIN(CA28+1,BZ29+1,BZ28+IF($A29=CA$4,0,1))</f>
        <v>72</v>
      </c>
      <c r="CB29" s="2" t="n">
        <f aca="false">MIN(CB28+1,CA29+1,CA28+IF($A29=CB$4,0,1))</f>
        <v>73</v>
      </c>
      <c r="CC29" s="2" t="n">
        <f aca="false">MIN(CC28+1,CB29+1,CB28+IF($A29=CC$4,0,1))</f>
        <v>74</v>
      </c>
      <c r="CD29" s="2" t="n">
        <f aca="false">MIN(CD28+1,CC29+1,CC28+IF($A29=CD$4,0,1))</f>
        <v>75</v>
      </c>
      <c r="CE29" s="2" t="n">
        <f aca="false">MIN(CE28+1,CD29+1,CD28+IF($A29=CE$4,0,1))</f>
        <v>76</v>
      </c>
      <c r="CF29" s="2" t="n">
        <f aca="false">MIN(CF28+1,CE29+1,CE28+IF($A29=CF$4,0,1))</f>
        <v>77</v>
      </c>
      <c r="CG29" s="2" t="n">
        <f aca="false">MIN(CG28+1,CF29+1,CF28+IF($A29=CG$4,0,1))</f>
        <v>78</v>
      </c>
      <c r="CH29" s="2" t="n">
        <f aca="false">MIN(CH28+1,CG29+1,CG28+IF($A29=CH$4,0,1))</f>
        <v>79</v>
      </c>
      <c r="CI29" s="2" t="n">
        <f aca="false">MIN(CI28+1,CH29+1,CH28+IF($A29=CI$4,0,1))</f>
        <v>80</v>
      </c>
      <c r="CJ29" s="2" t="n">
        <f aca="false">MIN(CJ28+1,CI29+1,CI28+IF($A29=CJ$4,0,1))</f>
        <v>81</v>
      </c>
      <c r="CK29" s="2" t="n">
        <f aca="false">MIN(CK28+1,CJ29+1,CJ28+IF($A29=CK$4,0,1))</f>
        <v>82</v>
      </c>
      <c r="CL29" s="2" t="n">
        <f aca="false">MIN(CL28+1,CK29+1,CK28+IF($A29=CL$4,0,1))</f>
        <v>83</v>
      </c>
      <c r="CM29" s="2" t="n">
        <f aca="false">MIN(CM28+1,CL29+1,CL28+IF($A29=CM$4,0,1))</f>
        <v>84</v>
      </c>
      <c r="CN29" s="2" t="n">
        <f aca="false">MIN(CN28+1,CM29+1,CM28+IF($A29=CN$4,0,1))</f>
        <v>85</v>
      </c>
      <c r="CO29" s="2" t="n">
        <f aca="false">MIN(CO28+1,CN29+1,CN28+IF($A29=CO$4,0,1))</f>
        <v>86</v>
      </c>
      <c r="CP29" s="2" t="n">
        <f aca="false">MIN(CP28+1,CO29+1,CO28+IF($A29=CP$4,0,1))</f>
        <v>87</v>
      </c>
      <c r="CQ29" s="2" t="n">
        <f aca="false">MIN(CQ28+1,CP29+1,CP28+IF($A29=CQ$4,0,1))</f>
        <v>88</v>
      </c>
    </row>
    <row r="30" customFormat="false" ht="15" hidden="false" customHeight="false" outlineLevel="0" collapsed="false">
      <c r="A30" s="4" t="s">
        <v>58</v>
      </c>
      <c r="B30" s="12" t="n">
        <v>25</v>
      </c>
      <c r="C30" s="2" t="n">
        <f aca="false">MIN(C29+1,B30+1,B29+IF($A30=C$4,0,1))</f>
        <v>25</v>
      </c>
      <c r="D30" s="2" t="n">
        <f aca="false">MIN(D29+1,C30+1,C29+IF($A30=D$4,0,1))</f>
        <v>24</v>
      </c>
      <c r="E30" s="2" t="n">
        <f aca="false">MIN(E29+1,D30+1,D29+IF($A30=E$4,0,1))</f>
        <v>24</v>
      </c>
      <c r="F30" s="2" t="n">
        <f aca="false">MIN(F29+1,E30+1,E29+IF($A30=F$4,0,1))</f>
        <v>23</v>
      </c>
      <c r="G30" s="2" t="n">
        <f aca="false">MIN(G29+1,F30+1,F29+IF($A30=G$4,0,1))</f>
        <v>23</v>
      </c>
      <c r="H30" s="2" t="n">
        <f aca="false">MIN(H29+1,G30+1,G29+IF($A30=H$4,0,1))</f>
        <v>23</v>
      </c>
      <c r="I30" s="2" t="n">
        <f aca="false">MIN(I29+1,H30+1,H29+IF($A30=I$4,0,1))</f>
        <v>23</v>
      </c>
      <c r="J30" s="2" t="n">
        <f aca="false">MIN(J29+1,I30+1,I29+IF($A30=J$4,0,1))</f>
        <v>23</v>
      </c>
      <c r="K30" s="2" t="n">
        <f aca="false">MIN(K29+1,J30+1,J29+IF($A30=K$4,0,1))</f>
        <v>22</v>
      </c>
      <c r="L30" s="2" t="n">
        <f aca="false">MIN(L29+1,K30+1,K29+IF($A30=L$4,0,1))</f>
        <v>22</v>
      </c>
      <c r="M30" s="2" t="n">
        <f aca="false">MIN(M29+1,L30+1,L29+IF($A30=M$4,0,1))</f>
        <v>22</v>
      </c>
      <c r="N30" s="2" t="n">
        <f aca="false">MIN(N29+1,M30+1,M29+IF($A30=N$4,0,1))</f>
        <v>22</v>
      </c>
      <c r="O30" s="2" t="n">
        <f aca="false">MIN(O29+1,N30+1,N29+IF($A30=O$4,0,1))</f>
        <v>22</v>
      </c>
      <c r="P30" s="2" t="n">
        <f aca="false">MIN(P29+1,O30+1,O29+IF($A30=P$4,0,1))</f>
        <v>22</v>
      </c>
      <c r="Q30" s="2" t="n">
        <f aca="false">MIN(Q29+1,P30+1,P29+IF($A30=Q$4,0,1))</f>
        <v>22</v>
      </c>
      <c r="R30" s="2" t="n">
        <f aca="false">MIN(R29+1,Q30+1,Q29+IF($A30=R$4,0,1))</f>
        <v>22</v>
      </c>
      <c r="S30" s="2" t="n">
        <f aca="false">MIN(S29+1,R30+1,R29+IF($A30=S$4,0,1))</f>
        <v>22</v>
      </c>
      <c r="T30" s="2" t="n">
        <f aca="false">MIN(T29+1,S30+1,S29+IF($A30=T$4,0,1))</f>
        <v>22</v>
      </c>
      <c r="U30" s="2" t="n">
        <f aca="false">MIN(U29+1,T30+1,T29+IF($A30=U$4,0,1))</f>
        <v>22</v>
      </c>
      <c r="V30" s="2" t="n">
        <f aca="false">MIN(V29+1,U30+1,U29+IF($A30=V$4,0,1))</f>
        <v>22</v>
      </c>
      <c r="W30" s="2" t="n">
        <f aca="false">MIN(W29+1,V30+1,V29+IF($A30=W$4,0,1))</f>
        <v>22</v>
      </c>
      <c r="X30" s="2" t="n">
        <f aca="false">MIN(X29+1,W30+1,W29+IF($A30=X$4,0,1))</f>
        <v>22</v>
      </c>
      <c r="Y30" s="2" t="n">
        <f aca="false">MIN(Y29+1,X30+1,X29+IF($A30=Y$4,0,1))</f>
        <v>22</v>
      </c>
      <c r="Z30" s="2" t="n">
        <f aca="false">MIN(Z29+1,Y30+1,Y29+IF($A30=Z$4,0,1))</f>
        <v>23</v>
      </c>
      <c r="AA30" s="2" t="n">
        <f aca="false">MIN(AA29+1,Z30+1,Z29+IF($A30=AA$4,0,1))</f>
        <v>23</v>
      </c>
      <c r="AB30" s="2" t="n">
        <f aca="false">MIN(AB29+1,AA30+1,AA29+IF($A30=AB$4,0,1))</f>
        <v>23</v>
      </c>
      <c r="AC30" s="2" t="n">
        <f aca="false">MIN(AC29+1,AB30+1,AB29+IF($A30=AC$4,0,1))</f>
        <v>23</v>
      </c>
      <c r="AD30" s="2" t="n">
        <f aca="false">MIN(AD29+1,AC30+1,AC29+IF($A30=AD$4,0,1))</f>
        <v>24</v>
      </c>
      <c r="AE30" s="2" t="n">
        <f aca="false">MIN(AE29+1,AD30+1,AD29+IF($A30=AE$4,0,1))</f>
        <v>25</v>
      </c>
      <c r="AF30" s="2" t="n">
        <f aca="false">MIN(AF29+1,AE30+1,AE29+IF($A30=AF$4,0,1))</f>
        <v>26</v>
      </c>
      <c r="AG30" s="2" t="n">
        <f aca="false">MIN(AG29+1,AF30+1,AF29+IF($A30=AG$4,0,1))</f>
        <v>27</v>
      </c>
      <c r="AH30" s="2" t="n">
        <f aca="false">MIN(AH29+1,AG30+1,AG29+IF($A30=AH$4,0,1))</f>
        <v>28</v>
      </c>
      <c r="AI30" s="2" t="n">
        <f aca="false">MIN(AI29+1,AH30+1,AH29+IF($A30=AI$4,0,1))</f>
        <v>29</v>
      </c>
      <c r="AJ30" s="2" t="n">
        <f aca="false">MIN(AJ29+1,AI30+1,AI29+IF($A30=AJ$4,0,1))</f>
        <v>30</v>
      </c>
      <c r="AK30" s="2" t="n">
        <f aca="false">MIN(AK29+1,AJ30+1,AJ29+IF($A30=AK$4,0,1))</f>
        <v>31</v>
      </c>
      <c r="AL30" s="2" t="n">
        <f aca="false">MIN(AL29+1,AK30+1,AK29+IF($A30=AL$4,0,1))</f>
        <v>32</v>
      </c>
      <c r="AM30" s="2" t="n">
        <f aca="false">MIN(AM29+1,AL30+1,AL29+IF($A30=AM$4,0,1))</f>
        <v>33</v>
      </c>
      <c r="AN30" s="2" t="n">
        <f aca="false">MIN(AN29+1,AM30+1,AM29+IF($A30=AN$4,0,1))</f>
        <v>34</v>
      </c>
      <c r="AO30" s="2" t="n">
        <f aca="false">MIN(AO29+1,AN30+1,AN29+IF($A30=AO$4,0,1))</f>
        <v>35</v>
      </c>
      <c r="AP30" s="2" t="n">
        <f aca="false">MIN(AP29+1,AO30+1,AO29+IF($A30=AP$4,0,1))</f>
        <v>36</v>
      </c>
      <c r="AQ30" s="2" t="n">
        <f aca="false">MIN(AQ29+1,AP30+1,AP29+IF($A30=AQ$4,0,1))</f>
        <v>37</v>
      </c>
      <c r="AR30" s="2" t="n">
        <f aca="false">MIN(AR29+1,AQ30+1,AQ29+IF($A30=AR$4,0,1))</f>
        <v>38</v>
      </c>
      <c r="AS30" s="2" t="n">
        <f aca="false">MIN(AS29+1,AR30+1,AR29+IF($A30=AS$4,0,1))</f>
        <v>38</v>
      </c>
      <c r="AT30" s="2" t="n">
        <f aca="false">MIN(AT29+1,AS30+1,AS29+IF($A30=AT$4,0,1))</f>
        <v>39</v>
      </c>
      <c r="AU30" s="2" t="n">
        <f aca="false">MIN(AU29+1,AT30+1,AT29+IF($A30=AU$4,0,1))</f>
        <v>40</v>
      </c>
      <c r="AV30" s="2" t="n">
        <f aca="false">MIN(AV29+1,AU30+1,AU29+IF($A30=AV$4,0,1))</f>
        <v>41</v>
      </c>
      <c r="AW30" s="2" t="n">
        <f aca="false">MIN(AW29+1,AV30+1,AV29+IF($A30=AW$4,0,1))</f>
        <v>42</v>
      </c>
      <c r="AX30" s="2" t="n">
        <f aca="false">MIN(AX29+1,AW30+1,AW29+IF($A30=AX$4,0,1))</f>
        <v>43</v>
      </c>
      <c r="AY30" s="2" t="n">
        <f aca="false">MIN(AY29+1,AX30+1,AX29+IF($A30=AY$4,0,1))</f>
        <v>44</v>
      </c>
      <c r="AZ30" s="2" t="n">
        <f aca="false">MIN(AZ29+1,AY30+1,AY29+IF($A30=AZ$4,0,1))</f>
        <v>45</v>
      </c>
      <c r="BA30" s="2" t="n">
        <f aca="false">MIN(BA29+1,AZ30+1,AZ29+IF($A30=BA$4,0,1))</f>
        <v>46</v>
      </c>
      <c r="BB30" s="2" t="n">
        <f aca="false">MIN(BB29+1,BA30+1,BA29+IF($A30=BB$4,0,1))</f>
        <v>47</v>
      </c>
      <c r="BC30" s="2" t="n">
        <f aca="false">MIN(BC29+1,BB30+1,BB29+IF($A30=BC$4,0,1))</f>
        <v>48</v>
      </c>
      <c r="BD30" s="2" t="n">
        <f aca="false">MIN(BD29+1,BC30+1,BC29+IF($A30=BD$4,0,1))</f>
        <v>49</v>
      </c>
      <c r="BE30" s="2" t="n">
        <f aca="false">MIN(BE29+1,BD30+1,BD29+IF($A30=BE$4,0,1))</f>
        <v>50</v>
      </c>
      <c r="BF30" s="2" t="n">
        <f aca="false">MIN(BF29+1,BE30+1,BE29+IF($A30=BF$4,0,1))</f>
        <v>51</v>
      </c>
      <c r="BG30" s="2" t="n">
        <f aca="false">MIN(BG29+1,BF30+1,BF29+IF($A30=BG$4,0,1))</f>
        <v>52</v>
      </c>
      <c r="BH30" s="2" t="n">
        <f aca="false">MIN(BH29+1,BG30+1,BG29+IF($A30=BH$4,0,1))</f>
        <v>53</v>
      </c>
      <c r="BI30" s="2" t="n">
        <f aca="false">MIN(BI29+1,BH30+1,BH29+IF($A30=BI$4,0,1))</f>
        <v>54</v>
      </c>
      <c r="BJ30" s="2" t="n">
        <f aca="false">MIN(BJ29+1,BI30+1,BI29+IF($A30=BJ$4,0,1))</f>
        <v>55</v>
      </c>
      <c r="BK30" s="2" t="n">
        <f aca="false">MIN(BK29+1,BJ30+1,BJ29+IF($A30=BK$4,0,1))</f>
        <v>56</v>
      </c>
      <c r="BL30" s="2" t="n">
        <f aca="false">MIN(BL29+1,BK30+1,BK29+IF($A30=BL$4,0,1))</f>
        <v>57</v>
      </c>
      <c r="BM30" s="2" t="n">
        <f aca="false">MIN(BM29+1,BL30+1,BL29+IF($A30=BM$4,0,1))</f>
        <v>58</v>
      </c>
      <c r="BN30" s="2" t="n">
        <f aca="false">MIN(BN29+1,BM30+1,BM29+IF($A30=BN$4,0,1))</f>
        <v>59</v>
      </c>
      <c r="BO30" s="2" t="n">
        <f aca="false">MIN(BO29+1,BN30+1,BN29+IF($A30=BO$4,0,1))</f>
        <v>60</v>
      </c>
      <c r="BP30" s="2" t="n">
        <f aca="false">MIN(BP29+1,BO30+1,BO29+IF($A30=BP$4,0,1))</f>
        <v>61</v>
      </c>
      <c r="BQ30" s="2" t="n">
        <f aca="false">MIN(BQ29+1,BP30+1,BP29+IF($A30=BQ$4,0,1))</f>
        <v>62</v>
      </c>
      <c r="BR30" s="2" t="n">
        <f aca="false">MIN(BR29+1,BQ30+1,BQ29+IF($A30=BR$4,0,1))</f>
        <v>63</v>
      </c>
      <c r="BS30" s="2" t="n">
        <f aca="false">MIN(BS29+1,BR30+1,BR29+IF($A30=BS$4,0,1))</f>
        <v>64</v>
      </c>
      <c r="BT30" s="2" t="n">
        <f aca="false">MIN(BT29+1,BS30+1,BS29+IF($A30=BT$4,0,1))</f>
        <v>65</v>
      </c>
      <c r="BU30" s="2" t="n">
        <f aca="false">MIN(BU29+1,BT30+1,BT29+IF($A30=BU$4,0,1))</f>
        <v>66</v>
      </c>
      <c r="BV30" s="2" t="n">
        <f aca="false">MIN(BV29+1,BU30+1,BU29+IF($A30=BV$4,0,1))</f>
        <v>67</v>
      </c>
      <c r="BW30" s="2" t="n">
        <f aca="false">MIN(BW29+1,BV30+1,BV29+IF($A30=BW$4,0,1))</f>
        <v>68</v>
      </c>
      <c r="BX30" s="2" t="n">
        <f aca="false">MIN(BX29+1,BW30+1,BW29+IF($A30=BX$4,0,1))</f>
        <v>69</v>
      </c>
      <c r="BY30" s="2" t="n">
        <f aca="false">MIN(BY29+1,BX30+1,BX29+IF($A30=BY$4,0,1))</f>
        <v>70</v>
      </c>
      <c r="BZ30" s="2" t="n">
        <f aca="false">MIN(BZ29+1,BY30+1,BY29+IF($A30=BZ$4,0,1))</f>
        <v>70</v>
      </c>
      <c r="CA30" s="2" t="n">
        <f aca="false">MIN(CA29+1,BZ30+1,BZ29+IF($A30=CA$4,0,1))</f>
        <v>71</v>
      </c>
      <c r="CB30" s="2" t="n">
        <f aca="false">MIN(CB29+1,CA30+1,CA29+IF($A30=CB$4,0,1))</f>
        <v>72</v>
      </c>
      <c r="CC30" s="2" t="n">
        <f aca="false">MIN(CC29+1,CB30+1,CB29+IF($A30=CC$4,0,1))</f>
        <v>73</v>
      </c>
      <c r="CD30" s="2" t="n">
        <f aca="false">MIN(CD29+1,CC30+1,CC29+IF($A30=CD$4,0,1))</f>
        <v>74</v>
      </c>
      <c r="CE30" s="2" t="n">
        <f aca="false">MIN(CE29+1,CD30+1,CD29+IF($A30=CE$4,0,1))</f>
        <v>75</v>
      </c>
      <c r="CF30" s="2" t="n">
        <f aca="false">MIN(CF29+1,CE30+1,CE29+IF($A30=CF$4,0,1))</f>
        <v>76</v>
      </c>
      <c r="CG30" s="2" t="n">
        <f aca="false">MIN(CG29+1,CF30+1,CF29+IF($A30=CG$4,0,1))</f>
        <v>77</v>
      </c>
      <c r="CH30" s="2" t="n">
        <f aca="false">MIN(CH29+1,CG30+1,CG29+IF($A30=CH$4,0,1))</f>
        <v>78</v>
      </c>
      <c r="CI30" s="2" t="n">
        <f aca="false">MIN(CI29+1,CH30+1,CH29+IF($A30=CI$4,0,1))</f>
        <v>79</v>
      </c>
      <c r="CJ30" s="2" t="n">
        <f aca="false">MIN(CJ29+1,CI30+1,CI29+IF($A30=CJ$4,0,1))</f>
        <v>80</v>
      </c>
      <c r="CK30" s="2" t="n">
        <f aca="false">MIN(CK29+1,CJ30+1,CJ29+IF($A30=CK$4,0,1))</f>
        <v>81</v>
      </c>
      <c r="CL30" s="2" t="n">
        <f aca="false">MIN(CL29+1,CK30+1,CK29+IF($A30=CL$4,0,1))</f>
        <v>82</v>
      </c>
      <c r="CM30" s="2" t="n">
        <f aca="false">MIN(CM29+1,CL30+1,CL29+IF($A30=CM$4,0,1))</f>
        <v>83</v>
      </c>
      <c r="CN30" s="2" t="n">
        <f aca="false">MIN(CN29+1,CM30+1,CM29+IF($A30=CN$4,0,1))</f>
        <v>84</v>
      </c>
      <c r="CO30" s="2" t="n">
        <f aca="false">MIN(CO29+1,CN30+1,CN29+IF($A30=CO$4,0,1))</f>
        <v>85</v>
      </c>
      <c r="CP30" s="2" t="n">
        <f aca="false">MIN(CP29+1,CO30+1,CO29+IF($A30=CP$4,0,1))</f>
        <v>86</v>
      </c>
      <c r="CQ30" s="2" t="n">
        <f aca="false">MIN(CQ29+1,CP30+1,CP29+IF($A30=CQ$4,0,1))</f>
        <v>87</v>
      </c>
    </row>
    <row r="31" customFormat="false" ht="15" hidden="false" customHeight="false" outlineLevel="0" collapsed="false">
      <c r="A31" s="4" t="s">
        <v>59</v>
      </c>
      <c r="B31" s="12" t="n">
        <v>26</v>
      </c>
      <c r="C31" s="2" t="n">
        <f aca="false">MIN(C30+1,B31+1,B30+IF($A31=C$4,0,1))</f>
        <v>26</v>
      </c>
      <c r="D31" s="2" t="n">
        <f aca="false">MIN(D30+1,C31+1,C30+IF($A31=D$4,0,1))</f>
        <v>25</v>
      </c>
      <c r="E31" s="2" t="n">
        <f aca="false">MIN(E30+1,D31+1,D30+IF($A31=E$4,0,1))</f>
        <v>24</v>
      </c>
      <c r="F31" s="2" t="n">
        <f aca="false">MIN(F30+1,E31+1,E30+IF($A31=F$4,0,1))</f>
        <v>24</v>
      </c>
      <c r="G31" s="2" t="n">
        <f aca="false">MIN(G30+1,F31+1,F30+IF($A31=G$4,0,1))</f>
        <v>24</v>
      </c>
      <c r="H31" s="2" t="n">
        <f aca="false">MIN(H30+1,G31+1,G30+IF($A31=H$4,0,1))</f>
        <v>24</v>
      </c>
      <c r="I31" s="2" t="n">
        <f aca="false">MIN(I30+1,H31+1,H30+IF($A31=I$4,0,1))</f>
        <v>24</v>
      </c>
      <c r="J31" s="2" t="n">
        <f aca="false">MIN(J30+1,I31+1,I30+IF($A31=J$4,0,1))</f>
        <v>24</v>
      </c>
      <c r="K31" s="2" t="n">
        <f aca="false">MIN(K30+1,J31+1,J30+IF($A31=K$4,0,1))</f>
        <v>23</v>
      </c>
      <c r="L31" s="2" t="n">
        <f aca="false">MIN(L30+1,K31+1,K30+IF($A31=L$4,0,1))</f>
        <v>23</v>
      </c>
      <c r="M31" s="2" t="n">
        <f aca="false">MIN(M30+1,L31+1,L30+IF($A31=M$4,0,1))</f>
        <v>23</v>
      </c>
      <c r="N31" s="2" t="n">
        <f aca="false">MIN(N30+1,M31+1,M30+IF($A31=N$4,0,1))</f>
        <v>23</v>
      </c>
      <c r="O31" s="2" t="n">
        <f aca="false">MIN(O30+1,N31+1,N30+IF($A31=O$4,0,1))</f>
        <v>23</v>
      </c>
      <c r="P31" s="2" t="n">
        <f aca="false">MIN(P30+1,O31+1,O30+IF($A31=P$4,0,1))</f>
        <v>23</v>
      </c>
      <c r="Q31" s="2" t="n">
        <f aca="false">MIN(Q30+1,P31+1,P30+IF($A31=Q$4,0,1))</f>
        <v>23</v>
      </c>
      <c r="R31" s="2" t="n">
        <f aca="false">MIN(R30+1,Q31+1,Q30+IF($A31=R$4,0,1))</f>
        <v>23</v>
      </c>
      <c r="S31" s="2" t="n">
        <f aca="false">MIN(S30+1,R31+1,R30+IF($A31=S$4,0,1))</f>
        <v>23</v>
      </c>
      <c r="T31" s="2" t="n">
        <f aca="false">MIN(T30+1,S31+1,S30+IF($A31=T$4,0,1))</f>
        <v>23</v>
      </c>
      <c r="U31" s="2" t="n">
        <f aca="false">MIN(U30+1,T31+1,T30+IF($A31=U$4,0,1))</f>
        <v>23</v>
      </c>
      <c r="V31" s="2" t="n">
        <f aca="false">MIN(V30+1,U31+1,U30+IF($A31=V$4,0,1))</f>
        <v>23</v>
      </c>
      <c r="W31" s="2" t="n">
        <f aca="false">MIN(W30+1,V31+1,V30+IF($A31=W$4,0,1))</f>
        <v>23</v>
      </c>
      <c r="X31" s="2" t="n">
        <f aca="false">MIN(X30+1,W31+1,W30+IF($A31=X$4,0,1))</f>
        <v>23</v>
      </c>
      <c r="Y31" s="2" t="n">
        <f aca="false">MIN(Y30+1,X31+1,X30+IF($A31=Y$4,0,1))</f>
        <v>23</v>
      </c>
      <c r="Z31" s="2" t="n">
        <f aca="false">MIN(Z30+1,Y31+1,Y30+IF($A31=Z$4,0,1))</f>
        <v>23</v>
      </c>
      <c r="AA31" s="2" t="n">
        <f aca="false">MIN(AA30+1,Z31+1,Z30+IF($A31=AA$4,0,1))</f>
        <v>24</v>
      </c>
      <c r="AB31" s="2" t="n">
        <f aca="false">MIN(AB30+1,AA31+1,AA30+IF($A31=AB$4,0,1))</f>
        <v>24</v>
      </c>
      <c r="AC31" s="2" t="n">
        <f aca="false">MIN(AC30+1,AB31+1,AB30+IF($A31=AC$4,0,1))</f>
        <v>24</v>
      </c>
      <c r="AD31" s="2" t="n">
        <f aca="false">MIN(AD30+1,AC31+1,AC30+IF($A31=AD$4,0,1))</f>
        <v>24</v>
      </c>
      <c r="AE31" s="2" t="n">
        <f aca="false">MIN(AE30+1,AD31+1,AD30+IF($A31=AE$4,0,1))</f>
        <v>25</v>
      </c>
      <c r="AF31" s="2" t="n">
        <f aca="false">MIN(AF30+1,AE31+1,AE30+IF($A31=AF$4,0,1))</f>
        <v>26</v>
      </c>
      <c r="AG31" s="2" t="n">
        <f aca="false">MIN(AG30+1,AF31+1,AF30+IF($A31=AG$4,0,1))</f>
        <v>27</v>
      </c>
      <c r="AH31" s="2" t="n">
        <f aca="false">MIN(AH30+1,AG31+1,AG30+IF($A31=AH$4,0,1))</f>
        <v>28</v>
      </c>
      <c r="AI31" s="2" t="n">
        <f aca="false">MIN(AI30+1,AH31+1,AH30+IF($A31=AI$4,0,1))</f>
        <v>29</v>
      </c>
      <c r="AJ31" s="2" t="n">
        <f aca="false">MIN(AJ30+1,AI31+1,AI30+IF($A31=AJ$4,0,1))</f>
        <v>30</v>
      </c>
      <c r="AK31" s="2" t="n">
        <f aca="false">MIN(AK30+1,AJ31+1,AJ30+IF($A31=AK$4,0,1))</f>
        <v>31</v>
      </c>
      <c r="AL31" s="2" t="n">
        <f aca="false">MIN(AL30+1,AK31+1,AK30+IF($A31=AL$4,0,1))</f>
        <v>32</v>
      </c>
      <c r="AM31" s="2" t="n">
        <f aca="false">MIN(AM30+1,AL31+1,AL30+IF($A31=AM$4,0,1))</f>
        <v>33</v>
      </c>
      <c r="AN31" s="2" t="n">
        <f aca="false">MIN(AN30+1,AM31+1,AM30+IF($A31=AN$4,0,1))</f>
        <v>34</v>
      </c>
      <c r="AO31" s="2" t="n">
        <f aca="false">MIN(AO30+1,AN31+1,AN30+IF($A31=AO$4,0,1))</f>
        <v>35</v>
      </c>
      <c r="AP31" s="2" t="n">
        <f aca="false">MIN(AP30+1,AO31+1,AO30+IF($A31=AP$4,0,1))</f>
        <v>36</v>
      </c>
      <c r="AQ31" s="2" t="n">
        <f aca="false">MIN(AQ30+1,AP31+1,AP30+IF($A31=AQ$4,0,1))</f>
        <v>37</v>
      </c>
      <c r="AR31" s="2" t="n">
        <f aca="false">MIN(AR30+1,AQ31+1,AQ30+IF($A31=AR$4,0,1))</f>
        <v>38</v>
      </c>
      <c r="AS31" s="2" t="n">
        <f aca="false">MIN(AS30+1,AR31+1,AR30+IF($A31=AS$4,0,1))</f>
        <v>39</v>
      </c>
      <c r="AT31" s="2" t="n">
        <f aca="false">MIN(AT30+1,AS31+1,AS30+IF($A31=AT$4,0,1))</f>
        <v>39</v>
      </c>
      <c r="AU31" s="2" t="n">
        <f aca="false">MIN(AU30+1,AT31+1,AT30+IF($A31=AU$4,0,1))</f>
        <v>40</v>
      </c>
      <c r="AV31" s="2" t="n">
        <f aca="false">MIN(AV30+1,AU31+1,AU30+IF($A31=AV$4,0,1))</f>
        <v>41</v>
      </c>
      <c r="AW31" s="2" t="n">
        <f aca="false">MIN(AW30+1,AV31+1,AV30+IF($A31=AW$4,0,1))</f>
        <v>42</v>
      </c>
      <c r="AX31" s="2" t="n">
        <f aca="false">MIN(AX30+1,AW31+1,AW30+IF($A31=AX$4,0,1))</f>
        <v>43</v>
      </c>
      <c r="AY31" s="2" t="n">
        <f aca="false">MIN(AY30+1,AX31+1,AX30+IF($A31=AY$4,0,1))</f>
        <v>44</v>
      </c>
      <c r="AZ31" s="2" t="n">
        <f aca="false">MIN(AZ30+1,AY31+1,AY30+IF($A31=AZ$4,0,1))</f>
        <v>45</v>
      </c>
      <c r="BA31" s="2" t="n">
        <f aca="false">MIN(BA30+1,AZ31+1,AZ30+IF($A31=BA$4,0,1))</f>
        <v>46</v>
      </c>
      <c r="BB31" s="2" t="n">
        <f aca="false">MIN(BB30+1,BA31+1,BA30+IF($A31=BB$4,0,1))</f>
        <v>47</v>
      </c>
      <c r="BC31" s="2" t="n">
        <f aca="false">MIN(BC30+1,BB31+1,BB30+IF($A31=BC$4,0,1))</f>
        <v>48</v>
      </c>
      <c r="BD31" s="2" t="n">
        <f aca="false">MIN(BD30+1,BC31+1,BC30+IF($A31=BD$4,0,1))</f>
        <v>49</v>
      </c>
      <c r="BE31" s="2" t="n">
        <f aca="false">MIN(BE30+1,BD31+1,BD30+IF($A31=BE$4,0,1))</f>
        <v>50</v>
      </c>
      <c r="BF31" s="2" t="n">
        <f aca="false">MIN(BF30+1,BE31+1,BE30+IF($A31=BF$4,0,1))</f>
        <v>51</v>
      </c>
      <c r="BG31" s="2" t="n">
        <f aca="false">MIN(BG30+1,BF31+1,BF30+IF($A31=BG$4,0,1))</f>
        <v>52</v>
      </c>
      <c r="BH31" s="2" t="n">
        <f aca="false">MIN(BH30+1,BG31+1,BG30+IF($A31=BH$4,0,1))</f>
        <v>53</v>
      </c>
      <c r="BI31" s="2" t="n">
        <f aca="false">MIN(BI30+1,BH31+1,BH30+IF($A31=BI$4,0,1))</f>
        <v>54</v>
      </c>
      <c r="BJ31" s="2" t="n">
        <f aca="false">MIN(BJ30+1,BI31+1,BI30+IF($A31=BJ$4,0,1))</f>
        <v>55</v>
      </c>
      <c r="BK31" s="2" t="n">
        <f aca="false">MIN(BK30+1,BJ31+1,BJ30+IF($A31=BK$4,0,1))</f>
        <v>56</v>
      </c>
      <c r="BL31" s="2" t="n">
        <f aca="false">MIN(BL30+1,BK31+1,BK30+IF($A31=BL$4,0,1))</f>
        <v>57</v>
      </c>
      <c r="BM31" s="2" t="n">
        <f aca="false">MIN(BM30+1,BL31+1,BL30+IF($A31=BM$4,0,1))</f>
        <v>58</v>
      </c>
      <c r="BN31" s="2" t="n">
        <f aca="false">MIN(BN30+1,BM31+1,BM30+IF($A31=BN$4,0,1))</f>
        <v>59</v>
      </c>
      <c r="BO31" s="2" t="n">
        <f aca="false">MIN(BO30+1,BN31+1,BN30+IF($A31=BO$4,0,1))</f>
        <v>60</v>
      </c>
      <c r="BP31" s="2" t="n">
        <f aca="false">MIN(BP30+1,BO31+1,BO30+IF($A31=BP$4,0,1))</f>
        <v>61</v>
      </c>
      <c r="BQ31" s="2" t="n">
        <f aca="false">MIN(BQ30+1,BP31+1,BP30+IF($A31=BQ$4,0,1))</f>
        <v>62</v>
      </c>
      <c r="BR31" s="2" t="n">
        <f aca="false">MIN(BR30+1,BQ31+1,BQ30+IF($A31=BR$4,0,1))</f>
        <v>63</v>
      </c>
      <c r="BS31" s="2" t="n">
        <f aca="false">MIN(BS30+1,BR31+1,BR30+IF($A31=BS$4,0,1))</f>
        <v>64</v>
      </c>
      <c r="BT31" s="2" t="n">
        <f aca="false">MIN(BT30+1,BS31+1,BS30+IF($A31=BT$4,0,1))</f>
        <v>65</v>
      </c>
      <c r="BU31" s="2" t="n">
        <f aca="false">MIN(BU30+1,BT31+1,BT30+IF($A31=BU$4,0,1))</f>
        <v>66</v>
      </c>
      <c r="BV31" s="2" t="n">
        <f aca="false">MIN(BV30+1,BU31+1,BU30+IF($A31=BV$4,0,1))</f>
        <v>67</v>
      </c>
      <c r="BW31" s="2" t="n">
        <f aca="false">MIN(BW30+1,BV31+1,BV30+IF($A31=BW$4,0,1))</f>
        <v>68</v>
      </c>
      <c r="BX31" s="2" t="n">
        <f aca="false">MIN(BX30+1,BW31+1,BW30+IF($A31=BX$4,0,1))</f>
        <v>69</v>
      </c>
      <c r="BY31" s="2" t="n">
        <f aca="false">MIN(BY30+1,BX31+1,BX30+IF($A31=BY$4,0,1))</f>
        <v>70</v>
      </c>
      <c r="BZ31" s="2" t="n">
        <f aca="false">MIN(BZ30+1,BY31+1,BY30+IF($A31=BZ$4,0,1))</f>
        <v>71</v>
      </c>
      <c r="CA31" s="2" t="n">
        <f aca="false">MIN(CA30+1,BZ31+1,BZ30+IF($A31=CA$4,0,1))</f>
        <v>71</v>
      </c>
      <c r="CB31" s="2" t="n">
        <f aca="false">MIN(CB30+1,CA31+1,CA30+IF($A31=CB$4,0,1))</f>
        <v>72</v>
      </c>
      <c r="CC31" s="2" t="n">
        <f aca="false">MIN(CC30+1,CB31+1,CB30+IF($A31=CC$4,0,1))</f>
        <v>73</v>
      </c>
      <c r="CD31" s="2" t="n">
        <f aca="false">MIN(CD30+1,CC31+1,CC30+IF($A31=CD$4,0,1))</f>
        <v>74</v>
      </c>
      <c r="CE31" s="2" t="n">
        <f aca="false">MIN(CE30+1,CD31+1,CD30+IF($A31=CE$4,0,1))</f>
        <v>75</v>
      </c>
      <c r="CF31" s="2" t="n">
        <f aca="false">MIN(CF30+1,CE31+1,CE30+IF($A31=CF$4,0,1))</f>
        <v>76</v>
      </c>
      <c r="CG31" s="2" t="n">
        <f aca="false">MIN(CG30+1,CF31+1,CF30+IF($A31=CG$4,0,1))</f>
        <v>77</v>
      </c>
      <c r="CH31" s="2" t="n">
        <f aca="false">MIN(CH30+1,CG31+1,CG30+IF($A31=CH$4,0,1))</f>
        <v>78</v>
      </c>
      <c r="CI31" s="2" t="n">
        <f aca="false">MIN(CI30+1,CH31+1,CH30+IF($A31=CI$4,0,1))</f>
        <v>79</v>
      </c>
      <c r="CJ31" s="2" t="n">
        <f aca="false">MIN(CJ30+1,CI31+1,CI30+IF($A31=CJ$4,0,1))</f>
        <v>80</v>
      </c>
      <c r="CK31" s="2" t="n">
        <f aca="false">MIN(CK30+1,CJ31+1,CJ30+IF($A31=CK$4,0,1))</f>
        <v>81</v>
      </c>
      <c r="CL31" s="2" t="n">
        <f aca="false">MIN(CL30+1,CK31+1,CK30+IF($A31=CL$4,0,1))</f>
        <v>82</v>
      </c>
      <c r="CM31" s="2" t="n">
        <f aca="false">MIN(CM30+1,CL31+1,CL30+IF($A31=CM$4,0,1))</f>
        <v>83</v>
      </c>
      <c r="CN31" s="2" t="n">
        <f aca="false">MIN(CN30+1,CM31+1,CM30+IF($A31=CN$4,0,1))</f>
        <v>84</v>
      </c>
      <c r="CO31" s="2" t="n">
        <f aca="false">MIN(CO30+1,CN31+1,CN30+IF($A31=CO$4,0,1))</f>
        <v>85</v>
      </c>
      <c r="CP31" s="2" t="n">
        <f aca="false">MIN(CP30+1,CO31+1,CO30+IF($A31=CP$4,0,1))</f>
        <v>86</v>
      </c>
      <c r="CQ31" s="2" t="n">
        <f aca="false">MIN(CQ30+1,CP31+1,CP30+IF($A31=CQ$4,0,1))</f>
        <v>87</v>
      </c>
    </row>
    <row r="32" customFormat="false" ht="15" hidden="false" customHeight="false" outlineLevel="0" collapsed="false">
      <c r="A32" s="4" t="s">
        <v>60</v>
      </c>
      <c r="B32" s="12" t="n">
        <v>27</v>
      </c>
      <c r="C32" s="2" t="n">
        <f aca="false">MIN(C31+1,B32+1,B31+IF($A32=C$4,0,1))</f>
        <v>27</v>
      </c>
      <c r="D32" s="2" t="n">
        <f aca="false">MIN(D31+1,C32+1,C31+IF($A32=D$4,0,1))</f>
        <v>26</v>
      </c>
      <c r="E32" s="2" t="n">
        <f aca="false">MIN(E31+1,D32+1,D31+IF($A32=E$4,0,1))</f>
        <v>25</v>
      </c>
      <c r="F32" s="2" t="n">
        <f aca="false">MIN(F31+1,E32+1,E31+IF($A32=F$4,0,1))</f>
        <v>24</v>
      </c>
      <c r="G32" s="2" t="n">
        <f aca="false">MIN(G31+1,F32+1,F31+IF($A32=G$4,0,1))</f>
        <v>25</v>
      </c>
      <c r="H32" s="2" t="n">
        <f aca="false">MIN(H31+1,G32+1,G31+IF($A32=H$4,0,1))</f>
        <v>25</v>
      </c>
      <c r="I32" s="2" t="n">
        <f aca="false">MIN(I31+1,H32+1,H31+IF($A32=I$4,0,1))</f>
        <v>25</v>
      </c>
      <c r="J32" s="2" t="n">
        <f aca="false">MIN(J31+1,I32+1,I31+IF($A32=J$4,0,1))</f>
        <v>25</v>
      </c>
      <c r="K32" s="2" t="n">
        <f aca="false">MIN(K31+1,J32+1,J31+IF($A32=K$4,0,1))</f>
        <v>24</v>
      </c>
      <c r="L32" s="2" t="n">
        <f aca="false">MIN(L31+1,K32+1,K31+IF($A32=L$4,0,1))</f>
        <v>24</v>
      </c>
      <c r="M32" s="2" t="n">
        <f aca="false">MIN(M31+1,L32+1,L31+IF($A32=M$4,0,1))</f>
        <v>24</v>
      </c>
      <c r="N32" s="2" t="n">
        <f aca="false">MIN(N31+1,M32+1,M31+IF($A32=N$4,0,1))</f>
        <v>24</v>
      </c>
      <c r="O32" s="2" t="n">
        <f aca="false">MIN(O31+1,N32+1,N31+IF($A32=O$4,0,1))</f>
        <v>24</v>
      </c>
      <c r="P32" s="2" t="n">
        <f aca="false">MIN(P31+1,O32+1,O31+IF($A32=P$4,0,1))</f>
        <v>24</v>
      </c>
      <c r="Q32" s="2" t="n">
        <f aca="false">MIN(Q31+1,P32+1,P31+IF($A32=Q$4,0,1))</f>
        <v>24</v>
      </c>
      <c r="R32" s="2" t="n">
        <f aca="false">MIN(R31+1,Q32+1,Q31+IF($A32=R$4,0,1))</f>
        <v>24</v>
      </c>
      <c r="S32" s="2" t="n">
        <f aca="false">MIN(S31+1,R32+1,R31+IF($A32=S$4,0,1))</f>
        <v>24</v>
      </c>
      <c r="T32" s="2" t="n">
        <f aca="false">MIN(T31+1,S32+1,S31+IF($A32=T$4,0,1))</f>
        <v>24</v>
      </c>
      <c r="U32" s="2" t="n">
        <f aca="false">MIN(U31+1,T32+1,T31+IF($A32=U$4,0,1))</f>
        <v>24</v>
      </c>
      <c r="V32" s="2" t="n">
        <f aca="false">MIN(V31+1,U32+1,U31+IF($A32=V$4,0,1))</f>
        <v>24</v>
      </c>
      <c r="W32" s="2" t="n">
        <f aca="false">MIN(W31+1,V32+1,V31+IF($A32=W$4,0,1))</f>
        <v>24</v>
      </c>
      <c r="X32" s="2" t="n">
        <f aca="false">MIN(X31+1,W32+1,W31+IF($A32=X$4,0,1))</f>
        <v>24</v>
      </c>
      <c r="Y32" s="2" t="n">
        <f aca="false">MIN(Y31+1,X32+1,X31+IF($A32=Y$4,0,1))</f>
        <v>24</v>
      </c>
      <c r="Z32" s="2" t="n">
        <f aca="false">MIN(Z31+1,Y32+1,Y31+IF($A32=Z$4,0,1))</f>
        <v>24</v>
      </c>
      <c r="AA32" s="2" t="n">
        <f aca="false">MIN(AA31+1,Z32+1,Z31+IF($A32=AA$4,0,1))</f>
        <v>24</v>
      </c>
      <c r="AB32" s="2" t="n">
        <f aca="false">MIN(AB31+1,AA32+1,AA31+IF($A32=AB$4,0,1))</f>
        <v>25</v>
      </c>
      <c r="AC32" s="2" t="n">
        <f aca="false">MIN(AC31+1,AB32+1,AB31+IF($A32=AC$4,0,1))</f>
        <v>25</v>
      </c>
      <c r="AD32" s="2" t="n">
        <f aca="false">MIN(AD31+1,AC32+1,AC31+IF($A32=AD$4,0,1))</f>
        <v>25</v>
      </c>
      <c r="AE32" s="2" t="n">
        <f aca="false">MIN(AE31+1,AD32+1,AD31+IF($A32=AE$4,0,1))</f>
        <v>25</v>
      </c>
      <c r="AF32" s="2" t="n">
        <f aca="false">MIN(AF31+1,AE32+1,AE31+IF($A32=AF$4,0,1))</f>
        <v>26</v>
      </c>
      <c r="AG32" s="2" t="n">
        <f aca="false">MIN(AG31+1,AF32+1,AF31+IF($A32=AG$4,0,1))</f>
        <v>27</v>
      </c>
      <c r="AH32" s="2" t="n">
        <f aca="false">MIN(AH31+1,AG32+1,AG31+IF($A32=AH$4,0,1))</f>
        <v>28</v>
      </c>
      <c r="AI32" s="2" t="n">
        <f aca="false">MIN(AI31+1,AH32+1,AH31+IF($A32=AI$4,0,1))</f>
        <v>29</v>
      </c>
      <c r="AJ32" s="2" t="n">
        <f aca="false">MIN(AJ31+1,AI32+1,AI31+IF($A32=AJ$4,0,1))</f>
        <v>30</v>
      </c>
      <c r="AK32" s="2" t="n">
        <f aca="false">MIN(AK31+1,AJ32+1,AJ31+IF($A32=AK$4,0,1))</f>
        <v>31</v>
      </c>
      <c r="AL32" s="2" t="n">
        <f aca="false">MIN(AL31+1,AK32+1,AK31+IF($A32=AL$4,0,1))</f>
        <v>32</v>
      </c>
      <c r="AM32" s="2" t="n">
        <f aca="false">MIN(AM31+1,AL32+1,AL31+IF($A32=AM$4,0,1))</f>
        <v>33</v>
      </c>
      <c r="AN32" s="2" t="n">
        <f aca="false">MIN(AN31+1,AM32+1,AM31+IF($A32=AN$4,0,1))</f>
        <v>34</v>
      </c>
      <c r="AO32" s="2" t="n">
        <f aca="false">MIN(AO31+1,AN32+1,AN31+IF($A32=AO$4,0,1))</f>
        <v>35</v>
      </c>
      <c r="AP32" s="2" t="n">
        <f aca="false">MIN(AP31+1,AO32+1,AO31+IF($A32=AP$4,0,1))</f>
        <v>36</v>
      </c>
      <c r="AQ32" s="2" t="n">
        <f aca="false">MIN(AQ31+1,AP32+1,AP31+IF($A32=AQ$4,0,1))</f>
        <v>37</v>
      </c>
      <c r="AR32" s="2" t="n">
        <f aca="false">MIN(AR31+1,AQ32+1,AQ31+IF($A32=AR$4,0,1))</f>
        <v>38</v>
      </c>
      <c r="AS32" s="2" t="n">
        <f aca="false">MIN(AS31+1,AR32+1,AR31+IF($A32=AS$4,0,1))</f>
        <v>39</v>
      </c>
      <c r="AT32" s="2" t="n">
        <f aca="false">MIN(AT31+1,AS32+1,AS31+IF($A32=AT$4,0,1))</f>
        <v>40</v>
      </c>
      <c r="AU32" s="2" t="n">
        <f aca="false">MIN(AU31+1,AT32+1,AT31+IF($A32=AU$4,0,1))</f>
        <v>40</v>
      </c>
      <c r="AV32" s="2" t="n">
        <f aca="false">MIN(AV31+1,AU32+1,AU31+IF($A32=AV$4,0,1))</f>
        <v>41</v>
      </c>
      <c r="AW32" s="2" t="n">
        <f aca="false">MIN(AW31+1,AV32+1,AV31+IF($A32=AW$4,0,1))</f>
        <v>42</v>
      </c>
      <c r="AX32" s="2" t="n">
        <f aca="false">MIN(AX31+1,AW32+1,AW31+IF($A32=AX$4,0,1))</f>
        <v>43</v>
      </c>
      <c r="AY32" s="2" t="n">
        <f aca="false">MIN(AY31+1,AX32+1,AX31+IF($A32=AY$4,0,1))</f>
        <v>44</v>
      </c>
      <c r="AZ32" s="2" t="n">
        <f aca="false">MIN(AZ31+1,AY32+1,AY31+IF($A32=AZ$4,0,1))</f>
        <v>45</v>
      </c>
      <c r="BA32" s="2" t="n">
        <f aca="false">MIN(BA31+1,AZ32+1,AZ31+IF($A32=BA$4,0,1))</f>
        <v>46</v>
      </c>
      <c r="BB32" s="2" t="n">
        <f aca="false">MIN(BB31+1,BA32+1,BA31+IF($A32=BB$4,0,1))</f>
        <v>47</v>
      </c>
      <c r="BC32" s="2" t="n">
        <f aca="false">MIN(BC31+1,BB32+1,BB31+IF($A32=BC$4,0,1))</f>
        <v>48</v>
      </c>
      <c r="BD32" s="2" t="n">
        <f aca="false">MIN(BD31+1,BC32+1,BC31+IF($A32=BD$4,0,1))</f>
        <v>49</v>
      </c>
      <c r="BE32" s="2" t="n">
        <f aca="false">MIN(BE31+1,BD32+1,BD31+IF($A32=BE$4,0,1))</f>
        <v>50</v>
      </c>
      <c r="BF32" s="2" t="n">
        <f aca="false">MIN(BF31+1,BE32+1,BE31+IF($A32=BF$4,0,1))</f>
        <v>51</v>
      </c>
      <c r="BG32" s="2" t="n">
        <f aca="false">MIN(BG31+1,BF32+1,BF31+IF($A32=BG$4,0,1))</f>
        <v>52</v>
      </c>
      <c r="BH32" s="2" t="n">
        <f aca="false">MIN(BH31+1,BG32+1,BG31+IF($A32=BH$4,0,1))</f>
        <v>53</v>
      </c>
      <c r="BI32" s="2" t="n">
        <f aca="false">MIN(BI31+1,BH32+1,BH31+IF($A32=BI$4,0,1))</f>
        <v>54</v>
      </c>
      <c r="BJ32" s="2" t="n">
        <f aca="false">MIN(BJ31+1,BI32+1,BI31+IF($A32=BJ$4,0,1))</f>
        <v>55</v>
      </c>
      <c r="BK32" s="2" t="n">
        <f aca="false">MIN(BK31+1,BJ32+1,BJ31+IF($A32=BK$4,0,1))</f>
        <v>56</v>
      </c>
      <c r="BL32" s="2" t="n">
        <f aca="false">MIN(BL31+1,BK32+1,BK31+IF($A32=BL$4,0,1))</f>
        <v>57</v>
      </c>
      <c r="BM32" s="2" t="n">
        <f aca="false">MIN(BM31+1,BL32+1,BL31+IF($A32=BM$4,0,1))</f>
        <v>58</v>
      </c>
      <c r="BN32" s="2" t="n">
        <f aca="false">MIN(BN31+1,BM32+1,BM31+IF($A32=BN$4,0,1))</f>
        <v>59</v>
      </c>
      <c r="BO32" s="2" t="n">
        <f aca="false">MIN(BO31+1,BN32+1,BN31+IF($A32=BO$4,0,1))</f>
        <v>60</v>
      </c>
      <c r="BP32" s="2" t="n">
        <f aca="false">MIN(BP31+1,BO32+1,BO31+IF($A32=BP$4,0,1))</f>
        <v>61</v>
      </c>
      <c r="BQ32" s="2" t="n">
        <f aca="false">MIN(BQ31+1,BP32+1,BP31+IF($A32=BQ$4,0,1))</f>
        <v>62</v>
      </c>
      <c r="BR32" s="2" t="n">
        <f aca="false">MIN(BR31+1,BQ32+1,BQ31+IF($A32=BR$4,0,1))</f>
        <v>63</v>
      </c>
      <c r="BS32" s="2" t="n">
        <f aca="false">MIN(BS31+1,BR32+1,BR31+IF($A32=BS$4,0,1))</f>
        <v>64</v>
      </c>
      <c r="BT32" s="2" t="n">
        <f aca="false">MIN(BT31+1,BS32+1,BS31+IF($A32=BT$4,0,1))</f>
        <v>65</v>
      </c>
      <c r="BU32" s="2" t="n">
        <f aca="false">MIN(BU31+1,BT32+1,BT31+IF($A32=BU$4,0,1))</f>
        <v>66</v>
      </c>
      <c r="BV32" s="2" t="n">
        <f aca="false">MIN(BV31+1,BU32+1,BU31+IF($A32=BV$4,0,1))</f>
        <v>67</v>
      </c>
      <c r="BW32" s="2" t="n">
        <f aca="false">MIN(BW31+1,BV32+1,BV31+IF($A32=BW$4,0,1))</f>
        <v>68</v>
      </c>
      <c r="BX32" s="2" t="n">
        <f aca="false">MIN(BX31+1,BW32+1,BW31+IF($A32=BX$4,0,1))</f>
        <v>69</v>
      </c>
      <c r="BY32" s="2" t="n">
        <f aca="false">MIN(BY31+1,BX32+1,BX31+IF($A32=BY$4,0,1))</f>
        <v>70</v>
      </c>
      <c r="BZ32" s="2" t="n">
        <f aca="false">MIN(BZ31+1,BY32+1,BY31+IF($A32=BZ$4,0,1))</f>
        <v>71</v>
      </c>
      <c r="CA32" s="2" t="n">
        <f aca="false">MIN(CA31+1,BZ32+1,BZ31+IF($A32=CA$4,0,1))</f>
        <v>72</v>
      </c>
      <c r="CB32" s="2" t="n">
        <f aca="false">MIN(CB31+1,CA32+1,CA31+IF($A32=CB$4,0,1))</f>
        <v>72</v>
      </c>
      <c r="CC32" s="2" t="n">
        <f aca="false">MIN(CC31+1,CB32+1,CB31+IF($A32=CC$4,0,1))</f>
        <v>73</v>
      </c>
      <c r="CD32" s="2" t="n">
        <f aca="false">MIN(CD31+1,CC32+1,CC31+IF($A32=CD$4,0,1))</f>
        <v>74</v>
      </c>
      <c r="CE32" s="2" t="n">
        <f aca="false">MIN(CE31+1,CD32+1,CD31+IF($A32=CE$4,0,1))</f>
        <v>75</v>
      </c>
      <c r="CF32" s="2" t="n">
        <f aca="false">MIN(CF31+1,CE32+1,CE31+IF($A32=CF$4,0,1))</f>
        <v>76</v>
      </c>
      <c r="CG32" s="2" t="n">
        <f aca="false">MIN(CG31+1,CF32+1,CF31+IF($A32=CG$4,0,1))</f>
        <v>77</v>
      </c>
      <c r="CH32" s="2" t="n">
        <f aca="false">MIN(CH31+1,CG32+1,CG31+IF($A32=CH$4,0,1))</f>
        <v>78</v>
      </c>
      <c r="CI32" s="2" t="n">
        <f aca="false">MIN(CI31+1,CH32+1,CH31+IF($A32=CI$4,0,1))</f>
        <v>79</v>
      </c>
      <c r="CJ32" s="2" t="n">
        <f aca="false">MIN(CJ31+1,CI32+1,CI31+IF($A32=CJ$4,0,1))</f>
        <v>80</v>
      </c>
      <c r="CK32" s="2" t="n">
        <f aca="false">MIN(CK31+1,CJ32+1,CJ31+IF($A32=CK$4,0,1))</f>
        <v>81</v>
      </c>
      <c r="CL32" s="2" t="n">
        <f aca="false">MIN(CL31+1,CK32+1,CK31+IF($A32=CL$4,0,1))</f>
        <v>82</v>
      </c>
      <c r="CM32" s="2" t="n">
        <f aca="false">MIN(CM31+1,CL32+1,CL31+IF($A32=CM$4,0,1))</f>
        <v>83</v>
      </c>
      <c r="CN32" s="2" t="n">
        <f aca="false">MIN(CN31+1,CM32+1,CM31+IF($A32=CN$4,0,1))</f>
        <v>84</v>
      </c>
      <c r="CO32" s="2" t="n">
        <f aca="false">MIN(CO31+1,CN32+1,CN31+IF($A32=CO$4,0,1))</f>
        <v>85</v>
      </c>
      <c r="CP32" s="2" t="n">
        <f aca="false">MIN(CP31+1,CO32+1,CO31+IF($A32=CP$4,0,1))</f>
        <v>86</v>
      </c>
      <c r="CQ32" s="2" t="n">
        <f aca="false">MIN(CQ31+1,CP32+1,CP31+IF($A32=CQ$4,0,1))</f>
        <v>87</v>
      </c>
    </row>
    <row r="33" customFormat="false" ht="15" hidden="false" customHeight="false" outlineLevel="0" collapsed="false">
      <c r="A33" s="4" t="s">
        <v>162</v>
      </c>
      <c r="B33" s="12" t="n">
        <v>28</v>
      </c>
      <c r="C33" s="2" t="n">
        <f aca="false">MIN(C32+1,B33+1,B32+IF($A33=C$4,0,1))</f>
        <v>28</v>
      </c>
      <c r="D33" s="2" t="n">
        <f aca="false">MIN(D32+1,C33+1,C32+IF($A33=D$4,0,1))</f>
        <v>27</v>
      </c>
      <c r="E33" s="2" t="n">
        <f aca="false">MIN(E32+1,D33+1,D32+IF($A33=E$4,0,1))</f>
        <v>26</v>
      </c>
      <c r="F33" s="2" t="n">
        <f aca="false">MIN(F32+1,E33+1,E32+IF($A33=F$4,0,1))</f>
        <v>25</v>
      </c>
      <c r="G33" s="2" t="n">
        <f aca="false">MIN(G32+1,F33+1,F32+IF($A33=G$4,0,1))</f>
        <v>25</v>
      </c>
      <c r="H33" s="2" t="n">
        <f aca="false">MIN(H32+1,G33+1,G32+IF($A33=H$4,0,1))</f>
        <v>26</v>
      </c>
      <c r="I33" s="2" t="n">
        <f aca="false">MIN(I32+1,H33+1,H32+IF($A33=I$4,0,1))</f>
        <v>26</v>
      </c>
      <c r="J33" s="2" t="n">
        <f aca="false">MIN(J32+1,I33+1,I32+IF($A33=J$4,0,1))</f>
        <v>26</v>
      </c>
      <c r="K33" s="2" t="n">
        <f aca="false">MIN(K32+1,J33+1,J32+IF($A33=K$4,0,1))</f>
        <v>25</v>
      </c>
      <c r="L33" s="2" t="n">
        <f aca="false">MIN(L32+1,K33+1,K32+IF($A33=L$4,0,1))</f>
        <v>25</v>
      </c>
      <c r="M33" s="2" t="n">
        <f aca="false">MIN(M32+1,L33+1,L32+IF($A33=M$4,0,1))</f>
        <v>25</v>
      </c>
      <c r="N33" s="2" t="n">
        <f aca="false">MIN(N32+1,M33+1,M32+IF($A33=N$4,0,1))</f>
        <v>25</v>
      </c>
      <c r="O33" s="2" t="n">
        <f aca="false">MIN(O32+1,N33+1,N32+IF($A33=O$4,0,1))</f>
        <v>25</v>
      </c>
      <c r="P33" s="2" t="n">
        <f aca="false">MIN(P32+1,O33+1,O32+IF($A33=P$4,0,1))</f>
        <v>25</v>
      </c>
      <c r="Q33" s="2" t="n">
        <f aca="false">MIN(Q32+1,P33+1,P32+IF($A33=Q$4,0,1))</f>
        <v>25</v>
      </c>
      <c r="R33" s="2" t="n">
        <f aca="false">MIN(R32+1,Q33+1,Q32+IF($A33=R$4,0,1))</f>
        <v>25</v>
      </c>
      <c r="S33" s="2" t="n">
        <f aca="false">MIN(S32+1,R33+1,R32+IF($A33=S$4,0,1))</f>
        <v>25</v>
      </c>
      <c r="T33" s="2" t="n">
        <f aca="false">MIN(T32+1,S33+1,S32+IF($A33=T$4,0,1))</f>
        <v>25</v>
      </c>
      <c r="U33" s="2" t="n">
        <f aca="false">MIN(U32+1,T33+1,T32+IF($A33=U$4,0,1))</f>
        <v>25</v>
      </c>
      <c r="V33" s="2" t="n">
        <f aca="false">MIN(V32+1,U33+1,U32+IF($A33=V$4,0,1))</f>
        <v>25</v>
      </c>
      <c r="W33" s="2" t="n">
        <f aca="false">MIN(W32+1,V33+1,V32+IF($A33=W$4,0,1))</f>
        <v>25</v>
      </c>
      <c r="X33" s="2" t="n">
        <f aca="false">MIN(X32+1,W33+1,W32+IF($A33=X$4,0,1))</f>
        <v>25</v>
      </c>
      <c r="Y33" s="2" t="n">
        <f aca="false">MIN(Y32+1,X33+1,X32+IF($A33=Y$4,0,1))</f>
        <v>25</v>
      </c>
      <c r="Z33" s="2" t="n">
        <f aca="false">MIN(Z32+1,Y33+1,Y32+IF($A33=Z$4,0,1))</f>
        <v>25</v>
      </c>
      <c r="AA33" s="2" t="n">
        <f aca="false">MIN(AA32+1,Z33+1,Z32+IF($A33=AA$4,0,1))</f>
        <v>25</v>
      </c>
      <c r="AB33" s="2" t="n">
        <f aca="false">MIN(AB32+1,AA33+1,AA32+IF($A33=AB$4,0,1))</f>
        <v>25</v>
      </c>
      <c r="AC33" s="2" t="n">
        <f aca="false">MIN(AC32+1,AB33+1,AB32+IF($A33=AC$4,0,1))</f>
        <v>26</v>
      </c>
      <c r="AD33" s="2" t="n">
        <f aca="false">MIN(AD32+1,AC33+1,AC32+IF($A33=AD$4,0,1))</f>
        <v>26</v>
      </c>
      <c r="AE33" s="2" t="n">
        <f aca="false">MIN(AE32+1,AD33+1,AD32+IF($A33=AE$4,0,1))</f>
        <v>26</v>
      </c>
      <c r="AF33" s="2" t="n">
        <f aca="false">MIN(AF32+1,AE33+1,AE32+IF($A33=AF$4,0,1))</f>
        <v>26</v>
      </c>
      <c r="AG33" s="2" t="n">
        <f aca="false">MIN(AG32+1,AF33+1,AF32+IF($A33=AG$4,0,1))</f>
        <v>27</v>
      </c>
      <c r="AH33" s="2" t="n">
        <f aca="false">MIN(AH32+1,AG33+1,AG32+IF($A33=AH$4,0,1))</f>
        <v>28</v>
      </c>
      <c r="AI33" s="2" t="n">
        <f aca="false">MIN(AI32+1,AH33+1,AH32+IF($A33=AI$4,0,1))</f>
        <v>29</v>
      </c>
      <c r="AJ33" s="2" t="n">
        <f aca="false">MIN(AJ32+1,AI33+1,AI32+IF($A33=AJ$4,0,1))</f>
        <v>30</v>
      </c>
      <c r="AK33" s="2" t="n">
        <f aca="false">MIN(AK32+1,AJ33+1,AJ32+IF($A33=AK$4,0,1))</f>
        <v>31</v>
      </c>
      <c r="AL33" s="2" t="n">
        <f aca="false">MIN(AL32+1,AK33+1,AK32+IF($A33=AL$4,0,1))</f>
        <v>32</v>
      </c>
      <c r="AM33" s="2" t="n">
        <f aca="false">MIN(AM32+1,AL33+1,AL32+IF($A33=AM$4,0,1))</f>
        <v>33</v>
      </c>
      <c r="AN33" s="2" t="n">
        <f aca="false">MIN(AN32+1,AM33+1,AM32+IF($A33=AN$4,0,1))</f>
        <v>34</v>
      </c>
      <c r="AO33" s="2" t="n">
        <f aca="false">MIN(AO32+1,AN33+1,AN32+IF($A33=AO$4,0,1))</f>
        <v>35</v>
      </c>
      <c r="AP33" s="2" t="n">
        <f aca="false">MIN(AP32+1,AO33+1,AO32+IF($A33=AP$4,0,1))</f>
        <v>36</v>
      </c>
      <c r="AQ33" s="2" t="n">
        <f aca="false">MIN(AQ32+1,AP33+1,AP32+IF($A33=AQ$4,0,1))</f>
        <v>37</v>
      </c>
      <c r="AR33" s="2" t="n">
        <f aca="false">MIN(AR32+1,AQ33+1,AQ32+IF($A33=AR$4,0,1))</f>
        <v>38</v>
      </c>
      <c r="AS33" s="2" t="n">
        <f aca="false">MIN(AS32+1,AR33+1,AR32+IF($A33=AS$4,0,1))</f>
        <v>39</v>
      </c>
      <c r="AT33" s="2" t="n">
        <f aca="false">MIN(AT32+1,AS33+1,AS32+IF($A33=AT$4,0,1))</f>
        <v>40</v>
      </c>
      <c r="AU33" s="2" t="n">
        <f aca="false">MIN(AU32+1,AT33+1,AT32+IF($A33=AU$4,0,1))</f>
        <v>41</v>
      </c>
      <c r="AV33" s="2" t="n">
        <f aca="false">MIN(AV32+1,AU33+1,AU32+IF($A33=AV$4,0,1))</f>
        <v>41</v>
      </c>
      <c r="AW33" s="2" t="n">
        <f aca="false">MIN(AW32+1,AV33+1,AV32+IF($A33=AW$4,0,1))</f>
        <v>42</v>
      </c>
      <c r="AX33" s="2" t="n">
        <f aca="false">MIN(AX32+1,AW33+1,AW32+IF($A33=AX$4,0,1))</f>
        <v>43</v>
      </c>
      <c r="AY33" s="2" t="n">
        <f aca="false">MIN(AY32+1,AX33+1,AX32+IF($A33=AY$4,0,1))</f>
        <v>44</v>
      </c>
      <c r="AZ33" s="2" t="n">
        <f aca="false">MIN(AZ32+1,AY33+1,AY32+IF($A33=AZ$4,0,1))</f>
        <v>45</v>
      </c>
      <c r="BA33" s="2" t="n">
        <f aca="false">MIN(BA32+1,AZ33+1,AZ32+IF($A33=BA$4,0,1))</f>
        <v>46</v>
      </c>
      <c r="BB33" s="2" t="n">
        <f aca="false">MIN(BB32+1,BA33+1,BA32+IF($A33=BB$4,0,1))</f>
        <v>47</v>
      </c>
      <c r="BC33" s="2" t="n">
        <f aca="false">MIN(BC32+1,BB33+1,BB32+IF($A33=BC$4,0,1))</f>
        <v>48</v>
      </c>
      <c r="BD33" s="2" t="n">
        <f aca="false">MIN(BD32+1,BC33+1,BC32+IF($A33=BD$4,0,1))</f>
        <v>49</v>
      </c>
      <c r="BE33" s="2" t="n">
        <f aca="false">MIN(BE32+1,BD33+1,BD32+IF($A33=BE$4,0,1))</f>
        <v>50</v>
      </c>
      <c r="BF33" s="2" t="n">
        <f aca="false">MIN(BF32+1,BE33+1,BE32+IF($A33=BF$4,0,1))</f>
        <v>51</v>
      </c>
      <c r="BG33" s="2" t="n">
        <f aca="false">MIN(BG32+1,BF33+1,BF32+IF($A33=BG$4,0,1))</f>
        <v>52</v>
      </c>
      <c r="BH33" s="2" t="n">
        <f aca="false">MIN(BH32+1,BG33+1,BG32+IF($A33=BH$4,0,1))</f>
        <v>53</v>
      </c>
      <c r="BI33" s="2" t="n">
        <f aca="false">MIN(BI32+1,BH33+1,BH32+IF($A33=BI$4,0,1))</f>
        <v>54</v>
      </c>
      <c r="BJ33" s="2" t="n">
        <f aca="false">MIN(BJ32+1,BI33+1,BI32+IF($A33=BJ$4,0,1))</f>
        <v>55</v>
      </c>
      <c r="BK33" s="2" t="n">
        <f aca="false">MIN(BK32+1,BJ33+1,BJ32+IF($A33=BK$4,0,1))</f>
        <v>56</v>
      </c>
      <c r="BL33" s="2" t="n">
        <f aca="false">MIN(BL32+1,BK33+1,BK32+IF($A33=BL$4,0,1))</f>
        <v>57</v>
      </c>
      <c r="BM33" s="2" t="n">
        <f aca="false">MIN(BM32+1,BL33+1,BL32+IF($A33=BM$4,0,1))</f>
        <v>58</v>
      </c>
      <c r="BN33" s="2" t="n">
        <f aca="false">MIN(BN32+1,BM33+1,BM32+IF($A33=BN$4,0,1))</f>
        <v>59</v>
      </c>
      <c r="BO33" s="2" t="n">
        <f aca="false">MIN(BO32+1,BN33+1,BN32+IF($A33=BO$4,0,1))</f>
        <v>60</v>
      </c>
      <c r="BP33" s="2" t="n">
        <f aca="false">MIN(BP32+1,BO33+1,BO32+IF($A33=BP$4,0,1))</f>
        <v>61</v>
      </c>
      <c r="BQ33" s="2" t="n">
        <f aca="false">MIN(BQ32+1,BP33+1,BP32+IF($A33=BQ$4,0,1))</f>
        <v>62</v>
      </c>
      <c r="BR33" s="2" t="n">
        <f aca="false">MIN(BR32+1,BQ33+1,BQ32+IF($A33=BR$4,0,1))</f>
        <v>63</v>
      </c>
      <c r="BS33" s="2" t="n">
        <f aca="false">MIN(BS32+1,BR33+1,BR32+IF($A33=BS$4,0,1))</f>
        <v>64</v>
      </c>
      <c r="BT33" s="2" t="n">
        <f aca="false">MIN(BT32+1,BS33+1,BS32+IF($A33=BT$4,0,1))</f>
        <v>65</v>
      </c>
      <c r="BU33" s="2" t="n">
        <f aca="false">MIN(BU32+1,BT33+1,BT32+IF($A33=BU$4,0,1))</f>
        <v>66</v>
      </c>
      <c r="BV33" s="2" t="n">
        <f aca="false">MIN(BV32+1,BU33+1,BU32+IF($A33=BV$4,0,1))</f>
        <v>67</v>
      </c>
      <c r="BW33" s="2" t="n">
        <f aca="false">MIN(BW32+1,BV33+1,BV32+IF($A33=BW$4,0,1))</f>
        <v>68</v>
      </c>
      <c r="BX33" s="2" t="n">
        <f aca="false">MIN(BX32+1,BW33+1,BW32+IF($A33=BX$4,0,1))</f>
        <v>69</v>
      </c>
      <c r="BY33" s="2" t="n">
        <f aca="false">MIN(BY32+1,BX33+1,BX32+IF($A33=BY$4,0,1))</f>
        <v>70</v>
      </c>
      <c r="BZ33" s="2" t="n">
        <f aca="false">MIN(BZ32+1,BY33+1,BY32+IF($A33=BZ$4,0,1))</f>
        <v>71</v>
      </c>
      <c r="CA33" s="2" t="n">
        <f aca="false">MIN(CA32+1,BZ33+1,BZ32+IF($A33=CA$4,0,1))</f>
        <v>72</v>
      </c>
      <c r="CB33" s="2" t="n">
        <f aca="false">MIN(CB32+1,CA33+1,CA32+IF($A33=CB$4,0,1))</f>
        <v>73</v>
      </c>
      <c r="CC33" s="2" t="n">
        <f aca="false">MIN(CC32+1,CB33+1,CB32+IF($A33=CC$4,0,1))</f>
        <v>73</v>
      </c>
      <c r="CD33" s="2" t="n">
        <f aca="false">MIN(CD32+1,CC33+1,CC32+IF($A33=CD$4,0,1))</f>
        <v>74</v>
      </c>
      <c r="CE33" s="2" t="n">
        <f aca="false">MIN(CE32+1,CD33+1,CD32+IF($A33=CE$4,0,1))</f>
        <v>75</v>
      </c>
      <c r="CF33" s="2" t="n">
        <f aca="false">MIN(CF32+1,CE33+1,CE32+IF($A33=CF$4,0,1))</f>
        <v>76</v>
      </c>
      <c r="CG33" s="2" t="n">
        <f aca="false">MIN(CG32+1,CF33+1,CF32+IF($A33=CG$4,0,1))</f>
        <v>77</v>
      </c>
      <c r="CH33" s="2" t="n">
        <f aca="false">MIN(CH32+1,CG33+1,CG32+IF($A33=CH$4,0,1))</f>
        <v>78</v>
      </c>
      <c r="CI33" s="2" t="n">
        <f aca="false">MIN(CI32+1,CH33+1,CH32+IF($A33=CI$4,0,1))</f>
        <v>79</v>
      </c>
      <c r="CJ33" s="2" t="n">
        <f aca="false">MIN(CJ32+1,CI33+1,CI32+IF($A33=CJ$4,0,1))</f>
        <v>80</v>
      </c>
      <c r="CK33" s="2" t="n">
        <f aca="false">MIN(CK32+1,CJ33+1,CJ32+IF($A33=CK$4,0,1))</f>
        <v>81</v>
      </c>
      <c r="CL33" s="2" t="n">
        <f aca="false">MIN(CL32+1,CK33+1,CK32+IF($A33=CL$4,0,1))</f>
        <v>82</v>
      </c>
      <c r="CM33" s="2" t="n">
        <f aca="false">MIN(CM32+1,CL33+1,CL32+IF($A33=CM$4,0,1))</f>
        <v>83</v>
      </c>
      <c r="CN33" s="2" t="n">
        <f aca="false">MIN(CN32+1,CM33+1,CM32+IF($A33=CN$4,0,1))</f>
        <v>84</v>
      </c>
      <c r="CO33" s="2" t="n">
        <f aca="false">MIN(CO32+1,CN33+1,CN32+IF($A33=CO$4,0,1))</f>
        <v>85</v>
      </c>
      <c r="CP33" s="2" t="n">
        <f aca="false">MIN(CP32+1,CO33+1,CO32+IF($A33=CP$4,0,1))</f>
        <v>86</v>
      </c>
      <c r="CQ33" s="2" t="n">
        <f aca="false">MIN(CQ32+1,CP33+1,CP32+IF($A33=CQ$4,0,1))</f>
        <v>87</v>
      </c>
    </row>
    <row r="34" customFormat="false" ht="15" hidden="false" customHeight="false" outlineLevel="0" collapsed="false">
      <c r="A34" s="4" t="s">
        <v>89</v>
      </c>
      <c r="B34" s="12" t="n">
        <v>29</v>
      </c>
      <c r="C34" s="2" t="n">
        <f aca="false">MIN(C33+1,B34+1,B33+IF($A34=C$4,0,1))</f>
        <v>29</v>
      </c>
      <c r="D34" s="2" t="n">
        <f aca="false">MIN(D33+1,C34+1,C33+IF($A34=D$4,0,1))</f>
        <v>28</v>
      </c>
      <c r="E34" s="2" t="n">
        <f aca="false">MIN(E33+1,D34+1,D33+IF($A34=E$4,0,1))</f>
        <v>27</v>
      </c>
      <c r="F34" s="2" t="n">
        <f aca="false">MIN(F33+1,E34+1,E33+IF($A34=F$4,0,1))</f>
        <v>26</v>
      </c>
      <c r="G34" s="2" t="n">
        <f aca="false">MIN(G33+1,F34+1,F33+IF($A34=G$4,0,1))</f>
        <v>26</v>
      </c>
      <c r="H34" s="2" t="n">
        <f aca="false">MIN(H33+1,G34+1,G33+IF($A34=H$4,0,1))</f>
        <v>26</v>
      </c>
      <c r="I34" s="2" t="n">
        <f aca="false">MIN(I33+1,H34+1,H33+IF($A34=I$4,0,1))</f>
        <v>27</v>
      </c>
      <c r="J34" s="2" t="n">
        <f aca="false">MIN(J33+1,I34+1,I33+IF($A34=J$4,0,1))</f>
        <v>27</v>
      </c>
      <c r="K34" s="2" t="n">
        <f aca="false">MIN(K33+1,J34+1,J33+IF($A34=K$4,0,1))</f>
        <v>26</v>
      </c>
      <c r="L34" s="2" t="n">
        <f aca="false">MIN(L33+1,K34+1,K33+IF($A34=L$4,0,1))</f>
        <v>26</v>
      </c>
      <c r="M34" s="2" t="n">
        <f aca="false">MIN(M33+1,L34+1,L33+IF($A34=M$4,0,1))</f>
        <v>26</v>
      </c>
      <c r="N34" s="2" t="n">
        <f aca="false">MIN(N33+1,M34+1,M33+IF($A34=N$4,0,1))</f>
        <v>26</v>
      </c>
      <c r="O34" s="2" t="n">
        <f aca="false">MIN(O33+1,N34+1,N33+IF($A34=O$4,0,1))</f>
        <v>25</v>
      </c>
      <c r="P34" s="2" t="n">
        <f aca="false">MIN(P33+1,O34+1,O33+IF($A34=P$4,0,1))</f>
        <v>26</v>
      </c>
      <c r="Q34" s="2" t="n">
        <f aca="false">MIN(Q33+1,P34+1,P33+IF($A34=Q$4,0,1))</f>
        <v>26</v>
      </c>
      <c r="R34" s="2" t="n">
        <f aca="false">MIN(R33+1,Q34+1,Q33+IF($A34=R$4,0,1))</f>
        <v>26</v>
      </c>
      <c r="S34" s="2" t="n">
        <f aca="false">MIN(S33+1,R34+1,R33+IF($A34=S$4,0,1))</f>
        <v>26</v>
      </c>
      <c r="T34" s="2" t="n">
        <f aca="false">MIN(T33+1,S34+1,S33+IF($A34=T$4,0,1))</f>
        <v>26</v>
      </c>
      <c r="U34" s="2" t="n">
        <f aca="false">MIN(U33+1,T34+1,T33+IF($A34=U$4,0,1))</f>
        <v>26</v>
      </c>
      <c r="V34" s="2" t="n">
        <f aca="false">MIN(V33+1,U34+1,U33+IF($A34=V$4,0,1))</f>
        <v>26</v>
      </c>
      <c r="W34" s="2" t="n">
        <f aca="false">MIN(W33+1,V34+1,V33+IF($A34=W$4,0,1))</f>
        <v>26</v>
      </c>
      <c r="X34" s="2" t="n">
        <f aca="false">MIN(X33+1,W34+1,W33+IF($A34=X$4,0,1))</f>
        <v>26</v>
      </c>
      <c r="Y34" s="2" t="n">
        <f aca="false">MIN(Y33+1,X34+1,X33+IF($A34=Y$4,0,1))</f>
        <v>26</v>
      </c>
      <c r="Z34" s="2" t="n">
        <f aca="false">MIN(Z33+1,Y34+1,Y33+IF($A34=Z$4,0,1))</f>
        <v>26</v>
      </c>
      <c r="AA34" s="2" t="n">
        <f aca="false">MIN(AA33+1,Z34+1,Z33+IF($A34=AA$4,0,1))</f>
        <v>26</v>
      </c>
      <c r="AB34" s="2" t="n">
        <f aca="false">MIN(AB33+1,AA34+1,AA33+IF($A34=AB$4,0,1))</f>
        <v>26</v>
      </c>
      <c r="AC34" s="2" t="n">
        <f aca="false">MIN(AC33+1,AB34+1,AB33+IF($A34=AC$4,0,1))</f>
        <v>26</v>
      </c>
      <c r="AD34" s="2" t="n">
        <f aca="false">MIN(AD33+1,AC34+1,AC33+IF($A34=AD$4,0,1))</f>
        <v>27</v>
      </c>
      <c r="AE34" s="2" t="n">
        <f aca="false">MIN(AE33+1,AD34+1,AD33+IF($A34=AE$4,0,1))</f>
        <v>27</v>
      </c>
      <c r="AF34" s="2" t="n">
        <f aca="false">MIN(AF33+1,AE34+1,AE33+IF($A34=AF$4,0,1))</f>
        <v>27</v>
      </c>
      <c r="AG34" s="2" t="n">
        <f aca="false">MIN(AG33+1,AF34+1,AF33+IF($A34=AG$4,0,1))</f>
        <v>27</v>
      </c>
      <c r="AH34" s="2" t="n">
        <f aca="false">MIN(AH33+1,AG34+1,AG33+IF($A34=AH$4,0,1))</f>
        <v>28</v>
      </c>
      <c r="AI34" s="2" t="n">
        <f aca="false">MIN(AI33+1,AH34+1,AH33+IF($A34=AI$4,0,1))</f>
        <v>29</v>
      </c>
      <c r="AJ34" s="2" t="n">
        <f aca="false">MIN(AJ33+1,AI34+1,AI33+IF($A34=AJ$4,0,1))</f>
        <v>30</v>
      </c>
      <c r="AK34" s="2" t="n">
        <f aca="false">MIN(AK33+1,AJ34+1,AJ33+IF($A34=AK$4,0,1))</f>
        <v>31</v>
      </c>
      <c r="AL34" s="2" t="n">
        <f aca="false">MIN(AL33+1,AK34+1,AK33+IF($A34=AL$4,0,1))</f>
        <v>32</v>
      </c>
      <c r="AM34" s="2" t="n">
        <f aca="false">MIN(AM33+1,AL34+1,AL33+IF($A34=AM$4,0,1))</f>
        <v>33</v>
      </c>
      <c r="AN34" s="2" t="n">
        <f aca="false">MIN(AN33+1,AM34+1,AM33+IF($A34=AN$4,0,1))</f>
        <v>34</v>
      </c>
      <c r="AO34" s="2" t="n">
        <f aca="false">MIN(AO33+1,AN34+1,AN33+IF($A34=AO$4,0,1))</f>
        <v>35</v>
      </c>
      <c r="AP34" s="2" t="n">
        <f aca="false">MIN(AP33+1,AO34+1,AO33+IF($A34=AP$4,0,1))</f>
        <v>36</v>
      </c>
      <c r="AQ34" s="2" t="n">
        <f aca="false">MIN(AQ33+1,AP34+1,AP33+IF($A34=AQ$4,0,1))</f>
        <v>37</v>
      </c>
      <c r="AR34" s="2" t="n">
        <f aca="false">MIN(AR33+1,AQ34+1,AQ33+IF($A34=AR$4,0,1))</f>
        <v>38</v>
      </c>
      <c r="AS34" s="2" t="n">
        <f aca="false">MIN(AS33+1,AR34+1,AR33+IF($A34=AS$4,0,1))</f>
        <v>39</v>
      </c>
      <c r="AT34" s="2" t="n">
        <f aca="false">MIN(AT33+1,AS34+1,AS33+IF($A34=AT$4,0,1))</f>
        <v>40</v>
      </c>
      <c r="AU34" s="2" t="n">
        <f aca="false">MIN(AU33+1,AT34+1,AT33+IF($A34=AU$4,0,1))</f>
        <v>41</v>
      </c>
      <c r="AV34" s="2" t="n">
        <f aca="false">MIN(AV33+1,AU34+1,AU33+IF($A34=AV$4,0,1))</f>
        <v>42</v>
      </c>
      <c r="AW34" s="2" t="n">
        <f aca="false">MIN(AW33+1,AV34+1,AV33+IF($A34=AW$4,0,1))</f>
        <v>42</v>
      </c>
      <c r="AX34" s="2" t="n">
        <f aca="false">MIN(AX33+1,AW34+1,AW33+IF($A34=AX$4,0,1))</f>
        <v>43</v>
      </c>
      <c r="AY34" s="2" t="n">
        <f aca="false">MIN(AY33+1,AX34+1,AX33+IF($A34=AY$4,0,1))</f>
        <v>44</v>
      </c>
      <c r="AZ34" s="2" t="n">
        <f aca="false">MIN(AZ33+1,AY34+1,AY33+IF($A34=AZ$4,0,1))</f>
        <v>45</v>
      </c>
      <c r="BA34" s="2" t="n">
        <f aca="false">MIN(BA33+1,AZ34+1,AZ33+IF($A34=BA$4,0,1))</f>
        <v>46</v>
      </c>
      <c r="BB34" s="2" t="n">
        <f aca="false">MIN(BB33+1,BA34+1,BA33+IF($A34=BB$4,0,1))</f>
        <v>47</v>
      </c>
      <c r="BC34" s="2" t="n">
        <f aca="false">MIN(BC33+1,BB34+1,BB33+IF($A34=BC$4,0,1))</f>
        <v>48</v>
      </c>
      <c r="BD34" s="2" t="n">
        <f aca="false">MIN(BD33+1,BC34+1,BC33+IF($A34=BD$4,0,1))</f>
        <v>49</v>
      </c>
      <c r="BE34" s="2" t="n">
        <f aca="false">MIN(BE33+1,BD34+1,BD33+IF($A34=BE$4,0,1))</f>
        <v>50</v>
      </c>
      <c r="BF34" s="2" t="n">
        <f aca="false">MIN(BF33+1,BE34+1,BE33+IF($A34=BF$4,0,1))</f>
        <v>51</v>
      </c>
      <c r="BG34" s="2" t="n">
        <f aca="false">MIN(BG33+1,BF34+1,BF33+IF($A34=BG$4,0,1))</f>
        <v>52</v>
      </c>
      <c r="BH34" s="2" t="n">
        <f aca="false">MIN(BH33+1,BG34+1,BG33+IF($A34=BH$4,0,1))</f>
        <v>53</v>
      </c>
      <c r="BI34" s="2" t="n">
        <f aca="false">MIN(BI33+1,BH34+1,BH33+IF($A34=BI$4,0,1))</f>
        <v>54</v>
      </c>
      <c r="BJ34" s="2" t="n">
        <f aca="false">MIN(BJ33+1,BI34+1,BI33+IF($A34=BJ$4,0,1))</f>
        <v>55</v>
      </c>
      <c r="BK34" s="2" t="n">
        <f aca="false">MIN(BK33+1,BJ34+1,BJ33+IF($A34=BK$4,0,1))</f>
        <v>56</v>
      </c>
      <c r="BL34" s="2" t="n">
        <f aca="false">MIN(BL33+1,BK34+1,BK33+IF($A34=BL$4,0,1))</f>
        <v>56</v>
      </c>
      <c r="BM34" s="2" t="n">
        <f aca="false">MIN(BM33+1,BL34+1,BL33+IF($A34=BM$4,0,1))</f>
        <v>57</v>
      </c>
      <c r="BN34" s="2" t="n">
        <f aca="false">MIN(BN33+1,BM34+1,BM33+IF($A34=BN$4,0,1))</f>
        <v>58</v>
      </c>
      <c r="BO34" s="2" t="n">
        <f aca="false">MIN(BO33+1,BN34+1,BN33+IF($A34=BO$4,0,1))</f>
        <v>59</v>
      </c>
      <c r="BP34" s="2" t="n">
        <f aca="false">MIN(BP33+1,BO34+1,BO33+IF($A34=BP$4,0,1))</f>
        <v>60</v>
      </c>
      <c r="BQ34" s="2" t="n">
        <f aca="false">MIN(BQ33+1,BP34+1,BP33+IF($A34=BQ$4,0,1))</f>
        <v>61</v>
      </c>
      <c r="BR34" s="2" t="n">
        <f aca="false">MIN(BR33+1,BQ34+1,BQ33+IF($A34=BR$4,0,1))</f>
        <v>62</v>
      </c>
      <c r="BS34" s="2" t="n">
        <f aca="false">MIN(BS33+1,BR34+1,BR33+IF($A34=BS$4,0,1))</f>
        <v>63</v>
      </c>
      <c r="BT34" s="2" t="n">
        <f aca="false">MIN(BT33+1,BS34+1,BS33+IF($A34=BT$4,0,1))</f>
        <v>64</v>
      </c>
      <c r="BU34" s="2" t="n">
        <f aca="false">MIN(BU33+1,BT34+1,BT33+IF($A34=BU$4,0,1))</f>
        <v>65</v>
      </c>
      <c r="BV34" s="2" t="n">
        <f aca="false">MIN(BV33+1,BU34+1,BU33+IF($A34=BV$4,0,1))</f>
        <v>66</v>
      </c>
      <c r="BW34" s="2" t="n">
        <f aca="false">MIN(BW33+1,BV34+1,BV33+IF($A34=BW$4,0,1))</f>
        <v>67</v>
      </c>
      <c r="BX34" s="2" t="n">
        <f aca="false">MIN(BX33+1,BW34+1,BW33+IF($A34=BX$4,0,1))</f>
        <v>68</v>
      </c>
      <c r="BY34" s="2" t="n">
        <f aca="false">MIN(BY33+1,BX34+1,BX33+IF($A34=BY$4,0,1))</f>
        <v>69</v>
      </c>
      <c r="BZ34" s="2" t="n">
        <f aca="false">MIN(BZ33+1,BY34+1,BY33+IF($A34=BZ$4,0,1))</f>
        <v>70</v>
      </c>
      <c r="CA34" s="2" t="n">
        <f aca="false">MIN(CA33+1,BZ34+1,BZ33+IF($A34=CA$4,0,1))</f>
        <v>71</v>
      </c>
      <c r="CB34" s="2" t="n">
        <f aca="false">MIN(CB33+1,CA34+1,CA33+IF($A34=CB$4,0,1))</f>
        <v>72</v>
      </c>
      <c r="CC34" s="2" t="n">
        <f aca="false">MIN(CC33+1,CB34+1,CB33+IF($A34=CC$4,0,1))</f>
        <v>73</v>
      </c>
      <c r="CD34" s="2" t="n">
        <f aca="false">MIN(CD33+1,CC34+1,CC33+IF($A34=CD$4,0,1))</f>
        <v>74</v>
      </c>
      <c r="CE34" s="2" t="n">
        <f aca="false">MIN(CE33+1,CD34+1,CD33+IF($A34=CE$4,0,1))</f>
        <v>75</v>
      </c>
      <c r="CF34" s="2" t="n">
        <f aca="false">MIN(CF33+1,CE34+1,CE33+IF($A34=CF$4,0,1))</f>
        <v>76</v>
      </c>
      <c r="CG34" s="2" t="n">
        <f aca="false">MIN(CG33+1,CF34+1,CF33+IF($A34=CG$4,0,1))</f>
        <v>77</v>
      </c>
      <c r="CH34" s="2" t="n">
        <f aca="false">MIN(CH33+1,CG34+1,CG33+IF($A34=CH$4,0,1))</f>
        <v>78</v>
      </c>
      <c r="CI34" s="2" t="n">
        <f aca="false">MIN(CI33+1,CH34+1,CH33+IF($A34=CI$4,0,1))</f>
        <v>79</v>
      </c>
      <c r="CJ34" s="2" t="n">
        <f aca="false">MIN(CJ33+1,CI34+1,CI33+IF($A34=CJ$4,0,1))</f>
        <v>80</v>
      </c>
      <c r="CK34" s="2" t="n">
        <f aca="false">MIN(CK33+1,CJ34+1,CJ33+IF($A34=CK$4,0,1))</f>
        <v>81</v>
      </c>
      <c r="CL34" s="2" t="n">
        <f aca="false">MIN(CL33+1,CK34+1,CK33+IF($A34=CL$4,0,1))</f>
        <v>82</v>
      </c>
      <c r="CM34" s="2" t="n">
        <f aca="false">MIN(CM33+1,CL34+1,CL33+IF($A34=CM$4,0,1))</f>
        <v>83</v>
      </c>
      <c r="CN34" s="2" t="n">
        <f aca="false">MIN(CN33+1,CM34+1,CM33+IF($A34=CN$4,0,1))</f>
        <v>84</v>
      </c>
      <c r="CO34" s="2" t="n">
        <f aca="false">MIN(CO33+1,CN34+1,CN33+IF($A34=CO$4,0,1))</f>
        <v>85</v>
      </c>
      <c r="CP34" s="2" t="n">
        <f aca="false">MIN(CP33+1,CO34+1,CO33+IF($A34=CP$4,0,1))</f>
        <v>86</v>
      </c>
      <c r="CQ34" s="2" t="n">
        <f aca="false">MIN(CQ33+1,CP34+1,CP33+IF($A34=CQ$4,0,1))</f>
        <v>87</v>
      </c>
    </row>
    <row r="35" customFormat="false" ht="15" hidden="false" customHeight="false" outlineLevel="0" collapsed="false">
      <c r="A35" s="4" t="s">
        <v>67</v>
      </c>
      <c r="B35" s="12" t="n">
        <v>30</v>
      </c>
      <c r="C35" s="2" t="n">
        <f aca="false">MIN(C34+1,B35+1,B34+IF($A35=C$4,0,1))</f>
        <v>30</v>
      </c>
      <c r="D35" s="2" t="n">
        <f aca="false">MIN(D34+1,C35+1,C34+IF($A35=D$4,0,1))</f>
        <v>29</v>
      </c>
      <c r="E35" s="2" t="n">
        <f aca="false">MIN(E34+1,D35+1,D34+IF($A35=E$4,0,1))</f>
        <v>28</v>
      </c>
      <c r="F35" s="2" t="n">
        <f aca="false">MIN(F34+1,E35+1,E34+IF($A35=F$4,0,1))</f>
        <v>27</v>
      </c>
      <c r="G35" s="2" t="n">
        <f aca="false">MIN(G34+1,F35+1,F34+IF($A35=G$4,0,1))</f>
        <v>27</v>
      </c>
      <c r="H35" s="2" t="n">
        <f aca="false">MIN(H34+1,G35+1,G34+IF($A35=H$4,0,1))</f>
        <v>27</v>
      </c>
      <c r="I35" s="2" t="n">
        <f aca="false">MIN(I34+1,H35+1,H34+IF($A35=I$4,0,1))</f>
        <v>27</v>
      </c>
      <c r="J35" s="2" t="n">
        <f aca="false">MIN(J34+1,I35+1,I34+IF($A35=J$4,0,1))</f>
        <v>28</v>
      </c>
      <c r="K35" s="2" t="n">
        <f aca="false">MIN(K34+1,J35+1,J34+IF($A35=K$4,0,1))</f>
        <v>27</v>
      </c>
      <c r="L35" s="2" t="n">
        <f aca="false">MIN(L34+1,K35+1,K34+IF($A35=L$4,0,1))</f>
        <v>27</v>
      </c>
      <c r="M35" s="2" t="n">
        <f aca="false">MIN(M34+1,L35+1,L34+IF($A35=M$4,0,1))</f>
        <v>27</v>
      </c>
      <c r="N35" s="2" t="n">
        <f aca="false">MIN(N34+1,M35+1,M34+IF($A35=N$4,0,1))</f>
        <v>27</v>
      </c>
      <c r="O35" s="2" t="n">
        <f aca="false">MIN(O34+1,N35+1,N34+IF($A35=O$4,0,1))</f>
        <v>26</v>
      </c>
      <c r="P35" s="2" t="n">
        <f aca="false">MIN(P34+1,O35+1,O34+IF($A35=P$4,0,1))</f>
        <v>26</v>
      </c>
      <c r="Q35" s="2" t="n">
        <f aca="false">MIN(Q34+1,P35+1,P34+IF($A35=Q$4,0,1))</f>
        <v>27</v>
      </c>
      <c r="R35" s="2" t="n">
        <f aca="false">MIN(R34+1,Q35+1,Q34+IF($A35=R$4,0,1))</f>
        <v>27</v>
      </c>
      <c r="S35" s="2" t="n">
        <f aca="false">MIN(S34+1,R35+1,R34+IF($A35=S$4,0,1))</f>
        <v>27</v>
      </c>
      <c r="T35" s="2" t="n">
        <f aca="false">MIN(T34+1,S35+1,S34+IF($A35=T$4,0,1))</f>
        <v>27</v>
      </c>
      <c r="U35" s="2" t="n">
        <f aca="false">MIN(U34+1,T35+1,T34+IF($A35=U$4,0,1))</f>
        <v>27</v>
      </c>
      <c r="V35" s="2" t="n">
        <f aca="false">MIN(V34+1,U35+1,U34+IF($A35=V$4,0,1))</f>
        <v>27</v>
      </c>
      <c r="W35" s="2" t="n">
        <f aca="false">MIN(W34+1,V35+1,V34+IF($A35=W$4,0,1))</f>
        <v>27</v>
      </c>
      <c r="X35" s="2" t="n">
        <f aca="false">MIN(X34+1,W35+1,W34+IF($A35=X$4,0,1))</f>
        <v>27</v>
      </c>
      <c r="Y35" s="2" t="n">
        <f aca="false">MIN(Y34+1,X35+1,X34+IF($A35=Y$4,0,1))</f>
        <v>27</v>
      </c>
      <c r="Z35" s="2" t="n">
        <f aca="false">MIN(Z34+1,Y35+1,Y34+IF($A35=Z$4,0,1))</f>
        <v>27</v>
      </c>
      <c r="AA35" s="2" t="n">
        <f aca="false">MIN(AA34+1,Z35+1,Z34+IF($A35=AA$4,0,1))</f>
        <v>27</v>
      </c>
      <c r="AB35" s="2" t="n">
        <f aca="false">MIN(AB34+1,AA35+1,AA34+IF($A35=AB$4,0,1))</f>
        <v>27</v>
      </c>
      <c r="AC35" s="2" t="n">
        <f aca="false">MIN(AC34+1,AB35+1,AB34+IF($A35=AC$4,0,1))</f>
        <v>27</v>
      </c>
      <c r="AD35" s="2" t="n">
        <f aca="false">MIN(AD34+1,AC35+1,AC34+IF($A35=AD$4,0,1))</f>
        <v>27</v>
      </c>
      <c r="AE35" s="2" t="n">
        <f aca="false">MIN(AE34+1,AD35+1,AD34+IF($A35=AE$4,0,1))</f>
        <v>28</v>
      </c>
      <c r="AF35" s="2" t="n">
        <f aca="false">MIN(AF34+1,AE35+1,AE34+IF($A35=AF$4,0,1))</f>
        <v>28</v>
      </c>
      <c r="AG35" s="2" t="n">
        <f aca="false">MIN(AG34+1,AF35+1,AF34+IF($A35=AG$4,0,1))</f>
        <v>28</v>
      </c>
      <c r="AH35" s="2" t="n">
        <f aca="false">MIN(AH34+1,AG35+1,AG34+IF($A35=AH$4,0,1))</f>
        <v>28</v>
      </c>
      <c r="AI35" s="2" t="n">
        <f aca="false">MIN(AI34+1,AH35+1,AH34+IF($A35=AI$4,0,1))</f>
        <v>29</v>
      </c>
      <c r="AJ35" s="2" t="n">
        <f aca="false">MIN(AJ34+1,AI35+1,AI34+IF($A35=AJ$4,0,1))</f>
        <v>30</v>
      </c>
      <c r="AK35" s="2" t="n">
        <f aca="false">MIN(AK34+1,AJ35+1,AJ34+IF($A35=AK$4,0,1))</f>
        <v>31</v>
      </c>
      <c r="AL35" s="2" t="n">
        <f aca="false">MIN(AL34+1,AK35+1,AK34+IF($A35=AL$4,0,1))</f>
        <v>32</v>
      </c>
      <c r="AM35" s="2" t="n">
        <f aca="false">MIN(AM34+1,AL35+1,AL34+IF($A35=AM$4,0,1))</f>
        <v>33</v>
      </c>
      <c r="AN35" s="2" t="n">
        <f aca="false">MIN(AN34+1,AM35+1,AM34+IF($A35=AN$4,0,1))</f>
        <v>34</v>
      </c>
      <c r="AO35" s="2" t="n">
        <f aca="false">MIN(AO34+1,AN35+1,AN34+IF($A35=AO$4,0,1))</f>
        <v>35</v>
      </c>
      <c r="AP35" s="2" t="n">
        <f aca="false">MIN(AP34+1,AO35+1,AO34+IF($A35=AP$4,0,1))</f>
        <v>36</v>
      </c>
      <c r="AQ35" s="2" t="n">
        <f aca="false">MIN(AQ34+1,AP35+1,AP34+IF($A35=AQ$4,0,1))</f>
        <v>37</v>
      </c>
      <c r="AR35" s="2" t="n">
        <f aca="false">MIN(AR34+1,AQ35+1,AQ34+IF($A35=AR$4,0,1))</f>
        <v>38</v>
      </c>
      <c r="AS35" s="2" t="n">
        <f aca="false">MIN(AS34+1,AR35+1,AR34+IF($A35=AS$4,0,1))</f>
        <v>39</v>
      </c>
      <c r="AT35" s="2" t="n">
        <f aca="false">MIN(AT34+1,AS35+1,AS34+IF($A35=AT$4,0,1))</f>
        <v>40</v>
      </c>
      <c r="AU35" s="2" t="n">
        <f aca="false">MIN(AU34+1,AT35+1,AT34+IF($A35=AU$4,0,1))</f>
        <v>41</v>
      </c>
      <c r="AV35" s="2" t="n">
        <f aca="false">MIN(AV34+1,AU35+1,AU34+IF($A35=AV$4,0,1))</f>
        <v>42</v>
      </c>
      <c r="AW35" s="2" t="n">
        <f aca="false">MIN(AW34+1,AV35+1,AV34+IF($A35=AW$4,0,1))</f>
        <v>43</v>
      </c>
      <c r="AX35" s="2" t="n">
        <f aca="false">MIN(AX34+1,AW35+1,AW34+IF($A35=AX$4,0,1))</f>
        <v>43</v>
      </c>
      <c r="AY35" s="2" t="n">
        <f aca="false">MIN(AY34+1,AX35+1,AX34+IF($A35=AY$4,0,1))</f>
        <v>44</v>
      </c>
      <c r="AZ35" s="2" t="n">
        <f aca="false">MIN(AZ34+1,AY35+1,AY34+IF($A35=AZ$4,0,1))</f>
        <v>45</v>
      </c>
      <c r="BA35" s="2" t="n">
        <f aca="false">MIN(BA34+1,AZ35+1,AZ34+IF($A35=BA$4,0,1))</f>
        <v>46</v>
      </c>
      <c r="BB35" s="2" t="n">
        <f aca="false">MIN(BB34+1,BA35+1,BA34+IF($A35=BB$4,0,1))</f>
        <v>47</v>
      </c>
      <c r="BC35" s="2" t="n">
        <f aca="false">MIN(BC34+1,BB35+1,BB34+IF($A35=BC$4,0,1))</f>
        <v>48</v>
      </c>
      <c r="BD35" s="2" t="n">
        <f aca="false">MIN(BD34+1,BC35+1,BC34+IF($A35=BD$4,0,1))</f>
        <v>49</v>
      </c>
      <c r="BE35" s="2" t="n">
        <f aca="false">MIN(BE34+1,BD35+1,BD34+IF($A35=BE$4,0,1))</f>
        <v>50</v>
      </c>
      <c r="BF35" s="2" t="n">
        <f aca="false">MIN(BF34+1,BE35+1,BE34+IF($A35=BF$4,0,1))</f>
        <v>51</v>
      </c>
      <c r="BG35" s="2" t="n">
        <f aca="false">MIN(BG34+1,BF35+1,BF34+IF($A35=BG$4,0,1))</f>
        <v>52</v>
      </c>
      <c r="BH35" s="2" t="n">
        <f aca="false">MIN(BH34+1,BG35+1,BG34+IF($A35=BH$4,0,1))</f>
        <v>53</v>
      </c>
      <c r="BI35" s="2" t="n">
        <f aca="false">MIN(BI34+1,BH35+1,BH34+IF($A35=BI$4,0,1))</f>
        <v>54</v>
      </c>
      <c r="BJ35" s="2" t="n">
        <f aca="false">MIN(BJ34+1,BI35+1,BI34+IF($A35=BJ$4,0,1))</f>
        <v>55</v>
      </c>
      <c r="BK35" s="2" t="n">
        <f aca="false">MIN(BK34+1,BJ35+1,BJ34+IF($A35=BK$4,0,1))</f>
        <v>56</v>
      </c>
      <c r="BL35" s="2" t="n">
        <f aca="false">MIN(BL34+1,BK35+1,BK34+IF($A35=BL$4,0,1))</f>
        <v>57</v>
      </c>
      <c r="BM35" s="2" t="n">
        <f aca="false">MIN(BM34+1,BL35+1,BL34+IF($A35=BM$4,0,1))</f>
        <v>57</v>
      </c>
      <c r="BN35" s="2" t="n">
        <f aca="false">MIN(BN34+1,BM35+1,BM34+IF($A35=BN$4,0,1))</f>
        <v>58</v>
      </c>
      <c r="BO35" s="2" t="n">
        <f aca="false">MIN(BO34+1,BN35+1,BN34+IF($A35=BO$4,0,1))</f>
        <v>59</v>
      </c>
      <c r="BP35" s="2" t="n">
        <f aca="false">MIN(BP34+1,BO35+1,BO34+IF($A35=BP$4,0,1))</f>
        <v>60</v>
      </c>
      <c r="BQ35" s="2" t="n">
        <f aca="false">MIN(BQ34+1,BP35+1,BP34+IF($A35=BQ$4,0,1))</f>
        <v>61</v>
      </c>
      <c r="BR35" s="2" t="n">
        <f aca="false">MIN(BR34+1,BQ35+1,BQ34+IF($A35=BR$4,0,1))</f>
        <v>62</v>
      </c>
      <c r="BS35" s="2" t="n">
        <f aca="false">MIN(BS34+1,BR35+1,BR34+IF($A35=BS$4,0,1))</f>
        <v>63</v>
      </c>
      <c r="BT35" s="2" t="n">
        <f aca="false">MIN(BT34+1,BS35+1,BS34+IF($A35=BT$4,0,1))</f>
        <v>64</v>
      </c>
      <c r="BU35" s="2" t="n">
        <f aca="false">MIN(BU34+1,BT35+1,BT34+IF($A35=BU$4,0,1))</f>
        <v>65</v>
      </c>
      <c r="BV35" s="2" t="n">
        <f aca="false">MIN(BV34+1,BU35+1,BU34+IF($A35=BV$4,0,1))</f>
        <v>66</v>
      </c>
      <c r="BW35" s="2" t="n">
        <f aca="false">MIN(BW34+1,BV35+1,BV34+IF($A35=BW$4,0,1))</f>
        <v>67</v>
      </c>
      <c r="BX35" s="2" t="n">
        <f aca="false">MIN(BX34+1,BW35+1,BW34+IF($A35=BX$4,0,1))</f>
        <v>68</v>
      </c>
      <c r="BY35" s="2" t="n">
        <f aca="false">MIN(BY34+1,BX35+1,BX34+IF($A35=BY$4,0,1))</f>
        <v>69</v>
      </c>
      <c r="BZ35" s="2" t="n">
        <f aca="false">MIN(BZ34+1,BY35+1,BY34+IF($A35=BZ$4,0,1))</f>
        <v>70</v>
      </c>
      <c r="CA35" s="2" t="n">
        <f aca="false">MIN(CA34+1,BZ35+1,BZ34+IF($A35=CA$4,0,1))</f>
        <v>71</v>
      </c>
      <c r="CB35" s="2" t="n">
        <f aca="false">MIN(CB34+1,CA35+1,CA34+IF($A35=CB$4,0,1))</f>
        <v>72</v>
      </c>
      <c r="CC35" s="2" t="n">
        <f aca="false">MIN(CC34+1,CB35+1,CB34+IF($A35=CC$4,0,1))</f>
        <v>73</v>
      </c>
      <c r="CD35" s="2" t="n">
        <f aca="false">MIN(CD34+1,CC35+1,CC34+IF($A35=CD$4,0,1))</f>
        <v>74</v>
      </c>
      <c r="CE35" s="2" t="n">
        <f aca="false">MIN(CE34+1,CD35+1,CD34+IF($A35=CE$4,0,1))</f>
        <v>75</v>
      </c>
      <c r="CF35" s="2" t="n">
        <f aca="false">MIN(CF34+1,CE35+1,CE34+IF($A35=CF$4,0,1))</f>
        <v>76</v>
      </c>
      <c r="CG35" s="2" t="n">
        <f aca="false">MIN(CG34+1,CF35+1,CF34+IF($A35=CG$4,0,1))</f>
        <v>77</v>
      </c>
      <c r="CH35" s="2" t="n">
        <f aca="false">MIN(CH34+1,CG35+1,CG34+IF($A35=CH$4,0,1))</f>
        <v>78</v>
      </c>
      <c r="CI35" s="2" t="n">
        <f aca="false">MIN(CI34+1,CH35+1,CH34+IF($A35=CI$4,0,1))</f>
        <v>79</v>
      </c>
      <c r="CJ35" s="2" t="n">
        <f aca="false">MIN(CJ34+1,CI35+1,CI34+IF($A35=CJ$4,0,1))</f>
        <v>80</v>
      </c>
      <c r="CK35" s="2" t="n">
        <f aca="false">MIN(CK34+1,CJ35+1,CJ34+IF($A35=CK$4,0,1))</f>
        <v>81</v>
      </c>
      <c r="CL35" s="2" t="n">
        <f aca="false">MIN(CL34+1,CK35+1,CK34+IF($A35=CL$4,0,1))</f>
        <v>82</v>
      </c>
      <c r="CM35" s="2" t="n">
        <f aca="false">MIN(CM34+1,CL35+1,CL34+IF($A35=CM$4,0,1))</f>
        <v>83</v>
      </c>
      <c r="CN35" s="2" t="n">
        <f aca="false">MIN(CN34+1,CM35+1,CM34+IF($A35=CN$4,0,1))</f>
        <v>84</v>
      </c>
      <c r="CO35" s="2" t="n">
        <f aca="false">MIN(CO34+1,CN35+1,CN34+IF($A35=CO$4,0,1))</f>
        <v>85</v>
      </c>
      <c r="CP35" s="2" t="n">
        <f aca="false">MIN(CP34+1,CO35+1,CO34+IF($A35=CP$4,0,1))</f>
        <v>86</v>
      </c>
      <c r="CQ35" s="2" t="n">
        <f aca="false">MIN(CQ34+1,CP35+1,CP34+IF($A35=CQ$4,0,1))</f>
        <v>87</v>
      </c>
    </row>
    <row r="36" customFormat="false" ht="15" hidden="false" customHeight="false" outlineLevel="0" collapsed="false">
      <c r="A36" s="4" t="s">
        <v>92</v>
      </c>
      <c r="B36" s="12" t="n">
        <v>31</v>
      </c>
      <c r="C36" s="2" t="n">
        <f aca="false">MIN(C35+1,B36+1,B35+IF($A36=C$4,0,1))</f>
        <v>31</v>
      </c>
      <c r="D36" s="2" t="n">
        <f aca="false">MIN(D35+1,C36+1,C35+IF($A36=D$4,0,1))</f>
        <v>30</v>
      </c>
      <c r="E36" s="2" t="n">
        <f aca="false">MIN(E35+1,D36+1,D35+IF($A36=E$4,0,1))</f>
        <v>29</v>
      </c>
      <c r="F36" s="2" t="n">
        <f aca="false">MIN(F35+1,E36+1,E35+IF($A36=F$4,0,1))</f>
        <v>28</v>
      </c>
      <c r="G36" s="2" t="n">
        <f aca="false">MIN(G35+1,F36+1,F35+IF($A36=G$4,0,1))</f>
        <v>28</v>
      </c>
      <c r="H36" s="2" t="n">
        <f aca="false">MIN(H35+1,G36+1,G35+IF($A36=H$4,0,1))</f>
        <v>28</v>
      </c>
      <c r="I36" s="2" t="n">
        <f aca="false">MIN(I35+1,H36+1,H35+IF($A36=I$4,0,1))</f>
        <v>28</v>
      </c>
      <c r="J36" s="2" t="n">
        <f aca="false">MIN(J35+1,I36+1,I35+IF($A36=J$4,0,1))</f>
        <v>28</v>
      </c>
      <c r="K36" s="2" t="n">
        <f aca="false">MIN(K35+1,J36+1,J35+IF($A36=K$4,0,1))</f>
        <v>28</v>
      </c>
      <c r="L36" s="2" t="n">
        <f aca="false">MIN(L35+1,K36+1,K35+IF($A36=L$4,0,1))</f>
        <v>28</v>
      </c>
      <c r="M36" s="2" t="n">
        <f aca="false">MIN(M35+1,L36+1,L35+IF($A36=M$4,0,1))</f>
        <v>28</v>
      </c>
      <c r="N36" s="2" t="n">
        <f aca="false">MIN(N35+1,M36+1,M35+IF($A36=N$4,0,1))</f>
        <v>27</v>
      </c>
      <c r="O36" s="2" t="n">
        <f aca="false">MIN(O35+1,N36+1,N35+IF($A36=O$4,0,1))</f>
        <v>27</v>
      </c>
      <c r="P36" s="2" t="n">
        <f aca="false">MIN(P35+1,O36+1,O35+IF($A36=P$4,0,1))</f>
        <v>27</v>
      </c>
      <c r="Q36" s="2" t="n">
        <f aca="false">MIN(Q35+1,P36+1,P35+IF($A36=Q$4,0,1))</f>
        <v>27</v>
      </c>
      <c r="R36" s="2" t="n">
        <f aca="false">MIN(R35+1,Q36+1,Q35+IF($A36=R$4,0,1))</f>
        <v>28</v>
      </c>
      <c r="S36" s="2" t="n">
        <f aca="false">MIN(S35+1,R36+1,R35+IF($A36=S$4,0,1))</f>
        <v>28</v>
      </c>
      <c r="T36" s="2" t="n">
        <f aca="false">MIN(T35+1,S36+1,S35+IF($A36=T$4,0,1))</f>
        <v>28</v>
      </c>
      <c r="U36" s="2" t="n">
        <f aca="false">MIN(U35+1,T36+1,T35+IF($A36=U$4,0,1))</f>
        <v>28</v>
      </c>
      <c r="V36" s="2" t="n">
        <f aca="false">MIN(V35+1,U36+1,U35+IF($A36=V$4,0,1))</f>
        <v>28</v>
      </c>
      <c r="W36" s="2" t="n">
        <f aca="false">MIN(W35+1,V36+1,V35+IF($A36=W$4,0,1))</f>
        <v>28</v>
      </c>
      <c r="X36" s="2" t="n">
        <f aca="false">MIN(X35+1,W36+1,W35+IF($A36=X$4,0,1))</f>
        <v>28</v>
      </c>
      <c r="Y36" s="2" t="n">
        <f aca="false">MIN(Y35+1,X36+1,X35+IF($A36=Y$4,0,1))</f>
        <v>28</v>
      </c>
      <c r="Z36" s="2" t="n">
        <f aca="false">MIN(Z35+1,Y36+1,Y35+IF($A36=Z$4,0,1))</f>
        <v>28</v>
      </c>
      <c r="AA36" s="2" t="n">
        <f aca="false">MIN(AA35+1,Z36+1,Z35+IF($A36=AA$4,0,1))</f>
        <v>28</v>
      </c>
      <c r="AB36" s="2" t="n">
        <f aca="false">MIN(AB35+1,AA36+1,AA35+IF($A36=AB$4,0,1))</f>
        <v>28</v>
      </c>
      <c r="AC36" s="2" t="n">
        <f aca="false">MIN(AC35+1,AB36+1,AB35+IF($A36=AC$4,0,1))</f>
        <v>28</v>
      </c>
      <c r="AD36" s="2" t="n">
        <f aca="false">MIN(AD35+1,AC36+1,AC35+IF($A36=AD$4,0,1))</f>
        <v>28</v>
      </c>
      <c r="AE36" s="2" t="n">
        <f aca="false">MIN(AE35+1,AD36+1,AD35+IF($A36=AE$4,0,1))</f>
        <v>28</v>
      </c>
      <c r="AF36" s="2" t="n">
        <f aca="false">MIN(AF35+1,AE36+1,AE35+IF($A36=AF$4,0,1))</f>
        <v>29</v>
      </c>
      <c r="AG36" s="2" t="n">
        <f aca="false">MIN(AG35+1,AF36+1,AF35+IF($A36=AG$4,0,1))</f>
        <v>29</v>
      </c>
      <c r="AH36" s="2" t="n">
        <f aca="false">MIN(AH35+1,AG36+1,AG35+IF($A36=AH$4,0,1))</f>
        <v>29</v>
      </c>
      <c r="AI36" s="2" t="n">
        <f aca="false">MIN(AI35+1,AH36+1,AH35+IF($A36=AI$4,0,1))</f>
        <v>29</v>
      </c>
      <c r="AJ36" s="2" t="n">
        <f aca="false">MIN(AJ35+1,AI36+1,AI35+IF($A36=AJ$4,0,1))</f>
        <v>30</v>
      </c>
      <c r="AK36" s="2" t="n">
        <f aca="false">MIN(AK35+1,AJ36+1,AJ35+IF($A36=AK$4,0,1))</f>
        <v>31</v>
      </c>
      <c r="AL36" s="2" t="n">
        <f aca="false">MIN(AL35+1,AK36+1,AK35+IF($A36=AL$4,0,1))</f>
        <v>32</v>
      </c>
      <c r="AM36" s="2" t="n">
        <f aca="false">MIN(AM35+1,AL36+1,AL35+IF($A36=AM$4,0,1))</f>
        <v>33</v>
      </c>
      <c r="AN36" s="2" t="n">
        <f aca="false">MIN(AN35+1,AM36+1,AM35+IF($A36=AN$4,0,1))</f>
        <v>34</v>
      </c>
      <c r="AO36" s="2" t="n">
        <f aca="false">MIN(AO35+1,AN36+1,AN35+IF($A36=AO$4,0,1))</f>
        <v>35</v>
      </c>
      <c r="AP36" s="2" t="n">
        <f aca="false">MIN(AP35+1,AO36+1,AO35+IF($A36=AP$4,0,1))</f>
        <v>36</v>
      </c>
      <c r="AQ36" s="2" t="n">
        <f aca="false">MIN(AQ35+1,AP36+1,AP35+IF($A36=AQ$4,0,1))</f>
        <v>37</v>
      </c>
      <c r="AR36" s="2" t="n">
        <f aca="false">MIN(AR35+1,AQ36+1,AQ35+IF($A36=AR$4,0,1))</f>
        <v>38</v>
      </c>
      <c r="AS36" s="2" t="n">
        <f aca="false">MIN(AS35+1,AR36+1,AR35+IF($A36=AS$4,0,1))</f>
        <v>39</v>
      </c>
      <c r="AT36" s="2" t="n">
        <f aca="false">MIN(AT35+1,AS36+1,AS35+IF($A36=AT$4,0,1))</f>
        <v>40</v>
      </c>
      <c r="AU36" s="2" t="n">
        <f aca="false">MIN(AU35+1,AT36+1,AT35+IF($A36=AU$4,0,1))</f>
        <v>41</v>
      </c>
      <c r="AV36" s="2" t="n">
        <f aca="false">MIN(AV35+1,AU36+1,AU35+IF($A36=AV$4,0,1))</f>
        <v>42</v>
      </c>
      <c r="AW36" s="2" t="n">
        <f aca="false">MIN(AW35+1,AV36+1,AV35+IF($A36=AW$4,0,1))</f>
        <v>43</v>
      </c>
      <c r="AX36" s="2" t="n">
        <f aca="false">MIN(AX35+1,AW36+1,AW35+IF($A36=AX$4,0,1))</f>
        <v>44</v>
      </c>
      <c r="AY36" s="2" t="n">
        <f aca="false">MIN(AY35+1,AX36+1,AX35+IF($A36=AY$4,0,1))</f>
        <v>44</v>
      </c>
      <c r="AZ36" s="2" t="n">
        <f aca="false">MIN(AZ35+1,AY36+1,AY35+IF($A36=AZ$4,0,1))</f>
        <v>45</v>
      </c>
      <c r="BA36" s="2" t="n">
        <f aca="false">MIN(BA35+1,AZ36+1,AZ35+IF($A36=BA$4,0,1))</f>
        <v>46</v>
      </c>
      <c r="BB36" s="2" t="n">
        <f aca="false">MIN(BB35+1,BA36+1,BA35+IF($A36=BB$4,0,1))</f>
        <v>47</v>
      </c>
      <c r="BC36" s="2" t="n">
        <f aca="false">MIN(BC35+1,BB36+1,BB35+IF($A36=BC$4,0,1))</f>
        <v>48</v>
      </c>
      <c r="BD36" s="2" t="n">
        <f aca="false">MIN(BD35+1,BC36+1,BC35+IF($A36=BD$4,0,1))</f>
        <v>49</v>
      </c>
      <c r="BE36" s="2" t="n">
        <f aca="false">MIN(BE35+1,BD36+1,BD35+IF($A36=BE$4,0,1))</f>
        <v>50</v>
      </c>
      <c r="BF36" s="2" t="n">
        <f aca="false">MIN(BF35+1,BE36+1,BE35+IF($A36=BF$4,0,1))</f>
        <v>51</v>
      </c>
      <c r="BG36" s="2" t="n">
        <f aca="false">MIN(BG35+1,BF36+1,BF35+IF($A36=BG$4,0,1))</f>
        <v>52</v>
      </c>
      <c r="BH36" s="2" t="n">
        <f aca="false">MIN(BH35+1,BG36+1,BG35+IF($A36=BH$4,0,1))</f>
        <v>53</v>
      </c>
      <c r="BI36" s="2" t="n">
        <f aca="false">MIN(BI35+1,BH36+1,BH35+IF($A36=BI$4,0,1))</f>
        <v>53</v>
      </c>
      <c r="BJ36" s="2" t="n">
        <f aca="false">MIN(BJ35+1,BI36+1,BI35+IF($A36=BJ$4,0,1))</f>
        <v>54</v>
      </c>
      <c r="BK36" s="2" t="n">
        <f aca="false">MIN(BK35+1,BJ36+1,BJ35+IF($A36=BK$4,0,1))</f>
        <v>55</v>
      </c>
      <c r="BL36" s="2" t="n">
        <f aca="false">MIN(BL35+1,BK36+1,BK35+IF($A36=BL$4,0,1))</f>
        <v>56</v>
      </c>
      <c r="BM36" s="2" t="n">
        <f aca="false">MIN(BM35+1,BL36+1,BL35+IF($A36=BM$4,0,1))</f>
        <v>57</v>
      </c>
      <c r="BN36" s="2" t="n">
        <f aca="false">MIN(BN35+1,BM36+1,BM35+IF($A36=BN$4,0,1))</f>
        <v>58</v>
      </c>
      <c r="BO36" s="2" t="n">
        <f aca="false">MIN(BO35+1,BN36+1,BN35+IF($A36=BO$4,0,1))</f>
        <v>59</v>
      </c>
      <c r="BP36" s="2" t="n">
        <f aca="false">MIN(BP35+1,BO36+1,BO35+IF($A36=BP$4,0,1))</f>
        <v>60</v>
      </c>
      <c r="BQ36" s="2" t="n">
        <f aca="false">MIN(BQ35+1,BP36+1,BP35+IF($A36=BQ$4,0,1))</f>
        <v>61</v>
      </c>
      <c r="BR36" s="2" t="n">
        <f aca="false">MIN(BR35+1,BQ36+1,BQ35+IF($A36=BR$4,0,1))</f>
        <v>62</v>
      </c>
      <c r="BS36" s="2" t="n">
        <f aca="false">MIN(BS35+1,BR36+1,BR35+IF($A36=BS$4,0,1))</f>
        <v>63</v>
      </c>
      <c r="BT36" s="2" t="n">
        <f aca="false">MIN(BT35+1,BS36+1,BS35+IF($A36=BT$4,0,1))</f>
        <v>64</v>
      </c>
      <c r="BU36" s="2" t="n">
        <f aca="false">MIN(BU35+1,BT36+1,BT35+IF($A36=BU$4,0,1))</f>
        <v>65</v>
      </c>
      <c r="BV36" s="2" t="n">
        <f aca="false">MIN(BV35+1,BU36+1,BU35+IF($A36=BV$4,0,1))</f>
        <v>66</v>
      </c>
      <c r="BW36" s="2" t="n">
        <f aca="false">MIN(BW35+1,BV36+1,BV35+IF($A36=BW$4,0,1))</f>
        <v>67</v>
      </c>
      <c r="BX36" s="2" t="n">
        <f aca="false">MIN(BX35+1,BW36+1,BW35+IF($A36=BX$4,0,1))</f>
        <v>68</v>
      </c>
      <c r="BY36" s="2" t="n">
        <f aca="false">MIN(BY35+1,BX36+1,BX35+IF($A36=BY$4,0,1))</f>
        <v>69</v>
      </c>
      <c r="BZ36" s="2" t="n">
        <f aca="false">MIN(BZ35+1,BY36+1,BY35+IF($A36=BZ$4,0,1))</f>
        <v>70</v>
      </c>
      <c r="CA36" s="2" t="n">
        <f aca="false">MIN(CA35+1,BZ36+1,BZ35+IF($A36=CA$4,0,1))</f>
        <v>71</v>
      </c>
      <c r="CB36" s="2" t="n">
        <f aca="false">MIN(CB35+1,CA36+1,CA35+IF($A36=CB$4,0,1))</f>
        <v>72</v>
      </c>
      <c r="CC36" s="2" t="n">
        <f aca="false">MIN(CC35+1,CB36+1,CB35+IF($A36=CC$4,0,1))</f>
        <v>73</v>
      </c>
      <c r="CD36" s="2" t="n">
        <f aca="false">MIN(CD35+1,CC36+1,CC35+IF($A36=CD$4,0,1))</f>
        <v>74</v>
      </c>
      <c r="CE36" s="2" t="n">
        <f aca="false">MIN(CE35+1,CD36+1,CD35+IF($A36=CE$4,0,1))</f>
        <v>75</v>
      </c>
      <c r="CF36" s="2" t="n">
        <f aca="false">MIN(CF35+1,CE36+1,CE35+IF($A36=CF$4,0,1))</f>
        <v>76</v>
      </c>
      <c r="CG36" s="2" t="n">
        <f aca="false">MIN(CG35+1,CF36+1,CF35+IF($A36=CG$4,0,1))</f>
        <v>77</v>
      </c>
      <c r="CH36" s="2" t="n">
        <f aca="false">MIN(CH35+1,CG36+1,CG35+IF($A36=CH$4,0,1))</f>
        <v>78</v>
      </c>
      <c r="CI36" s="2" t="n">
        <f aca="false">MIN(CI35+1,CH36+1,CH35+IF($A36=CI$4,0,1))</f>
        <v>79</v>
      </c>
      <c r="CJ36" s="2" t="n">
        <f aca="false">MIN(CJ35+1,CI36+1,CI35+IF($A36=CJ$4,0,1))</f>
        <v>80</v>
      </c>
      <c r="CK36" s="2" t="n">
        <f aca="false">MIN(CK35+1,CJ36+1,CJ35+IF($A36=CK$4,0,1))</f>
        <v>81</v>
      </c>
      <c r="CL36" s="2" t="n">
        <f aca="false">MIN(CL35+1,CK36+1,CK35+IF($A36=CL$4,0,1))</f>
        <v>82</v>
      </c>
      <c r="CM36" s="2" t="n">
        <f aca="false">MIN(CM35+1,CL36+1,CL35+IF($A36=CM$4,0,1))</f>
        <v>83</v>
      </c>
      <c r="CN36" s="2" t="n">
        <f aca="false">MIN(CN35+1,CM36+1,CM35+IF($A36=CN$4,0,1))</f>
        <v>84</v>
      </c>
      <c r="CO36" s="2" t="n">
        <f aca="false">MIN(CO35+1,CN36+1,CN35+IF($A36=CO$4,0,1))</f>
        <v>85</v>
      </c>
      <c r="CP36" s="2" t="n">
        <f aca="false">MIN(CP35+1,CO36+1,CO35+IF($A36=CP$4,0,1))</f>
        <v>86</v>
      </c>
      <c r="CQ36" s="2" t="n">
        <f aca="false">MIN(CQ35+1,CP36+1,CP35+IF($A36=CQ$4,0,1))</f>
        <v>87</v>
      </c>
    </row>
    <row r="37" customFormat="false" ht="15" hidden="false" customHeight="false" outlineLevel="0" collapsed="false">
      <c r="A37" s="4" t="s">
        <v>163</v>
      </c>
      <c r="B37" s="12" t="n">
        <v>32</v>
      </c>
      <c r="C37" s="2" t="n">
        <f aca="false">MIN(C36+1,B37+1,B36+IF($A37=C$4,0,1))</f>
        <v>32</v>
      </c>
      <c r="D37" s="2" t="n">
        <f aca="false">MIN(D36+1,C37+1,C36+IF($A37=D$4,0,1))</f>
        <v>31</v>
      </c>
      <c r="E37" s="2" t="n">
        <f aca="false">MIN(E36+1,D37+1,D36+IF($A37=E$4,0,1))</f>
        <v>30</v>
      </c>
      <c r="F37" s="2" t="n">
        <f aca="false">MIN(F36+1,E37+1,E36+IF($A37=F$4,0,1))</f>
        <v>29</v>
      </c>
      <c r="G37" s="2" t="n">
        <f aca="false">MIN(G36+1,F37+1,F36+IF($A37=G$4,0,1))</f>
        <v>29</v>
      </c>
      <c r="H37" s="2" t="n">
        <f aca="false">MIN(H36+1,G37+1,G36+IF($A37=H$4,0,1))</f>
        <v>29</v>
      </c>
      <c r="I37" s="2" t="n">
        <f aca="false">MIN(I36+1,H37+1,H36+IF($A37=I$4,0,1))</f>
        <v>29</v>
      </c>
      <c r="J37" s="2" t="n">
        <f aca="false">MIN(J36+1,I37+1,I36+IF($A37=J$4,0,1))</f>
        <v>29</v>
      </c>
      <c r="K37" s="2" t="n">
        <f aca="false">MIN(K36+1,J37+1,J36+IF($A37=K$4,0,1))</f>
        <v>29</v>
      </c>
      <c r="L37" s="2" t="n">
        <f aca="false">MIN(L36+1,K37+1,K36+IF($A37=L$4,0,1))</f>
        <v>29</v>
      </c>
      <c r="M37" s="2" t="n">
        <f aca="false">MIN(M36+1,L37+1,L36+IF($A37=M$4,0,1))</f>
        <v>29</v>
      </c>
      <c r="N37" s="2" t="n">
        <f aca="false">MIN(N36+1,M37+1,M36+IF($A37=N$4,0,1))</f>
        <v>28</v>
      </c>
      <c r="O37" s="2" t="n">
        <f aca="false">MIN(O36+1,N37+1,N36+IF($A37=O$4,0,1))</f>
        <v>28</v>
      </c>
      <c r="P37" s="2" t="n">
        <f aca="false">MIN(P36+1,O37+1,O36+IF($A37=P$4,0,1))</f>
        <v>28</v>
      </c>
      <c r="Q37" s="2" t="n">
        <f aca="false">MIN(Q36+1,P37+1,P36+IF($A37=Q$4,0,1))</f>
        <v>28</v>
      </c>
      <c r="R37" s="2" t="n">
        <f aca="false">MIN(R36+1,Q37+1,Q36+IF($A37=R$4,0,1))</f>
        <v>28</v>
      </c>
      <c r="S37" s="2" t="n">
        <f aca="false">MIN(S36+1,R37+1,R36+IF($A37=S$4,0,1))</f>
        <v>29</v>
      </c>
      <c r="T37" s="2" t="n">
        <f aca="false">MIN(T36+1,S37+1,S36+IF($A37=T$4,0,1))</f>
        <v>29</v>
      </c>
      <c r="U37" s="2" t="n">
        <f aca="false">MIN(U36+1,T37+1,T36+IF($A37=U$4,0,1))</f>
        <v>29</v>
      </c>
      <c r="V37" s="2" t="n">
        <f aca="false">MIN(V36+1,U37+1,U36+IF($A37=V$4,0,1))</f>
        <v>29</v>
      </c>
      <c r="W37" s="2" t="n">
        <f aca="false">MIN(W36+1,V37+1,V36+IF($A37=W$4,0,1))</f>
        <v>29</v>
      </c>
      <c r="X37" s="2" t="n">
        <f aca="false">MIN(X36+1,W37+1,W36+IF($A37=X$4,0,1))</f>
        <v>29</v>
      </c>
      <c r="Y37" s="2" t="n">
        <f aca="false">MIN(Y36+1,X37+1,X36+IF($A37=Y$4,0,1))</f>
        <v>29</v>
      </c>
      <c r="Z37" s="2" t="n">
        <f aca="false">MIN(Z36+1,Y37+1,Y36+IF($A37=Z$4,0,1))</f>
        <v>29</v>
      </c>
      <c r="AA37" s="2" t="n">
        <f aca="false">MIN(AA36+1,Z37+1,Z36+IF($A37=AA$4,0,1))</f>
        <v>29</v>
      </c>
      <c r="AB37" s="2" t="n">
        <f aca="false">MIN(AB36+1,AA37+1,AA36+IF($A37=AB$4,0,1))</f>
        <v>29</v>
      </c>
      <c r="AC37" s="2" t="n">
        <f aca="false">MIN(AC36+1,AB37+1,AB36+IF($A37=AC$4,0,1))</f>
        <v>29</v>
      </c>
      <c r="AD37" s="2" t="n">
        <f aca="false">MIN(AD36+1,AC37+1,AC36+IF($A37=AD$4,0,1))</f>
        <v>29</v>
      </c>
      <c r="AE37" s="2" t="n">
        <f aca="false">MIN(AE36+1,AD37+1,AD36+IF($A37=AE$4,0,1))</f>
        <v>29</v>
      </c>
      <c r="AF37" s="2" t="n">
        <f aca="false">MIN(AF36+1,AE37+1,AE36+IF($A37=AF$4,0,1))</f>
        <v>29</v>
      </c>
      <c r="AG37" s="2" t="n">
        <f aca="false">MIN(AG36+1,AF37+1,AF36+IF($A37=AG$4,0,1))</f>
        <v>30</v>
      </c>
      <c r="AH37" s="2" t="n">
        <f aca="false">MIN(AH36+1,AG37+1,AG36+IF($A37=AH$4,0,1))</f>
        <v>30</v>
      </c>
      <c r="AI37" s="2" t="n">
        <f aca="false">MIN(AI36+1,AH37+1,AH36+IF($A37=AI$4,0,1))</f>
        <v>30</v>
      </c>
      <c r="AJ37" s="2" t="n">
        <f aca="false">MIN(AJ36+1,AI37+1,AI36+IF($A37=AJ$4,0,1))</f>
        <v>30</v>
      </c>
      <c r="AK37" s="2" t="n">
        <f aca="false">MIN(AK36+1,AJ37+1,AJ36+IF($A37=AK$4,0,1))</f>
        <v>31</v>
      </c>
      <c r="AL37" s="2" t="n">
        <f aca="false">MIN(AL36+1,AK37+1,AK36+IF($A37=AL$4,0,1))</f>
        <v>32</v>
      </c>
      <c r="AM37" s="2" t="n">
        <f aca="false">MIN(AM36+1,AL37+1,AL36+IF($A37=AM$4,0,1))</f>
        <v>33</v>
      </c>
      <c r="AN37" s="2" t="n">
        <f aca="false">MIN(AN36+1,AM37+1,AM36+IF($A37=AN$4,0,1))</f>
        <v>34</v>
      </c>
      <c r="AO37" s="2" t="n">
        <f aca="false">MIN(AO36+1,AN37+1,AN36+IF($A37=AO$4,0,1))</f>
        <v>35</v>
      </c>
      <c r="AP37" s="2" t="n">
        <f aca="false">MIN(AP36+1,AO37+1,AO36+IF($A37=AP$4,0,1))</f>
        <v>36</v>
      </c>
      <c r="AQ37" s="2" t="n">
        <f aca="false">MIN(AQ36+1,AP37+1,AP36+IF($A37=AQ$4,0,1))</f>
        <v>37</v>
      </c>
      <c r="AR37" s="2" t="n">
        <f aca="false">MIN(AR36+1,AQ37+1,AQ36+IF($A37=AR$4,0,1))</f>
        <v>38</v>
      </c>
      <c r="AS37" s="2" t="n">
        <f aca="false">MIN(AS36+1,AR37+1,AR36+IF($A37=AS$4,0,1))</f>
        <v>39</v>
      </c>
      <c r="AT37" s="2" t="n">
        <f aca="false">MIN(AT36+1,AS37+1,AS36+IF($A37=AT$4,0,1))</f>
        <v>40</v>
      </c>
      <c r="AU37" s="2" t="n">
        <f aca="false">MIN(AU36+1,AT37+1,AT36+IF($A37=AU$4,0,1))</f>
        <v>41</v>
      </c>
      <c r="AV37" s="2" t="n">
        <f aca="false">MIN(AV36+1,AU37+1,AU36+IF($A37=AV$4,0,1))</f>
        <v>42</v>
      </c>
      <c r="AW37" s="2" t="n">
        <f aca="false">MIN(AW36+1,AV37+1,AV36+IF($A37=AW$4,0,1))</f>
        <v>43</v>
      </c>
      <c r="AX37" s="2" t="n">
        <f aca="false">MIN(AX36+1,AW37+1,AW36+IF($A37=AX$4,0,1))</f>
        <v>44</v>
      </c>
      <c r="AY37" s="2" t="n">
        <f aca="false">MIN(AY36+1,AX37+1,AX36+IF($A37=AY$4,0,1))</f>
        <v>45</v>
      </c>
      <c r="AZ37" s="2" t="n">
        <f aca="false">MIN(AZ36+1,AY37+1,AY36+IF($A37=AZ$4,0,1))</f>
        <v>45</v>
      </c>
      <c r="BA37" s="2" t="n">
        <f aca="false">MIN(BA36+1,AZ37+1,AZ36+IF($A37=BA$4,0,1))</f>
        <v>46</v>
      </c>
      <c r="BB37" s="2" t="n">
        <f aca="false">MIN(BB36+1,BA37+1,BA36+IF($A37=BB$4,0,1))</f>
        <v>47</v>
      </c>
      <c r="BC37" s="2" t="n">
        <f aca="false">MIN(BC36+1,BB37+1,BB36+IF($A37=BC$4,0,1))</f>
        <v>48</v>
      </c>
      <c r="BD37" s="2" t="n">
        <f aca="false">MIN(BD36+1,BC37+1,BC36+IF($A37=BD$4,0,1))</f>
        <v>49</v>
      </c>
      <c r="BE37" s="2" t="n">
        <f aca="false">MIN(BE36+1,BD37+1,BD36+IF($A37=BE$4,0,1))</f>
        <v>50</v>
      </c>
      <c r="BF37" s="2" t="n">
        <f aca="false">MIN(BF36+1,BE37+1,BE36+IF($A37=BF$4,0,1))</f>
        <v>51</v>
      </c>
      <c r="BG37" s="2" t="n">
        <f aca="false">MIN(BG36+1,BF37+1,BF36+IF($A37=BG$4,0,1))</f>
        <v>52</v>
      </c>
      <c r="BH37" s="2" t="n">
        <f aca="false">MIN(BH36+1,BG37+1,BG36+IF($A37=BH$4,0,1))</f>
        <v>53</v>
      </c>
      <c r="BI37" s="2" t="n">
        <f aca="false">MIN(BI36+1,BH37+1,BH36+IF($A37=BI$4,0,1))</f>
        <v>54</v>
      </c>
      <c r="BJ37" s="2" t="n">
        <f aca="false">MIN(BJ36+1,BI37+1,BI36+IF($A37=BJ$4,0,1))</f>
        <v>54</v>
      </c>
      <c r="BK37" s="2" t="n">
        <f aca="false">MIN(BK36+1,BJ37+1,BJ36+IF($A37=BK$4,0,1))</f>
        <v>55</v>
      </c>
      <c r="BL37" s="2" t="n">
        <f aca="false">MIN(BL36+1,BK37+1,BK36+IF($A37=BL$4,0,1))</f>
        <v>56</v>
      </c>
      <c r="BM37" s="2" t="n">
        <f aca="false">MIN(BM36+1,BL37+1,BL36+IF($A37=BM$4,0,1))</f>
        <v>57</v>
      </c>
      <c r="BN37" s="2" t="n">
        <f aca="false">MIN(BN36+1,BM37+1,BM36+IF($A37=BN$4,0,1))</f>
        <v>58</v>
      </c>
      <c r="BO37" s="2" t="n">
        <f aca="false">MIN(BO36+1,BN37+1,BN36+IF($A37=BO$4,0,1))</f>
        <v>59</v>
      </c>
      <c r="BP37" s="2" t="n">
        <f aca="false">MIN(BP36+1,BO37+1,BO36+IF($A37=BP$4,0,1))</f>
        <v>60</v>
      </c>
      <c r="BQ37" s="2" t="n">
        <f aca="false">MIN(BQ36+1,BP37+1,BP36+IF($A37=BQ$4,0,1))</f>
        <v>61</v>
      </c>
      <c r="BR37" s="2" t="n">
        <f aca="false">MIN(BR36+1,BQ37+1,BQ36+IF($A37=BR$4,0,1))</f>
        <v>62</v>
      </c>
      <c r="BS37" s="2" t="n">
        <f aca="false">MIN(BS36+1,BR37+1,BR36+IF($A37=BS$4,0,1))</f>
        <v>63</v>
      </c>
      <c r="BT37" s="2" t="n">
        <f aca="false">MIN(BT36+1,BS37+1,BS36+IF($A37=BT$4,0,1))</f>
        <v>64</v>
      </c>
      <c r="BU37" s="2" t="n">
        <f aca="false">MIN(BU36+1,BT37+1,BT36+IF($A37=BU$4,0,1))</f>
        <v>65</v>
      </c>
      <c r="BV37" s="2" t="n">
        <f aca="false">MIN(BV36+1,BU37+1,BU36+IF($A37=BV$4,0,1))</f>
        <v>66</v>
      </c>
      <c r="BW37" s="2" t="n">
        <f aca="false">MIN(BW36+1,BV37+1,BV36+IF($A37=BW$4,0,1))</f>
        <v>67</v>
      </c>
      <c r="BX37" s="2" t="n">
        <f aca="false">MIN(BX36+1,BW37+1,BW36+IF($A37=BX$4,0,1))</f>
        <v>68</v>
      </c>
      <c r="BY37" s="2" t="n">
        <f aca="false">MIN(BY36+1,BX37+1,BX36+IF($A37=BY$4,0,1))</f>
        <v>69</v>
      </c>
      <c r="BZ37" s="2" t="n">
        <f aca="false">MIN(BZ36+1,BY37+1,BY36+IF($A37=BZ$4,0,1))</f>
        <v>70</v>
      </c>
      <c r="CA37" s="2" t="n">
        <f aca="false">MIN(CA36+1,BZ37+1,BZ36+IF($A37=CA$4,0,1))</f>
        <v>71</v>
      </c>
      <c r="CB37" s="2" t="n">
        <f aca="false">MIN(CB36+1,CA37+1,CA36+IF($A37=CB$4,0,1))</f>
        <v>72</v>
      </c>
      <c r="CC37" s="2" t="n">
        <f aca="false">MIN(CC36+1,CB37+1,CB36+IF($A37=CC$4,0,1))</f>
        <v>73</v>
      </c>
      <c r="CD37" s="2" t="n">
        <f aca="false">MIN(CD36+1,CC37+1,CC36+IF($A37=CD$4,0,1))</f>
        <v>74</v>
      </c>
      <c r="CE37" s="2" t="n">
        <f aca="false">MIN(CE36+1,CD37+1,CD36+IF($A37=CE$4,0,1))</f>
        <v>75</v>
      </c>
      <c r="CF37" s="2" t="n">
        <f aca="false">MIN(CF36+1,CE37+1,CE36+IF($A37=CF$4,0,1))</f>
        <v>76</v>
      </c>
      <c r="CG37" s="2" t="n">
        <f aca="false">MIN(CG36+1,CF37+1,CF36+IF($A37=CG$4,0,1))</f>
        <v>77</v>
      </c>
      <c r="CH37" s="2" t="n">
        <f aca="false">MIN(CH36+1,CG37+1,CG36+IF($A37=CH$4,0,1))</f>
        <v>78</v>
      </c>
      <c r="CI37" s="2" t="n">
        <f aca="false">MIN(CI36+1,CH37+1,CH36+IF($A37=CI$4,0,1))</f>
        <v>79</v>
      </c>
      <c r="CJ37" s="2" t="n">
        <f aca="false">MIN(CJ36+1,CI37+1,CI36+IF($A37=CJ$4,0,1))</f>
        <v>80</v>
      </c>
      <c r="CK37" s="2" t="n">
        <f aca="false">MIN(CK36+1,CJ37+1,CJ36+IF($A37=CK$4,0,1))</f>
        <v>81</v>
      </c>
      <c r="CL37" s="2" t="n">
        <f aca="false">MIN(CL36+1,CK37+1,CK36+IF($A37=CL$4,0,1))</f>
        <v>82</v>
      </c>
      <c r="CM37" s="2" t="n">
        <f aca="false">MIN(CM36+1,CL37+1,CL36+IF($A37=CM$4,0,1))</f>
        <v>83</v>
      </c>
      <c r="CN37" s="2" t="n">
        <f aca="false">MIN(CN36+1,CM37+1,CM36+IF($A37=CN$4,0,1))</f>
        <v>84</v>
      </c>
      <c r="CO37" s="2" t="n">
        <f aca="false">MIN(CO36+1,CN37+1,CN36+IF($A37=CO$4,0,1))</f>
        <v>85</v>
      </c>
      <c r="CP37" s="2" t="n">
        <f aca="false">MIN(CP36+1,CO37+1,CO36+IF($A37=CP$4,0,1))</f>
        <v>86</v>
      </c>
      <c r="CQ37" s="2" t="n">
        <f aca="false">MIN(CQ36+1,CP37+1,CP36+IF($A37=CQ$4,0,1))</f>
        <v>87</v>
      </c>
    </row>
    <row r="38" customFormat="false" ht="15" hidden="false" customHeight="false" outlineLevel="0" collapsed="false">
      <c r="A38" s="4" t="s">
        <v>164</v>
      </c>
      <c r="B38" s="12" t="n">
        <v>33</v>
      </c>
      <c r="C38" s="2" t="n">
        <f aca="false">MIN(C37+1,B38+1,B37+IF($A38=C$4,0,1))</f>
        <v>33</v>
      </c>
      <c r="D38" s="2" t="n">
        <f aca="false">MIN(D37+1,C38+1,C37+IF($A38=D$4,0,1))</f>
        <v>32</v>
      </c>
      <c r="E38" s="2" t="n">
        <f aca="false">MIN(E37+1,D38+1,D37+IF($A38=E$4,0,1))</f>
        <v>31</v>
      </c>
      <c r="F38" s="2" t="n">
        <f aca="false">MIN(F37+1,E38+1,E37+IF($A38=F$4,0,1))</f>
        <v>30</v>
      </c>
      <c r="G38" s="2" t="n">
        <f aca="false">MIN(G37+1,F38+1,F37+IF($A38=G$4,0,1))</f>
        <v>30</v>
      </c>
      <c r="H38" s="2" t="n">
        <f aca="false">MIN(H37+1,G38+1,G37+IF($A38=H$4,0,1))</f>
        <v>30</v>
      </c>
      <c r="I38" s="2" t="n">
        <f aca="false">MIN(I37+1,H38+1,H37+IF($A38=I$4,0,1))</f>
        <v>30</v>
      </c>
      <c r="J38" s="2" t="n">
        <f aca="false">MIN(J37+1,I38+1,I37+IF($A38=J$4,0,1))</f>
        <v>30</v>
      </c>
      <c r="K38" s="2" t="n">
        <f aca="false">MIN(K37+1,J38+1,J37+IF($A38=K$4,0,1))</f>
        <v>30</v>
      </c>
      <c r="L38" s="2" t="n">
        <f aca="false">MIN(L37+1,K38+1,K37+IF($A38=L$4,0,1))</f>
        <v>30</v>
      </c>
      <c r="M38" s="2" t="n">
        <f aca="false">MIN(M37+1,L38+1,L37+IF($A38=M$4,0,1))</f>
        <v>30</v>
      </c>
      <c r="N38" s="2" t="n">
        <f aca="false">MIN(N37+1,M38+1,M37+IF($A38=N$4,0,1))</f>
        <v>29</v>
      </c>
      <c r="O38" s="2" t="n">
        <f aca="false">MIN(O37+1,N38+1,N37+IF($A38=O$4,0,1))</f>
        <v>29</v>
      </c>
      <c r="P38" s="2" t="n">
        <f aca="false">MIN(P37+1,O38+1,O37+IF($A38=P$4,0,1))</f>
        <v>29</v>
      </c>
      <c r="Q38" s="2" t="n">
        <f aca="false">MIN(Q37+1,P38+1,P37+IF($A38=Q$4,0,1))</f>
        <v>29</v>
      </c>
      <c r="R38" s="2" t="n">
        <f aca="false">MIN(R37+1,Q38+1,Q37+IF($A38=R$4,0,1))</f>
        <v>29</v>
      </c>
      <c r="S38" s="2" t="n">
        <f aca="false">MIN(S37+1,R38+1,R37+IF($A38=S$4,0,1))</f>
        <v>29</v>
      </c>
      <c r="T38" s="2" t="n">
        <f aca="false">MIN(T37+1,S38+1,S37+IF($A38=T$4,0,1))</f>
        <v>30</v>
      </c>
      <c r="U38" s="2" t="n">
        <f aca="false">MIN(U37+1,T38+1,T37+IF($A38=U$4,0,1))</f>
        <v>30</v>
      </c>
      <c r="V38" s="2" t="n">
        <f aca="false">MIN(V37+1,U38+1,U37+IF($A38=V$4,0,1))</f>
        <v>30</v>
      </c>
      <c r="W38" s="2" t="n">
        <f aca="false">MIN(W37+1,V38+1,V37+IF($A38=W$4,0,1))</f>
        <v>30</v>
      </c>
      <c r="X38" s="2" t="n">
        <f aca="false">MIN(X37+1,W38+1,W37+IF($A38=X$4,0,1))</f>
        <v>30</v>
      </c>
      <c r="Y38" s="2" t="n">
        <f aca="false">MIN(Y37+1,X38+1,X37+IF($A38=Y$4,0,1))</f>
        <v>30</v>
      </c>
      <c r="Z38" s="2" t="n">
        <f aca="false">MIN(Z37+1,Y38+1,Y37+IF($A38=Z$4,0,1))</f>
        <v>30</v>
      </c>
      <c r="AA38" s="2" t="n">
        <f aca="false">MIN(AA37+1,Z38+1,Z37+IF($A38=AA$4,0,1))</f>
        <v>30</v>
      </c>
      <c r="AB38" s="2" t="n">
        <f aca="false">MIN(AB37+1,AA38+1,AA37+IF($A38=AB$4,0,1))</f>
        <v>30</v>
      </c>
      <c r="AC38" s="2" t="n">
        <f aca="false">MIN(AC37+1,AB38+1,AB37+IF($A38=AC$4,0,1))</f>
        <v>30</v>
      </c>
      <c r="AD38" s="2" t="n">
        <f aca="false">MIN(AD37+1,AC38+1,AC37+IF($A38=AD$4,0,1))</f>
        <v>30</v>
      </c>
      <c r="AE38" s="2" t="n">
        <f aca="false">MIN(AE37+1,AD38+1,AD37+IF($A38=AE$4,0,1))</f>
        <v>30</v>
      </c>
      <c r="AF38" s="2" t="n">
        <f aca="false">MIN(AF37+1,AE38+1,AE37+IF($A38=AF$4,0,1))</f>
        <v>30</v>
      </c>
      <c r="AG38" s="2" t="n">
        <f aca="false">MIN(AG37+1,AF38+1,AF37+IF($A38=AG$4,0,1))</f>
        <v>30</v>
      </c>
      <c r="AH38" s="2" t="n">
        <f aca="false">MIN(AH37+1,AG38+1,AG37+IF($A38=AH$4,0,1))</f>
        <v>31</v>
      </c>
      <c r="AI38" s="2" t="n">
        <f aca="false">MIN(AI37+1,AH38+1,AH37+IF($A38=AI$4,0,1))</f>
        <v>31</v>
      </c>
      <c r="AJ38" s="2" t="n">
        <f aca="false">MIN(AJ37+1,AI38+1,AI37+IF($A38=AJ$4,0,1))</f>
        <v>31</v>
      </c>
      <c r="AK38" s="2" t="n">
        <f aca="false">MIN(AK37+1,AJ38+1,AJ37+IF($A38=AK$4,0,1))</f>
        <v>31</v>
      </c>
      <c r="AL38" s="2" t="n">
        <f aca="false">MIN(AL37+1,AK38+1,AK37+IF($A38=AL$4,0,1))</f>
        <v>32</v>
      </c>
      <c r="AM38" s="2" t="n">
        <f aca="false">MIN(AM37+1,AL38+1,AL37+IF($A38=AM$4,0,1))</f>
        <v>33</v>
      </c>
      <c r="AN38" s="2" t="n">
        <f aca="false">MIN(AN37+1,AM38+1,AM37+IF($A38=AN$4,0,1))</f>
        <v>34</v>
      </c>
      <c r="AO38" s="2" t="n">
        <f aca="false">MIN(AO37+1,AN38+1,AN37+IF($A38=AO$4,0,1))</f>
        <v>35</v>
      </c>
      <c r="AP38" s="2" t="n">
        <f aca="false">MIN(AP37+1,AO38+1,AO37+IF($A38=AP$4,0,1))</f>
        <v>36</v>
      </c>
      <c r="AQ38" s="2" t="n">
        <f aca="false">MIN(AQ37+1,AP38+1,AP37+IF($A38=AQ$4,0,1))</f>
        <v>37</v>
      </c>
      <c r="AR38" s="2" t="n">
        <f aca="false">MIN(AR37+1,AQ38+1,AQ37+IF($A38=AR$4,0,1))</f>
        <v>38</v>
      </c>
      <c r="AS38" s="2" t="n">
        <f aca="false">MIN(AS37+1,AR38+1,AR37+IF($A38=AS$4,0,1))</f>
        <v>39</v>
      </c>
      <c r="AT38" s="2" t="n">
        <f aca="false">MIN(AT37+1,AS38+1,AS37+IF($A38=AT$4,0,1))</f>
        <v>40</v>
      </c>
      <c r="AU38" s="2" t="n">
        <f aca="false">MIN(AU37+1,AT38+1,AT37+IF($A38=AU$4,0,1))</f>
        <v>41</v>
      </c>
      <c r="AV38" s="2" t="n">
        <f aca="false">MIN(AV37+1,AU38+1,AU37+IF($A38=AV$4,0,1))</f>
        <v>42</v>
      </c>
      <c r="AW38" s="2" t="n">
        <f aca="false">MIN(AW37+1,AV38+1,AV37+IF($A38=AW$4,0,1))</f>
        <v>43</v>
      </c>
      <c r="AX38" s="2" t="n">
        <f aca="false">MIN(AX37+1,AW38+1,AW37+IF($A38=AX$4,0,1))</f>
        <v>44</v>
      </c>
      <c r="AY38" s="2" t="n">
        <f aca="false">MIN(AY37+1,AX38+1,AX37+IF($A38=AY$4,0,1))</f>
        <v>45</v>
      </c>
      <c r="AZ38" s="2" t="n">
        <f aca="false">MIN(AZ37+1,AY38+1,AY37+IF($A38=AZ$4,0,1))</f>
        <v>46</v>
      </c>
      <c r="BA38" s="2" t="n">
        <f aca="false">MIN(BA37+1,AZ38+1,AZ37+IF($A38=BA$4,0,1))</f>
        <v>46</v>
      </c>
      <c r="BB38" s="2" t="n">
        <f aca="false">MIN(BB37+1,BA38+1,BA37+IF($A38=BB$4,0,1))</f>
        <v>47</v>
      </c>
      <c r="BC38" s="2" t="n">
        <f aca="false">MIN(BC37+1,BB38+1,BB37+IF($A38=BC$4,0,1))</f>
        <v>48</v>
      </c>
      <c r="BD38" s="2" t="n">
        <f aca="false">MIN(BD37+1,BC38+1,BC37+IF($A38=BD$4,0,1))</f>
        <v>49</v>
      </c>
      <c r="BE38" s="2" t="n">
        <f aca="false">MIN(BE37+1,BD38+1,BD37+IF($A38=BE$4,0,1))</f>
        <v>50</v>
      </c>
      <c r="BF38" s="2" t="n">
        <f aca="false">MIN(BF37+1,BE38+1,BE37+IF($A38=BF$4,0,1))</f>
        <v>51</v>
      </c>
      <c r="BG38" s="2" t="n">
        <f aca="false">MIN(BG37+1,BF38+1,BF37+IF($A38=BG$4,0,1))</f>
        <v>52</v>
      </c>
      <c r="BH38" s="2" t="n">
        <f aca="false">MIN(BH37+1,BG38+1,BG37+IF($A38=BH$4,0,1))</f>
        <v>53</v>
      </c>
      <c r="BI38" s="2" t="n">
        <f aca="false">MIN(BI37+1,BH38+1,BH37+IF($A38=BI$4,0,1))</f>
        <v>54</v>
      </c>
      <c r="BJ38" s="2" t="n">
        <f aca="false">MIN(BJ37+1,BI38+1,BI37+IF($A38=BJ$4,0,1))</f>
        <v>55</v>
      </c>
      <c r="BK38" s="2" t="n">
        <f aca="false">MIN(BK37+1,BJ38+1,BJ37+IF($A38=BK$4,0,1))</f>
        <v>55</v>
      </c>
      <c r="BL38" s="2" t="n">
        <f aca="false">MIN(BL37+1,BK38+1,BK37+IF($A38=BL$4,0,1))</f>
        <v>56</v>
      </c>
      <c r="BM38" s="2" t="n">
        <f aca="false">MIN(BM37+1,BL38+1,BL37+IF($A38=BM$4,0,1))</f>
        <v>57</v>
      </c>
      <c r="BN38" s="2" t="n">
        <f aca="false">MIN(BN37+1,BM38+1,BM37+IF($A38=BN$4,0,1))</f>
        <v>58</v>
      </c>
      <c r="BO38" s="2" t="n">
        <f aca="false">MIN(BO37+1,BN38+1,BN37+IF($A38=BO$4,0,1))</f>
        <v>59</v>
      </c>
      <c r="BP38" s="2" t="n">
        <f aca="false">MIN(BP37+1,BO38+1,BO37+IF($A38=BP$4,0,1))</f>
        <v>60</v>
      </c>
      <c r="BQ38" s="2" t="n">
        <f aca="false">MIN(BQ37+1,BP38+1,BP37+IF($A38=BQ$4,0,1))</f>
        <v>61</v>
      </c>
      <c r="BR38" s="2" t="n">
        <f aca="false">MIN(BR37+1,BQ38+1,BQ37+IF($A38=BR$4,0,1))</f>
        <v>62</v>
      </c>
      <c r="BS38" s="2" t="n">
        <f aca="false">MIN(BS37+1,BR38+1,BR37+IF($A38=BS$4,0,1))</f>
        <v>63</v>
      </c>
      <c r="BT38" s="2" t="n">
        <f aca="false">MIN(BT37+1,BS38+1,BS37+IF($A38=BT$4,0,1))</f>
        <v>64</v>
      </c>
      <c r="BU38" s="2" t="n">
        <f aca="false">MIN(BU37+1,BT38+1,BT37+IF($A38=BU$4,0,1))</f>
        <v>65</v>
      </c>
      <c r="BV38" s="2" t="n">
        <f aca="false">MIN(BV37+1,BU38+1,BU37+IF($A38=BV$4,0,1))</f>
        <v>66</v>
      </c>
      <c r="BW38" s="2" t="n">
        <f aca="false">MIN(BW37+1,BV38+1,BV37+IF($A38=BW$4,0,1))</f>
        <v>67</v>
      </c>
      <c r="BX38" s="2" t="n">
        <f aca="false">MIN(BX37+1,BW38+1,BW37+IF($A38=BX$4,0,1))</f>
        <v>68</v>
      </c>
      <c r="BY38" s="2" t="n">
        <f aca="false">MIN(BY37+1,BX38+1,BX37+IF($A38=BY$4,0,1))</f>
        <v>69</v>
      </c>
      <c r="BZ38" s="2" t="n">
        <f aca="false">MIN(BZ37+1,BY38+1,BY37+IF($A38=BZ$4,0,1))</f>
        <v>70</v>
      </c>
      <c r="CA38" s="2" t="n">
        <f aca="false">MIN(CA37+1,BZ38+1,BZ37+IF($A38=CA$4,0,1))</f>
        <v>71</v>
      </c>
      <c r="CB38" s="2" t="n">
        <f aca="false">MIN(CB37+1,CA38+1,CA37+IF($A38=CB$4,0,1))</f>
        <v>72</v>
      </c>
      <c r="CC38" s="2" t="n">
        <f aca="false">MIN(CC37+1,CB38+1,CB37+IF($A38=CC$4,0,1))</f>
        <v>73</v>
      </c>
      <c r="CD38" s="2" t="n">
        <f aca="false">MIN(CD37+1,CC38+1,CC37+IF($A38=CD$4,0,1))</f>
        <v>74</v>
      </c>
      <c r="CE38" s="2" t="n">
        <f aca="false">MIN(CE37+1,CD38+1,CD37+IF($A38=CE$4,0,1))</f>
        <v>75</v>
      </c>
      <c r="CF38" s="2" t="n">
        <f aca="false">MIN(CF37+1,CE38+1,CE37+IF($A38=CF$4,0,1))</f>
        <v>76</v>
      </c>
      <c r="CG38" s="2" t="n">
        <f aca="false">MIN(CG37+1,CF38+1,CF37+IF($A38=CG$4,0,1))</f>
        <v>77</v>
      </c>
      <c r="CH38" s="2" t="n">
        <f aca="false">MIN(CH37+1,CG38+1,CG37+IF($A38=CH$4,0,1))</f>
        <v>78</v>
      </c>
      <c r="CI38" s="2" t="n">
        <f aca="false">MIN(CI37+1,CH38+1,CH37+IF($A38=CI$4,0,1))</f>
        <v>79</v>
      </c>
      <c r="CJ38" s="2" t="n">
        <f aca="false">MIN(CJ37+1,CI38+1,CI37+IF($A38=CJ$4,0,1))</f>
        <v>80</v>
      </c>
      <c r="CK38" s="2" t="n">
        <f aca="false">MIN(CK37+1,CJ38+1,CJ37+IF($A38=CK$4,0,1))</f>
        <v>81</v>
      </c>
      <c r="CL38" s="2" t="n">
        <f aca="false">MIN(CL37+1,CK38+1,CK37+IF($A38=CL$4,0,1))</f>
        <v>82</v>
      </c>
      <c r="CM38" s="2" t="n">
        <f aca="false">MIN(CM37+1,CL38+1,CL37+IF($A38=CM$4,0,1))</f>
        <v>83</v>
      </c>
      <c r="CN38" s="2" t="n">
        <f aca="false">MIN(CN37+1,CM38+1,CM37+IF($A38=CN$4,0,1))</f>
        <v>84</v>
      </c>
      <c r="CO38" s="2" t="n">
        <f aca="false">MIN(CO37+1,CN38+1,CN37+IF($A38=CO$4,0,1))</f>
        <v>85</v>
      </c>
      <c r="CP38" s="2" t="n">
        <f aca="false">MIN(CP37+1,CO38+1,CO37+IF($A38=CP$4,0,1))</f>
        <v>86</v>
      </c>
      <c r="CQ38" s="2" t="n">
        <f aca="false">MIN(CQ37+1,CP38+1,CP37+IF($A38=CQ$4,0,1))</f>
        <v>87</v>
      </c>
    </row>
    <row r="39" customFormat="false" ht="15" hidden="false" customHeight="false" outlineLevel="0" collapsed="false">
      <c r="A39" s="4" t="s">
        <v>165</v>
      </c>
      <c r="B39" s="12" t="n">
        <v>34</v>
      </c>
      <c r="C39" s="2" t="n">
        <f aca="false">MIN(C38+1,B39+1,B38+IF($A39=C$4,0,1))</f>
        <v>34</v>
      </c>
      <c r="D39" s="2" t="n">
        <f aca="false">MIN(D38+1,C39+1,C38+IF($A39=D$4,0,1))</f>
        <v>33</v>
      </c>
      <c r="E39" s="2" t="n">
        <f aca="false">MIN(E38+1,D39+1,D38+IF($A39=E$4,0,1))</f>
        <v>32</v>
      </c>
      <c r="F39" s="2" t="n">
        <f aca="false">MIN(F38+1,E39+1,E38+IF($A39=F$4,0,1))</f>
        <v>31</v>
      </c>
      <c r="G39" s="2" t="n">
        <f aca="false">MIN(G38+1,F39+1,F38+IF($A39=G$4,0,1))</f>
        <v>31</v>
      </c>
      <c r="H39" s="2" t="n">
        <f aca="false">MIN(H38+1,G39+1,G38+IF($A39=H$4,0,1))</f>
        <v>31</v>
      </c>
      <c r="I39" s="2" t="n">
        <f aca="false">MIN(I38+1,H39+1,H38+IF($A39=I$4,0,1))</f>
        <v>31</v>
      </c>
      <c r="J39" s="2" t="n">
        <f aca="false">MIN(J38+1,I39+1,I38+IF($A39=J$4,0,1))</f>
        <v>31</v>
      </c>
      <c r="K39" s="2" t="n">
        <f aca="false">MIN(K38+1,J39+1,J38+IF($A39=K$4,0,1))</f>
        <v>31</v>
      </c>
      <c r="L39" s="2" t="n">
        <f aca="false">MIN(L38+1,K39+1,K38+IF($A39=L$4,0,1))</f>
        <v>31</v>
      </c>
      <c r="M39" s="2" t="n">
        <f aca="false">MIN(M38+1,L39+1,L38+IF($A39=M$4,0,1))</f>
        <v>31</v>
      </c>
      <c r="N39" s="2" t="n">
        <f aca="false">MIN(N38+1,M39+1,M38+IF($A39=N$4,0,1))</f>
        <v>30</v>
      </c>
      <c r="O39" s="2" t="n">
        <f aca="false">MIN(O38+1,N39+1,N38+IF($A39=O$4,0,1))</f>
        <v>30</v>
      </c>
      <c r="P39" s="2" t="n">
        <f aca="false">MIN(P38+1,O39+1,O38+IF($A39=P$4,0,1))</f>
        <v>30</v>
      </c>
      <c r="Q39" s="2" t="n">
        <f aca="false">MIN(Q38+1,P39+1,P38+IF($A39=Q$4,0,1))</f>
        <v>30</v>
      </c>
      <c r="R39" s="2" t="n">
        <f aca="false">MIN(R38+1,Q39+1,Q38+IF($A39=R$4,0,1))</f>
        <v>30</v>
      </c>
      <c r="S39" s="2" t="n">
        <f aca="false">MIN(S38+1,R39+1,R38+IF($A39=S$4,0,1))</f>
        <v>30</v>
      </c>
      <c r="T39" s="2" t="n">
        <f aca="false">MIN(T38+1,S39+1,S38+IF($A39=T$4,0,1))</f>
        <v>30</v>
      </c>
      <c r="U39" s="2" t="n">
        <f aca="false">MIN(U38+1,T39+1,T38+IF($A39=U$4,0,1))</f>
        <v>31</v>
      </c>
      <c r="V39" s="2" t="n">
        <f aca="false">MIN(V38+1,U39+1,U38+IF($A39=V$4,0,1))</f>
        <v>31</v>
      </c>
      <c r="W39" s="2" t="n">
        <f aca="false">MIN(W38+1,V39+1,V38+IF($A39=W$4,0,1))</f>
        <v>31</v>
      </c>
      <c r="X39" s="2" t="n">
        <f aca="false">MIN(X38+1,W39+1,W38+IF($A39=X$4,0,1))</f>
        <v>31</v>
      </c>
      <c r="Y39" s="2" t="n">
        <f aca="false">MIN(Y38+1,X39+1,X38+IF($A39=Y$4,0,1))</f>
        <v>31</v>
      </c>
      <c r="Z39" s="2" t="n">
        <f aca="false">MIN(Z38+1,Y39+1,Y38+IF($A39=Z$4,0,1))</f>
        <v>31</v>
      </c>
      <c r="AA39" s="2" t="n">
        <f aca="false">MIN(AA38+1,Z39+1,Z38+IF($A39=AA$4,0,1))</f>
        <v>31</v>
      </c>
      <c r="AB39" s="2" t="n">
        <f aca="false">MIN(AB38+1,AA39+1,AA38+IF($A39=AB$4,0,1))</f>
        <v>31</v>
      </c>
      <c r="AC39" s="2" t="n">
        <f aca="false">MIN(AC38+1,AB39+1,AB38+IF($A39=AC$4,0,1))</f>
        <v>31</v>
      </c>
      <c r="AD39" s="2" t="n">
        <f aca="false">MIN(AD38+1,AC39+1,AC38+IF($A39=AD$4,0,1))</f>
        <v>31</v>
      </c>
      <c r="AE39" s="2" t="n">
        <f aca="false">MIN(AE38+1,AD39+1,AD38+IF($A39=AE$4,0,1))</f>
        <v>31</v>
      </c>
      <c r="AF39" s="2" t="n">
        <f aca="false">MIN(AF38+1,AE39+1,AE38+IF($A39=AF$4,0,1))</f>
        <v>31</v>
      </c>
      <c r="AG39" s="2" t="n">
        <f aca="false">MIN(AG38+1,AF39+1,AF38+IF($A39=AG$4,0,1))</f>
        <v>31</v>
      </c>
      <c r="AH39" s="2" t="n">
        <f aca="false">MIN(AH38+1,AG39+1,AG38+IF($A39=AH$4,0,1))</f>
        <v>31</v>
      </c>
      <c r="AI39" s="2" t="n">
        <f aca="false">MIN(AI38+1,AH39+1,AH38+IF($A39=AI$4,0,1))</f>
        <v>32</v>
      </c>
      <c r="AJ39" s="2" t="n">
        <f aca="false">MIN(AJ38+1,AI39+1,AI38+IF($A39=AJ$4,0,1))</f>
        <v>32</v>
      </c>
      <c r="AK39" s="2" t="n">
        <f aca="false">MIN(AK38+1,AJ39+1,AJ38+IF($A39=AK$4,0,1))</f>
        <v>32</v>
      </c>
      <c r="AL39" s="2" t="n">
        <f aca="false">MIN(AL38+1,AK39+1,AK38+IF($A39=AL$4,0,1))</f>
        <v>32</v>
      </c>
      <c r="AM39" s="2" t="n">
        <f aca="false">MIN(AM38+1,AL39+1,AL38+IF($A39=AM$4,0,1))</f>
        <v>33</v>
      </c>
      <c r="AN39" s="2" t="n">
        <f aca="false">MIN(AN38+1,AM39+1,AM38+IF($A39=AN$4,0,1))</f>
        <v>34</v>
      </c>
      <c r="AO39" s="2" t="n">
        <f aca="false">MIN(AO38+1,AN39+1,AN38+IF($A39=AO$4,0,1))</f>
        <v>35</v>
      </c>
      <c r="AP39" s="2" t="n">
        <f aca="false">MIN(AP38+1,AO39+1,AO38+IF($A39=AP$4,0,1))</f>
        <v>36</v>
      </c>
      <c r="AQ39" s="2" t="n">
        <f aca="false">MIN(AQ38+1,AP39+1,AP38+IF($A39=AQ$4,0,1))</f>
        <v>37</v>
      </c>
      <c r="AR39" s="2" t="n">
        <f aca="false">MIN(AR38+1,AQ39+1,AQ38+IF($A39=AR$4,0,1))</f>
        <v>38</v>
      </c>
      <c r="AS39" s="2" t="n">
        <f aca="false">MIN(AS38+1,AR39+1,AR38+IF($A39=AS$4,0,1))</f>
        <v>39</v>
      </c>
      <c r="AT39" s="2" t="n">
        <f aca="false">MIN(AT38+1,AS39+1,AS38+IF($A39=AT$4,0,1))</f>
        <v>40</v>
      </c>
      <c r="AU39" s="2" t="n">
        <f aca="false">MIN(AU38+1,AT39+1,AT38+IF($A39=AU$4,0,1))</f>
        <v>41</v>
      </c>
      <c r="AV39" s="2" t="n">
        <f aca="false">MIN(AV38+1,AU39+1,AU38+IF($A39=AV$4,0,1))</f>
        <v>42</v>
      </c>
      <c r="AW39" s="2" t="n">
        <f aca="false">MIN(AW38+1,AV39+1,AV38+IF($A39=AW$4,0,1))</f>
        <v>43</v>
      </c>
      <c r="AX39" s="2" t="n">
        <f aca="false">MIN(AX38+1,AW39+1,AW38+IF($A39=AX$4,0,1))</f>
        <v>44</v>
      </c>
      <c r="AY39" s="2" t="n">
        <f aca="false">MIN(AY38+1,AX39+1,AX38+IF($A39=AY$4,0,1))</f>
        <v>45</v>
      </c>
      <c r="AZ39" s="2" t="n">
        <f aca="false">MIN(AZ38+1,AY39+1,AY38+IF($A39=AZ$4,0,1))</f>
        <v>46</v>
      </c>
      <c r="BA39" s="2" t="n">
        <f aca="false">MIN(BA38+1,AZ39+1,AZ38+IF($A39=BA$4,0,1))</f>
        <v>47</v>
      </c>
      <c r="BB39" s="2" t="n">
        <f aca="false">MIN(BB38+1,BA39+1,BA38+IF($A39=BB$4,0,1))</f>
        <v>47</v>
      </c>
      <c r="BC39" s="2" t="n">
        <f aca="false">MIN(BC38+1,BB39+1,BB38+IF($A39=BC$4,0,1))</f>
        <v>48</v>
      </c>
      <c r="BD39" s="2" t="n">
        <f aca="false">MIN(BD38+1,BC39+1,BC38+IF($A39=BD$4,0,1))</f>
        <v>49</v>
      </c>
      <c r="BE39" s="2" t="n">
        <f aca="false">MIN(BE38+1,BD39+1,BD38+IF($A39=BE$4,0,1))</f>
        <v>50</v>
      </c>
      <c r="BF39" s="2" t="n">
        <f aca="false">MIN(BF38+1,BE39+1,BE38+IF($A39=BF$4,0,1))</f>
        <v>51</v>
      </c>
      <c r="BG39" s="2" t="n">
        <f aca="false">MIN(BG38+1,BF39+1,BF38+IF($A39=BG$4,0,1))</f>
        <v>52</v>
      </c>
      <c r="BH39" s="2" t="n">
        <f aca="false">MIN(BH38+1,BG39+1,BG38+IF($A39=BH$4,0,1))</f>
        <v>53</v>
      </c>
      <c r="BI39" s="2" t="n">
        <f aca="false">MIN(BI38+1,BH39+1,BH38+IF($A39=BI$4,0,1))</f>
        <v>54</v>
      </c>
      <c r="BJ39" s="2" t="n">
        <f aca="false">MIN(BJ38+1,BI39+1,BI38+IF($A39=BJ$4,0,1))</f>
        <v>55</v>
      </c>
      <c r="BK39" s="2" t="n">
        <f aca="false">MIN(BK38+1,BJ39+1,BJ38+IF($A39=BK$4,0,1))</f>
        <v>56</v>
      </c>
      <c r="BL39" s="2" t="n">
        <f aca="false">MIN(BL38+1,BK39+1,BK38+IF($A39=BL$4,0,1))</f>
        <v>56</v>
      </c>
      <c r="BM39" s="2" t="n">
        <f aca="false">MIN(BM38+1,BL39+1,BL38+IF($A39=BM$4,0,1))</f>
        <v>57</v>
      </c>
      <c r="BN39" s="2" t="n">
        <f aca="false">MIN(BN38+1,BM39+1,BM38+IF($A39=BN$4,0,1))</f>
        <v>58</v>
      </c>
      <c r="BO39" s="2" t="n">
        <f aca="false">MIN(BO38+1,BN39+1,BN38+IF($A39=BO$4,0,1))</f>
        <v>59</v>
      </c>
      <c r="BP39" s="2" t="n">
        <f aca="false">MIN(BP38+1,BO39+1,BO38+IF($A39=BP$4,0,1))</f>
        <v>60</v>
      </c>
      <c r="BQ39" s="2" t="n">
        <f aca="false">MIN(BQ38+1,BP39+1,BP38+IF($A39=BQ$4,0,1))</f>
        <v>61</v>
      </c>
      <c r="BR39" s="2" t="n">
        <f aca="false">MIN(BR38+1,BQ39+1,BQ38+IF($A39=BR$4,0,1))</f>
        <v>62</v>
      </c>
      <c r="BS39" s="2" t="n">
        <f aca="false">MIN(BS38+1,BR39+1,BR38+IF($A39=BS$4,0,1))</f>
        <v>63</v>
      </c>
      <c r="BT39" s="2" t="n">
        <f aca="false">MIN(BT38+1,BS39+1,BS38+IF($A39=BT$4,0,1))</f>
        <v>64</v>
      </c>
      <c r="BU39" s="2" t="n">
        <f aca="false">MIN(BU38+1,BT39+1,BT38+IF($A39=BU$4,0,1))</f>
        <v>65</v>
      </c>
      <c r="BV39" s="2" t="n">
        <f aca="false">MIN(BV38+1,BU39+1,BU38+IF($A39=BV$4,0,1))</f>
        <v>66</v>
      </c>
      <c r="BW39" s="2" t="n">
        <f aca="false">MIN(BW38+1,BV39+1,BV38+IF($A39=BW$4,0,1))</f>
        <v>67</v>
      </c>
      <c r="BX39" s="2" t="n">
        <f aca="false">MIN(BX38+1,BW39+1,BW38+IF($A39=BX$4,0,1))</f>
        <v>68</v>
      </c>
      <c r="BY39" s="2" t="n">
        <f aca="false">MIN(BY38+1,BX39+1,BX38+IF($A39=BY$4,0,1))</f>
        <v>69</v>
      </c>
      <c r="BZ39" s="2" t="n">
        <f aca="false">MIN(BZ38+1,BY39+1,BY38+IF($A39=BZ$4,0,1))</f>
        <v>70</v>
      </c>
      <c r="CA39" s="2" t="n">
        <f aca="false">MIN(CA38+1,BZ39+1,BZ38+IF($A39=CA$4,0,1))</f>
        <v>71</v>
      </c>
      <c r="CB39" s="2" t="n">
        <f aca="false">MIN(CB38+1,CA39+1,CA38+IF($A39=CB$4,0,1))</f>
        <v>72</v>
      </c>
      <c r="CC39" s="2" t="n">
        <f aca="false">MIN(CC38+1,CB39+1,CB38+IF($A39=CC$4,0,1))</f>
        <v>73</v>
      </c>
      <c r="CD39" s="2" t="n">
        <f aca="false">MIN(CD38+1,CC39+1,CC38+IF($A39=CD$4,0,1))</f>
        <v>74</v>
      </c>
      <c r="CE39" s="2" t="n">
        <f aca="false">MIN(CE38+1,CD39+1,CD38+IF($A39=CE$4,0,1))</f>
        <v>75</v>
      </c>
      <c r="CF39" s="2" t="n">
        <f aca="false">MIN(CF38+1,CE39+1,CE38+IF($A39=CF$4,0,1))</f>
        <v>76</v>
      </c>
      <c r="CG39" s="2" t="n">
        <f aca="false">MIN(CG38+1,CF39+1,CF38+IF($A39=CG$4,0,1))</f>
        <v>77</v>
      </c>
      <c r="CH39" s="2" t="n">
        <f aca="false">MIN(CH38+1,CG39+1,CG38+IF($A39=CH$4,0,1))</f>
        <v>78</v>
      </c>
      <c r="CI39" s="2" t="n">
        <f aca="false">MIN(CI38+1,CH39+1,CH38+IF($A39=CI$4,0,1))</f>
        <v>79</v>
      </c>
      <c r="CJ39" s="2" t="n">
        <f aca="false">MIN(CJ38+1,CI39+1,CI38+IF($A39=CJ$4,0,1))</f>
        <v>80</v>
      </c>
      <c r="CK39" s="2" t="n">
        <f aca="false">MIN(CK38+1,CJ39+1,CJ38+IF($A39=CK$4,0,1))</f>
        <v>81</v>
      </c>
      <c r="CL39" s="2" t="n">
        <f aca="false">MIN(CL38+1,CK39+1,CK38+IF($A39=CL$4,0,1))</f>
        <v>82</v>
      </c>
      <c r="CM39" s="2" t="n">
        <f aca="false">MIN(CM38+1,CL39+1,CL38+IF($A39=CM$4,0,1))</f>
        <v>83</v>
      </c>
      <c r="CN39" s="2" t="n">
        <f aca="false">MIN(CN38+1,CM39+1,CM38+IF($A39=CN$4,0,1))</f>
        <v>84</v>
      </c>
      <c r="CO39" s="2" t="n">
        <f aca="false">MIN(CO38+1,CN39+1,CN38+IF($A39=CO$4,0,1))</f>
        <v>85</v>
      </c>
      <c r="CP39" s="2" t="n">
        <f aca="false">MIN(CP38+1,CO39+1,CO38+IF($A39=CP$4,0,1))</f>
        <v>86</v>
      </c>
      <c r="CQ39" s="2" t="n">
        <f aca="false">MIN(CQ38+1,CP39+1,CP38+IF($A39=CQ$4,0,1))</f>
        <v>87</v>
      </c>
    </row>
    <row r="40" customFormat="false" ht="15" hidden="false" customHeight="false" outlineLevel="0" collapsed="false">
      <c r="A40" s="4" t="s">
        <v>155</v>
      </c>
      <c r="B40" s="12" t="n">
        <v>35</v>
      </c>
      <c r="C40" s="2" t="n">
        <f aca="false">MIN(C39+1,B40+1,B39+IF($A40=C$4,0,1))</f>
        <v>35</v>
      </c>
      <c r="D40" s="2" t="n">
        <f aca="false">MIN(D39+1,C40+1,C39+IF($A40=D$4,0,1))</f>
        <v>34</v>
      </c>
      <c r="E40" s="2" t="n">
        <f aca="false">MIN(E39+1,D40+1,D39+IF($A40=E$4,0,1))</f>
        <v>33</v>
      </c>
      <c r="F40" s="2" t="n">
        <f aca="false">MIN(F39+1,E40+1,E39+IF($A40=F$4,0,1))</f>
        <v>32</v>
      </c>
      <c r="G40" s="2" t="n">
        <f aca="false">MIN(G39+1,F40+1,F39+IF($A40=G$4,0,1))</f>
        <v>32</v>
      </c>
      <c r="H40" s="2" t="n">
        <f aca="false">MIN(H39+1,G40+1,G39+IF($A40=H$4,0,1))</f>
        <v>32</v>
      </c>
      <c r="I40" s="2" t="n">
        <f aca="false">MIN(I39+1,H40+1,H39+IF($A40=I$4,0,1))</f>
        <v>32</v>
      </c>
      <c r="J40" s="2" t="n">
        <f aca="false">MIN(J39+1,I40+1,I39+IF($A40=J$4,0,1))</f>
        <v>32</v>
      </c>
      <c r="K40" s="2" t="n">
        <f aca="false">MIN(K39+1,J40+1,J39+IF($A40=K$4,0,1))</f>
        <v>32</v>
      </c>
      <c r="L40" s="2" t="n">
        <f aca="false">MIN(L39+1,K40+1,K39+IF($A40=L$4,0,1))</f>
        <v>32</v>
      </c>
      <c r="M40" s="2" t="n">
        <f aca="false">MIN(M39+1,L40+1,L39+IF($A40=M$4,0,1))</f>
        <v>32</v>
      </c>
      <c r="N40" s="2" t="n">
        <f aca="false">MIN(N39+1,M40+1,M39+IF($A40=N$4,0,1))</f>
        <v>31</v>
      </c>
      <c r="O40" s="2" t="n">
        <f aca="false">MIN(O39+1,N40+1,N39+IF($A40=O$4,0,1))</f>
        <v>31</v>
      </c>
      <c r="P40" s="2" t="n">
        <f aca="false">MIN(P39+1,O40+1,O39+IF($A40=P$4,0,1))</f>
        <v>31</v>
      </c>
      <c r="Q40" s="2" t="n">
        <f aca="false">MIN(Q39+1,P40+1,P39+IF($A40=Q$4,0,1))</f>
        <v>31</v>
      </c>
      <c r="R40" s="2" t="n">
        <f aca="false">MIN(R39+1,Q40+1,Q39+IF($A40=R$4,0,1))</f>
        <v>31</v>
      </c>
      <c r="S40" s="2" t="n">
        <f aca="false">MIN(S39+1,R40+1,R39+IF($A40=S$4,0,1))</f>
        <v>31</v>
      </c>
      <c r="T40" s="2" t="n">
        <f aca="false">MIN(T39+1,S40+1,S39+IF($A40=T$4,0,1))</f>
        <v>31</v>
      </c>
      <c r="U40" s="2" t="n">
        <f aca="false">MIN(U39+1,T40+1,T39+IF($A40=U$4,0,1))</f>
        <v>31</v>
      </c>
      <c r="V40" s="2" t="n">
        <f aca="false">MIN(V39+1,U40+1,U39+IF($A40=V$4,0,1))</f>
        <v>32</v>
      </c>
      <c r="W40" s="2" t="n">
        <f aca="false">MIN(W39+1,V40+1,V39+IF($A40=W$4,0,1))</f>
        <v>32</v>
      </c>
      <c r="X40" s="2" t="n">
        <f aca="false">MIN(X39+1,W40+1,W39+IF($A40=X$4,0,1))</f>
        <v>32</v>
      </c>
      <c r="Y40" s="2" t="n">
        <f aca="false">MIN(Y39+1,X40+1,X39+IF($A40=Y$4,0,1))</f>
        <v>32</v>
      </c>
      <c r="Z40" s="2" t="n">
        <f aca="false">MIN(Z39+1,Y40+1,Y39+IF($A40=Z$4,0,1))</f>
        <v>32</v>
      </c>
      <c r="AA40" s="2" t="n">
        <f aca="false">MIN(AA39+1,Z40+1,Z39+IF($A40=AA$4,0,1))</f>
        <v>32</v>
      </c>
      <c r="AB40" s="2" t="n">
        <f aca="false">MIN(AB39+1,AA40+1,AA39+IF($A40=AB$4,0,1))</f>
        <v>32</v>
      </c>
      <c r="AC40" s="2" t="n">
        <f aca="false">MIN(AC39+1,AB40+1,AB39+IF($A40=AC$4,0,1))</f>
        <v>32</v>
      </c>
      <c r="AD40" s="2" t="n">
        <f aca="false">MIN(AD39+1,AC40+1,AC39+IF($A40=AD$4,0,1))</f>
        <v>32</v>
      </c>
      <c r="AE40" s="2" t="n">
        <f aca="false">MIN(AE39+1,AD40+1,AD39+IF($A40=AE$4,0,1))</f>
        <v>32</v>
      </c>
      <c r="AF40" s="2" t="n">
        <f aca="false">MIN(AF39+1,AE40+1,AE39+IF($A40=AF$4,0,1))</f>
        <v>32</v>
      </c>
      <c r="AG40" s="2" t="n">
        <f aca="false">MIN(AG39+1,AF40+1,AF39+IF($A40=AG$4,0,1))</f>
        <v>32</v>
      </c>
      <c r="AH40" s="2" t="n">
        <f aca="false">MIN(AH39+1,AG40+1,AG39+IF($A40=AH$4,0,1))</f>
        <v>32</v>
      </c>
      <c r="AI40" s="2" t="n">
        <f aca="false">MIN(AI39+1,AH40+1,AH39+IF($A40=AI$4,0,1))</f>
        <v>32</v>
      </c>
      <c r="AJ40" s="2" t="n">
        <f aca="false">MIN(AJ39+1,AI40+1,AI39+IF($A40=AJ$4,0,1))</f>
        <v>33</v>
      </c>
      <c r="AK40" s="2" t="n">
        <f aca="false">MIN(AK39+1,AJ40+1,AJ39+IF($A40=AK$4,0,1))</f>
        <v>33</v>
      </c>
      <c r="AL40" s="2" t="n">
        <f aca="false">MIN(AL39+1,AK40+1,AK39+IF($A40=AL$4,0,1))</f>
        <v>33</v>
      </c>
      <c r="AM40" s="2" t="n">
        <f aca="false">MIN(AM39+1,AL40+1,AL39+IF($A40=AM$4,0,1))</f>
        <v>33</v>
      </c>
      <c r="AN40" s="2" t="n">
        <f aca="false">MIN(AN39+1,AM40+1,AM39+IF($A40=AN$4,0,1))</f>
        <v>34</v>
      </c>
      <c r="AO40" s="2" t="n">
        <f aca="false">MIN(AO39+1,AN40+1,AN39+IF($A40=AO$4,0,1))</f>
        <v>35</v>
      </c>
      <c r="AP40" s="2" t="n">
        <f aca="false">MIN(AP39+1,AO40+1,AO39+IF($A40=AP$4,0,1))</f>
        <v>36</v>
      </c>
      <c r="AQ40" s="2" t="n">
        <f aca="false">MIN(AQ39+1,AP40+1,AP39+IF($A40=AQ$4,0,1))</f>
        <v>37</v>
      </c>
      <c r="AR40" s="2" t="n">
        <f aca="false">MIN(AR39+1,AQ40+1,AQ39+IF($A40=AR$4,0,1))</f>
        <v>38</v>
      </c>
      <c r="AS40" s="2" t="n">
        <f aca="false">MIN(AS39+1,AR40+1,AR39+IF($A40=AS$4,0,1))</f>
        <v>39</v>
      </c>
      <c r="AT40" s="2" t="n">
        <f aca="false">MIN(AT39+1,AS40+1,AS39+IF($A40=AT$4,0,1))</f>
        <v>40</v>
      </c>
      <c r="AU40" s="2" t="n">
        <f aca="false">MIN(AU39+1,AT40+1,AT39+IF($A40=AU$4,0,1))</f>
        <v>41</v>
      </c>
      <c r="AV40" s="2" t="n">
        <f aca="false">MIN(AV39+1,AU40+1,AU39+IF($A40=AV$4,0,1))</f>
        <v>42</v>
      </c>
      <c r="AW40" s="2" t="n">
        <f aca="false">MIN(AW39+1,AV40+1,AV39+IF($A40=AW$4,0,1))</f>
        <v>43</v>
      </c>
      <c r="AX40" s="2" t="n">
        <f aca="false">MIN(AX39+1,AW40+1,AW39+IF($A40=AX$4,0,1))</f>
        <v>44</v>
      </c>
      <c r="AY40" s="2" t="n">
        <f aca="false">MIN(AY39+1,AX40+1,AX39+IF($A40=AY$4,0,1))</f>
        <v>45</v>
      </c>
      <c r="AZ40" s="2" t="n">
        <f aca="false">MIN(AZ39+1,AY40+1,AY39+IF($A40=AZ$4,0,1))</f>
        <v>46</v>
      </c>
      <c r="BA40" s="2" t="n">
        <f aca="false">MIN(BA39+1,AZ40+1,AZ39+IF($A40=BA$4,0,1))</f>
        <v>47</v>
      </c>
      <c r="BB40" s="2" t="n">
        <f aca="false">MIN(BB39+1,BA40+1,BA39+IF($A40=BB$4,0,1))</f>
        <v>48</v>
      </c>
      <c r="BC40" s="2" t="n">
        <f aca="false">MIN(BC39+1,BB40+1,BB39+IF($A40=BC$4,0,1))</f>
        <v>48</v>
      </c>
      <c r="BD40" s="2" t="n">
        <f aca="false">MIN(BD39+1,BC40+1,BC39+IF($A40=BD$4,0,1))</f>
        <v>49</v>
      </c>
      <c r="BE40" s="2" t="n">
        <f aca="false">MIN(BE39+1,BD40+1,BD39+IF($A40=BE$4,0,1))</f>
        <v>50</v>
      </c>
      <c r="BF40" s="2" t="n">
        <f aca="false">MIN(BF39+1,BE40+1,BE39+IF($A40=BF$4,0,1))</f>
        <v>51</v>
      </c>
      <c r="BG40" s="2" t="n">
        <f aca="false">MIN(BG39+1,BF40+1,BF39+IF($A40=BG$4,0,1))</f>
        <v>52</v>
      </c>
      <c r="BH40" s="2" t="n">
        <f aca="false">MIN(BH39+1,BG40+1,BG39+IF($A40=BH$4,0,1))</f>
        <v>53</v>
      </c>
      <c r="BI40" s="2" t="n">
        <f aca="false">MIN(BI39+1,BH40+1,BH39+IF($A40=BI$4,0,1))</f>
        <v>54</v>
      </c>
      <c r="BJ40" s="2" t="n">
        <f aca="false">MIN(BJ39+1,BI40+1,BI39+IF($A40=BJ$4,0,1))</f>
        <v>55</v>
      </c>
      <c r="BK40" s="2" t="n">
        <f aca="false">MIN(BK39+1,BJ40+1,BJ39+IF($A40=BK$4,0,1))</f>
        <v>56</v>
      </c>
      <c r="BL40" s="2" t="n">
        <f aca="false">MIN(BL39+1,BK40+1,BK39+IF($A40=BL$4,0,1))</f>
        <v>57</v>
      </c>
      <c r="BM40" s="2" t="n">
        <f aca="false">MIN(BM39+1,BL40+1,BL39+IF($A40=BM$4,0,1))</f>
        <v>57</v>
      </c>
      <c r="BN40" s="2" t="n">
        <f aca="false">MIN(BN39+1,BM40+1,BM39+IF($A40=BN$4,0,1))</f>
        <v>58</v>
      </c>
      <c r="BO40" s="2" t="n">
        <f aca="false">MIN(BO39+1,BN40+1,BN39+IF($A40=BO$4,0,1))</f>
        <v>59</v>
      </c>
      <c r="BP40" s="2" t="n">
        <f aca="false">MIN(BP39+1,BO40+1,BO39+IF($A40=BP$4,0,1))</f>
        <v>60</v>
      </c>
      <c r="BQ40" s="2" t="n">
        <f aca="false">MIN(BQ39+1,BP40+1,BP39+IF($A40=BQ$4,0,1))</f>
        <v>61</v>
      </c>
      <c r="BR40" s="2" t="n">
        <f aca="false">MIN(BR39+1,BQ40+1,BQ39+IF($A40=BR$4,0,1))</f>
        <v>62</v>
      </c>
      <c r="BS40" s="2" t="n">
        <f aca="false">MIN(BS39+1,BR40+1,BR39+IF($A40=BS$4,0,1))</f>
        <v>63</v>
      </c>
      <c r="BT40" s="2" t="n">
        <f aca="false">MIN(BT39+1,BS40+1,BS39+IF($A40=BT$4,0,1))</f>
        <v>64</v>
      </c>
      <c r="BU40" s="2" t="n">
        <f aca="false">MIN(BU39+1,BT40+1,BT39+IF($A40=BU$4,0,1))</f>
        <v>65</v>
      </c>
      <c r="BV40" s="2" t="n">
        <f aca="false">MIN(BV39+1,BU40+1,BU39+IF($A40=BV$4,0,1))</f>
        <v>66</v>
      </c>
      <c r="BW40" s="2" t="n">
        <f aca="false">MIN(BW39+1,BV40+1,BV39+IF($A40=BW$4,0,1))</f>
        <v>67</v>
      </c>
      <c r="BX40" s="2" t="n">
        <f aca="false">MIN(BX39+1,BW40+1,BW39+IF($A40=BX$4,0,1))</f>
        <v>68</v>
      </c>
      <c r="BY40" s="2" t="n">
        <f aca="false">MIN(BY39+1,BX40+1,BX39+IF($A40=BY$4,0,1))</f>
        <v>69</v>
      </c>
      <c r="BZ40" s="2" t="n">
        <f aca="false">MIN(BZ39+1,BY40+1,BY39+IF($A40=BZ$4,0,1))</f>
        <v>70</v>
      </c>
      <c r="CA40" s="2" t="n">
        <f aca="false">MIN(CA39+1,BZ40+1,BZ39+IF($A40=CA$4,0,1))</f>
        <v>71</v>
      </c>
      <c r="CB40" s="2" t="n">
        <f aca="false">MIN(CB39+1,CA40+1,CA39+IF($A40=CB$4,0,1))</f>
        <v>72</v>
      </c>
      <c r="CC40" s="2" t="n">
        <f aca="false">MIN(CC39+1,CB40+1,CB39+IF($A40=CC$4,0,1))</f>
        <v>73</v>
      </c>
      <c r="CD40" s="2" t="n">
        <f aca="false">MIN(CD39+1,CC40+1,CC39+IF($A40=CD$4,0,1))</f>
        <v>74</v>
      </c>
      <c r="CE40" s="2" t="n">
        <f aca="false">MIN(CE39+1,CD40+1,CD39+IF($A40=CE$4,0,1))</f>
        <v>75</v>
      </c>
      <c r="CF40" s="2" t="n">
        <f aca="false">MIN(CF39+1,CE40+1,CE39+IF($A40=CF$4,0,1))</f>
        <v>76</v>
      </c>
      <c r="CG40" s="2" t="n">
        <f aca="false">MIN(CG39+1,CF40+1,CF39+IF($A40=CG$4,0,1))</f>
        <v>77</v>
      </c>
      <c r="CH40" s="2" t="n">
        <f aca="false">MIN(CH39+1,CG40+1,CG39+IF($A40=CH$4,0,1))</f>
        <v>78</v>
      </c>
      <c r="CI40" s="2" t="n">
        <f aca="false">MIN(CI39+1,CH40+1,CH39+IF($A40=CI$4,0,1))</f>
        <v>79</v>
      </c>
      <c r="CJ40" s="2" t="n">
        <f aca="false">MIN(CJ39+1,CI40+1,CI39+IF($A40=CJ$4,0,1))</f>
        <v>80</v>
      </c>
      <c r="CK40" s="2" t="n">
        <f aca="false">MIN(CK39+1,CJ40+1,CJ39+IF($A40=CK$4,0,1))</f>
        <v>81</v>
      </c>
      <c r="CL40" s="2" t="n">
        <f aca="false">MIN(CL39+1,CK40+1,CK39+IF($A40=CL$4,0,1))</f>
        <v>82</v>
      </c>
      <c r="CM40" s="2" t="n">
        <f aca="false">MIN(CM39+1,CL40+1,CL39+IF($A40=CM$4,0,1))</f>
        <v>83</v>
      </c>
      <c r="CN40" s="2" t="n">
        <f aca="false">MIN(CN39+1,CM40+1,CM39+IF($A40=CN$4,0,1))</f>
        <v>84</v>
      </c>
      <c r="CO40" s="2" t="n">
        <f aca="false">MIN(CO39+1,CN40+1,CN39+IF($A40=CO$4,0,1))</f>
        <v>85</v>
      </c>
      <c r="CP40" s="2" t="n">
        <f aca="false">MIN(CP39+1,CO40+1,CO39+IF($A40=CP$4,0,1))</f>
        <v>86</v>
      </c>
      <c r="CQ40" s="2" t="n">
        <f aca="false">MIN(CQ39+1,CP40+1,CP39+IF($A40=CQ$4,0,1))</f>
        <v>87</v>
      </c>
    </row>
    <row r="41" customFormat="false" ht="15" hidden="false" customHeight="false" outlineLevel="0" collapsed="false">
      <c r="A41" s="4" t="s">
        <v>166</v>
      </c>
      <c r="B41" s="12" t="n">
        <v>36</v>
      </c>
      <c r="C41" s="2" t="n">
        <f aca="false">MIN(C40+1,B41+1,B40+IF($A41=C$4,0,1))</f>
        <v>36</v>
      </c>
      <c r="D41" s="2" t="n">
        <f aca="false">MIN(D40+1,C41+1,C40+IF($A41=D$4,0,1))</f>
        <v>35</v>
      </c>
      <c r="E41" s="2" t="n">
        <f aca="false">MIN(E40+1,D41+1,D40+IF($A41=E$4,0,1))</f>
        <v>34</v>
      </c>
      <c r="F41" s="2" t="n">
        <f aca="false">MIN(F40+1,E41+1,E40+IF($A41=F$4,0,1))</f>
        <v>33</v>
      </c>
      <c r="G41" s="2" t="n">
        <f aca="false">MIN(G40+1,F41+1,F40+IF($A41=G$4,0,1))</f>
        <v>33</v>
      </c>
      <c r="H41" s="2" t="n">
        <f aca="false">MIN(H40+1,G41+1,G40+IF($A41=H$4,0,1))</f>
        <v>33</v>
      </c>
      <c r="I41" s="2" t="n">
        <f aca="false">MIN(I40+1,H41+1,H40+IF($A41=I$4,0,1))</f>
        <v>33</v>
      </c>
      <c r="J41" s="2" t="n">
        <f aca="false">MIN(J40+1,I41+1,I40+IF($A41=J$4,0,1))</f>
        <v>33</v>
      </c>
      <c r="K41" s="2" t="n">
        <f aca="false">MIN(K40+1,J41+1,J40+IF($A41=K$4,0,1))</f>
        <v>33</v>
      </c>
      <c r="L41" s="2" t="n">
        <f aca="false">MIN(L40+1,K41+1,K40+IF($A41=L$4,0,1))</f>
        <v>33</v>
      </c>
      <c r="M41" s="2" t="n">
        <f aca="false">MIN(M40+1,L41+1,L40+IF($A41=M$4,0,1))</f>
        <v>33</v>
      </c>
      <c r="N41" s="2" t="n">
        <f aca="false">MIN(N40+1,M41+1,M40+IF($A41=N$4,0,1))</f>
        <v>32</v>
      </c>
      <c r="O41" s="2" t="n">
        <f aca="false">MIN(O40+1,N41+1,N40+IF($A41=O$4,0,1))</f>
        <v>32</v>
      </c>
      <c r="P41" s="2" t="n">
        <f aca="false">MIN(P40+1,O41+1,O40+IF($A41=P$4,0,1))</f>
        <v>32</v>
      </c>
      <c r="Q41" s="2" t="n">
        <f aca="false">MIN(Q40+1,P41+1,P40+IF($A41=Q$4,0,1))</f>
        <v>32</v>
      </c>
      <c r="R41" s="2" t="n">
        <f aca="false">MIN(R40+1,Q41+1,Q40+IF($A41=R$4,0,1))</f>
        <v>32</v>
      </c>
      <c r="S41" s="2" t="n">
        <f aca="false">MIN(S40+1,R41+1,R40+IF($A41=S$4,0,1))</f>
        <v>32</v>
      </c>
      <c r="T41" s="2" t="n">
        <f aca="false">MIN(T40+1,S41+1,S40+IF($A41=T$4,0,1))</f>
        <v>32</v>
      </c>
      <c r="U41" s="2" t="n">
        <f aca="false">MIN(U40+1,T41+1,T40+IF($A41=U$4,0,1))</f>
        <v>32</v>
      </c>
      <c r="V41" s="2" t="n">
        <f aca="false">MIN(V40+1,U41+1,U40+IF($A41=V$4,0,1))</f>
        <v>32</v>
      </c>
      <c r="W41" s="2" t="n">
        <f aca="false">MIN(W40+1,V41+1,V40+IF($A41=W$4,0,1))</f>
        <v>33</v>
      </c>
      <c r="X41" s="2" t="n">
        <f aca="false">MIN(X40+1,W41+1,W40+IF($A41=X$4,0,1))</f>
        <v>33</v>
      </c>
      <c r="Y41" s="2" t="n">
        <f aca="false">MIN(Y40+1,X41+1,X40+IF($A41=Y$4,0,1))</f>
        <v>33</v>
      </c>
      <c r="Z41" s="2" t="n">
        <f aca="false">MIN(Z40+1,Y41+1,Y40+IF($A41=Z$4,0,1))</f>
        <v>33</v>
      </c>
      <c r="AA41" s="2" t="n">
        <f aca="false">MIN(AA40+1,Z41+1,Z40+IF($A41=AA$4,0,1))</f>
        <v>33</v>
      </c>
      <c r="AB41" s="2" t="n">
        <f aca="false">MIN(AB40+1,AA41+1,AA40+IF($A41=AB$4,0,1))</f>
        <v>33</v>
      </c>
      <c r="AC41" s="2" t="n">
        <f aca="false">MIN(AC40+1,AB41+1,AB40+IF($A41=AC$4,0,1))</f>
        <v>33</v>
      </c>
      <c r="AD41" s="2" t="n">
        <f aca="false">MIN(AD40+1,AC41+1,AC40+IF($A41=AD$4,0,1))</f>
        <v>33</v>
      </c>
      <c r="AE41" s="2" t="n">
        <f aca="false">MIN(AE40+1,AD41+1,AD40+IF($A41=AE$4,0,1))</f>
        <v>33</v>
      </c>
      <c r="AF41" s="2" t="n">
        <f aca="false">MIN(AF40+1,AE41+1,AE40+IF($A41=AF$4,0,1))</f>
        <v>33</v>
      </c>
      <c r="AG41" s="2" t="n">
        <f aca="false">MIN(AG40+1,AF41+1,AF40+IF($A41=AG$4,0,1))</f>
        <v>33</v>
      </c>
      <c r="AH41" s="2" t="n">
        <f aca="false">MIN(AH40+1,AG41+1,AG40+IF($A41=AH$4,0,1))</f>
        <v>33</v>
      </c>
      <c r="AI41" s="2" t="n">
        <f aca="false">MIN(AI40+1,AH41+1,AH40+IF($A41=AI$4,0,1))</f>
        <v>33</v>
      </c>
      <c r="AJ41" s="2" t="n">
        <f aca="false">MIN(AJ40+1,AI41+1,AI40+IF($A41=AJ$4,0,1))</f>
        <v>33</v>
      </c>
      <c r="AK41" s="2" t="n">
        <f aca="false">MIN(AK40+1,AJ41+1,AJ40+IF($A41=AK$4,0,1))</f>
        <v>34</v>
      </c>
      <c r="AL41" s="2" t="n">
        <f aca="false">MIN(AL40+1,AK41+1,AK40+IF($A41=AL$4,0,1))</f>
        <v>34</v>
      </c>
      <c r="AM41" s="2" t="n">
        <f aca="false">MIN(AM40+1,AL41+1,AL40+IF($A41=AM$4,0,1))</f>
        <v>34</v>
      </c>
      <c r="AN41" s="2" t="n">
        <f aca="false">MIN(AN40+1,AM41+1,AM40+IF($A41=AN$4,0,1))</f>
        <v>34</v>
      </c>
      <c r="AO41" s="2" t="n">
        <f aca="false">MIN(AO40+1,AN41+1,AN40+IF($A41=AO$4,0,1))</f>
        <v>35</v>
      </c>
      <c r="AP41" s="2" t="n">
        <f aca="false">MIN(AP40+1,AO41+1,AO40+IF($A41=AP$4,0,1))</f>
        <v>36</v>
      </c>
      <c r="AQ41" s="2" t="n">
        <f aca="false">MIN(AQ40+1,AP41+1,AP40+IF($A41=AQ$4,0,1))</f>
        <v>37</v>
      </c>
      <c r="AR41" s="2" t="n">
        <f aca="false">MIN(AR40+1,AQ41+1,AQ40+IF($A41=AR$4,0,1))</f>
        <v>38</v>
      </c>
      <c r="AS41" s="2" t="n">
        <f aca="false">MIN(AS40+1,AR41+1,AR40+IF($A41=AS$4,0,1))</f>
        <v>39</v>
      </c>
      <c r="AT41" s="2" t="n">
        <f aca="false">MIN(AT40+1,AS41+1,AS40+IF($A41=AT$4,0,1))</f>
        <v>40</v>
      </c>
      <c r="AU41" s="2" t="n">
        <f aca="false">MIN(AU40+1,AT41+1,AT40+IF($A41=AU$4,0,1))</f>
        <v>41</v>
      </c>
      <c r="AV41" s="2" t="n">
        <f aca="false">MIN(AV40+1,AU41+1,AU40+IF($A41=AV$4,0,1))</f>
        <v>42</v>
      </c>
      <c r="AW41" s="2" t="n">
        <f aca="false">MIN(AW40+1,AV41+1,AV40+IF($A41=AW$4,0,1))</f>
        <v>43</v>
      </c>
      <c r="AX41" s="2" t="n">
        <f aca="false">MIN(AX40+1,AW41+1,AW40+IF($A41=AX$4,0,1))</f>
        <v>44</v>
      </c>
      <c r="AY41" s="2" t="n">
        <f aca="false">MIN(AY40+1,AX41+1,AX40+IF($A41=AY$4,0,1))</f>
        <v>45</v>
      </c>
      <c r="AZ41" s="2" t="n">
        <f aca="false">MIN(AZ40+1,AY41+1,AY40+IF($A41=AZ$4,0,1))</f>
        <v>46</v>
      </c>
      <c r="BA41" s="2" t="n">
        <f aca="false">MIN(BA40+1,AZ41+1,AZ40+IF($A41=BA$4,0,1))</f>
        <v>47</v>
      </c>
      <c r="BB41" s="2" t="n">
        <f aca="false">MIN(BB40+1,BA41+1,BA40+IF($A41=BB$4,0,1))</f>
        <v>48</v>
      </c>
      <c r="BC41" s="2" t="n">
        <f aca="false">MIN(BC40+1,BB41+1,BB40+IF($A41=BC$4,0,1))</f>
        <v>49</v>
      </c>
      <c r="BD41" s="2" t="n">
        <f aca="false">MIN(BD40+1,BC41+1,BC40+IF($A41=BD$4,0,1))</f>
        <v>49</v>
      </c>
      <c r="BE41" s="2" t="n">
        <f aca="false">MIN(BE40+1,BD41+1,BD40+IF($A41=BE$4,0,1))</f>
        <v>50</v>
      </c>
      <c r="BF41" s="2" t="n">
        <f aca="false">MIN(BF40+1,BE41+1,BE40+IF($A41=BF$4,0,1))</f>
        <v>51</v>
      </c>
      <c r="BG41" s="2" t="n">
        <f aca="false">MIN(BG40+1,BF41+1,BF40+IF($A41=BG$4,0,1))</f>
        <v>52</v>
      </c>
      <c r="BH41" s="2" t="n">
        <f aca="false">MIN(BH40+1,BG41+1,BG40+IF($A41=BH$4,0,1))</f>
        <v>53</v>
      </c>
      <c r="BI41" s="2" t="n">
        <f aca="false">MIN(BI40+1,BH41+1,BH40+IF($A41=BI$4,0,1))</f>
        <v>54</v>
      </c>
      <c r="BJ41" s="2" t="n">
        <f aca="false">MIN(BJ40+1,BI41+1,BI40+IF($A41=BJ$4,0,1))</f>
        <v>55</v>
      </c>
      <c r="BK41" s="2" t="n">
        <f aca="false">MIN(BK40+1,BJ41+1,BJ40+IF($A41=BK$4,0,1))</f>
        <v>56</v>
      </c>
      <c r="BL41" s="2" t="n">
        <f aca="false">MIN(BL40+1,BK41+1,BK40+IF($A41=BL$4,0,1))</f>
        <v>57</v>
      </c>
      <c r="BM41" s="2" t="n">
        <f aca="false">MIN(BM40+1,BL41+1,BL40+IF($A41=BM$4,0,1))</f>
        <v>58</v>
      </c>
      <c r="BN41" s="2" t="n">
        <f aca="false">MIN(BN40+1,BM41+1,BM40+IF($A41=BN$4,0,1))</f>
        <v>58</v>
      </c>
      <c r="BO41" s="2" t="n">
        <f aca="false">MIN(BO40+1,BN41+1,BN40+IF($A41=BO$4,0,1))</f>
        <v>59</v>
      </c>
      <c r="BP41" s="2" t="n">
        <f aca="false">MIN(BP40+1,BO41+1,BO40+IF($A41=BP$4,0,1))</f>
        <v>60</v>
      </c>
      <c r="BQ41" s="2" t="n">
        <f aca="false">MIN(BQ40+1,BP41+1,BP40+IF($A41=BQ$4,0,1))</f>
        <v>61</v>
      </c>
      <c r="BR41" s="2" t="n">
        <f aca="false">MIN(BR40+1,BQ41+1,BQ40+IF($A41=BR$4,0,1))</f>
        <v>62</v>
      </c>
      <c r="BS41" s="2" t="n">
        <f aca="false">MIN(BS40+1,BR41+1,BR40+IF($A41=BS$4,0,1))</f>
        <v>63</v>
      </c>
      <c r="BT41" s="2" t="n">
        <f aca="false">MIN(BT40+1,BS41+1,BS40+IF($A41=BT$4,0,1))</f>
        <v>64</v>
      </c>
      <c r="BU41" s="2" t="n">
        <f aca="false">MIN(BU40+1,BT41+1,BT40+IF($A41=BU$4,0,1))</f>
        <v>65</v>
      </c>
      <c r="BV41" s="2" t="n">
        <f aca="false">MIN(BV40+1,BU41+1,BU40+IF($A41=BV$4,0,1))</f>
        <v>66</v>
      </c>
      <c r="BW41" s="2" t="n">
        <f aca="false">MIN(BW40+1,BV41+1,BV40+IF($A41=BW$4,0,1))</f>
        <v>67</v>
      </c>
      <c r="BX41" s="2" t="n">
        <f aca="false">MIN(BX40+1,BW41+1,BW40+IF($A41=BX$4,0,1))</f>
        <v>68</v>
      </c>
      <c r="BY41" s="2" t="n">
        <f aca="false">MIN(BY40+1,BX41+1,BX40+IF($A41=BY$4,0,1))</f>
        <v>69</v>
      </c>
      <c r="BZ41" s="2" t="n">
        <f aca="false">MIN(BZ40+1,BY41+1,BY40+IF($A41=BZ$4,0,1))</f>
        <v>70</v>
      </c>
      <c r="CA41" s="2" t="n">
        <f aca="false">MIN(CA40+1,BZ41+1,BZ40+IF($A41=CA$4,0,1))</f>
        <v>71</v>
      </c>
      <c r="CB41" s="2" t="n">
        <f aca="false">MIN(CB40+1,CA41+1,CA40+IF($A41=CB$4,0,1))</f>
        <v>72</v>
      </c>
      <c r="CC41" s="2" t="n">
        <f aca="false">MIN(CC40+1,CB41+1,CB40+IF($A41=CC$4,0,1))</f>
        <v>73</v>
      </c>
      <c r="CD41" s="2" t="n">
        <f aca="false">MIN(CD40+1,CC41+1,CC40+IF($A41=CD$4,0,1))</f>
        <v>74</v>
      </c>
      <c r="CE41" s="2" t="n">
        <f aca="false">MIN(CE40+1,CD41+1,CD40+IF($A41=CE$4,0,1))</f>
        <v>75</v>
      </c>
      <c r="CF41" s="2" t="n">
        <f aca="false">MIN(CF40+1,CE41+1,CE40+IF($A41=CF$4,0,1))</f>
        <v>76</v>
      </c>
      <c r="CG41" s="2" t="n">
        <f aca="false">MIN(CG40+1,CF41+1,CF40+IF($A41=CG$4,0,1))</f>
        <v>77</v>
      </c>
      <c r="CH41" s="2" t="n">
        <f aca="false">MIN(CH40+1,CG41+1,CG40+IF($A41=CH$4,0,1))</f>
        <v>78</v>
      </c>
      <c r="CI41" s="2" t="n">
        <f aca="false">MIN(CI40+1,CH41+1,CH40+IF($A41=CI$4,0,1))</f>
        <v>79</v>
      </c>
      <c r="CJ41" s="2" t="n">
        <f aca="false">MIN(CJ40+1,CI41+1,CI40+IF($A41=CJ$4,0,1))</f>
        <v>80</v>
      </c>
      <c r="CK41" s="2" t="n">
        <f aca="false">MIN(CK40+1,CJ41+1,CJ40+IF($A41=CK$4,0,1))</f>
        <v>81</v>
      </c>
      <c r="CL41" s="2" t="n">
        <f aca="false">MIN(CL40+1,CK41+1,CK40+IF($A41=CL$4,0,1))</f>
        <v>82</v>
      </c>
      <c r="CM41" s="2" t="n">
        <f aca="false">MIN(CM40+1,CL41+1,CL40+IF($A41=CM$4,0,1))</f>
        <v>83</v>
      </c>
      <c r="CN41" s="2" t="n">
        <f aca="false">MIN(CN40+1,CM41+1,CM40+IF($A41=CN$4,0,1))</f>
        <v>84</v>
      </c>
      <c r="CO41" s="2" t="n">
        <f aca="false">MIN(CO40+1,CN41+1,CN40+IF($A41=CO$4,0,1))</f>
        <v>85</v>
      </c>
      <c r="CP41" s="2" t="n">
        <f aca="false">MIN(CP40+1,CO41+1,CO40+IF($A41=CP$4,0,1))</f>
        <v>86</v>
      </c>
      <c r="CQ41" s="2" t="n">
        <f aca="false">MIN(CQ40+1,CP41+1,CP40+IF($A41=CQ$4,0,1))</f>
        <v>87</v>
      </c>
    </row>
    <row r="42" customFormat="false" ht="15" hidden="false" customHeight="false" outlineLevel="0" collapsed="false">
      <c r="A42" s="4" t="s">
        <v>167</v>
      </c>
      <c r="B42" s="12" t="n">
        <v>37</v>
      </c>
      <c r="C42" s="2" t="n">
        <f aca="false">MIN(C41+1,B42+1,B41+IF($A42=C$4,0,1))</f>
        <v>37</v>
      </c>
      <c r="D42" s="2" t="n">
        <f aca="false">MIN(D41+1,C42+1,C41+IF($A42=D$4,0,1))</f>
        <v>36</v>
      </c>
      <c r="E42" s="2" t="n">
        <f aca="false">MIN(E41+1,D42+1,D41+IF($A42=E$4,0,1))</f>
        <v>35</v>
      </c>
      <c r="F42" s="2" t="n">
        <f aca="false">MIN(F41+1,E42+1,E41+IF($A42=F$4,0,1))</f>
        <v>34</v>
      </c>
      <c r="G42" s="2" t="n">
        <f aca="false">MIN(G41+1,F42+1,F41+IF($A42=G$4,0,1))</f>
        <v>34</v>
      </c>
      <c r="H42" s="2" t="n">
        <f aca="false">MIN(H41+1,G42+1,G41+IF($A42=H$4,0,1))</f>
        <v>34</v>
      </c>
      <c r="I42" s="2" t="n">
        <f aca="false">MIN(I41+1,H42+1,H41+IF($A42=I$4,0,1))</f>
        <v>34</v>
      </c>
      <c r="J42" s="2" t="n">
        <f aca="false">MIN(J41+1,I42+1,I41+IF($A42=J$4,0,1))</f>
        <v>34</v>
      </c>
      <c r="K42" s="2" t="n">
        <f aca="false">MIN(K41+1,J42+1,J41+IF($A42=K$4,0,1))</f>
        <v>34</v>
      </c>
      <c r="L42" s="2" t="n">
        <f aca="false">MIN(L41+1,K42+1,K41+IF($A42=L$4,0,1))</f>
        <v>34</v>
      </c>
      <c r="M42" s="2" t="n">
        <f aca="false">MIN(M41+1,L42+1,L41+IF($A42=M$4,0,1))</f>
        <v>34</v>
      </c>
      <c r="N42" s="2" t="n">
        <f aca="false">MIN(N41+1,M42+1,M41+IF($A42=N$4,0,1))</f>
        <v>33</v>
      </c>
      <c r="O42" s="2" t="n">
        <f aca="false">MIN(O41+1,N42+1,N41+IF($A42=O$4,0,1))</f>
        <v>33</v>
      </c>
      <c r="P42" s="2" t="n">
        <f aca="false">MIN(P41+1,O42+1,O41+IF($A42=P$4,0,1))</f>
        <v>33</v>
      </c>
      <c r="Q42" s="2" t="n">
        <f aca="false">MIN(Q41+1,P42+1,P41+IF($A42=Q$4,0,1))</f>
        <v>33</v>
      </c>
      <c r="R42" s="2" t="n">
        <f aca="false">MIN(R41+1,Q42+1,Q41+IF($A42=R$4,0,1))</f>
        <v>33</v>
      </c>
      <c r="S42" s="2" t="n">
        <f aca="false">MIN(S41+1,R42+1,R41+IF($A42=S$4,0,1))</f>
        <v>33</v>
      </c>
      <c r="T42" s="2" t="n">
        <f aca="false">MIN(T41+1,S42+1,S41+IF($A42=T$4,0,1))</f>
        <v>33</v>
      </c>
      <c r="U42" s="2" t="n">
        <f aca="false">MIN(U41+1,T42+1,T41+IF($A42=U$4,0,1))</f>
        <v>33</v>
      </c>
      <c r="V42" s="2" t="n">
        <f aca="false">MIN(V41+1,U42+1,U41+IF($A42=V$4,0,1))</f>
        <v>33</v>
      </c>
      <c r="W42" s="2" t="n">
        <f aca="false">MIN(W41+1,V42+1,V41+IF($A42=W$4,0,1))</f>
        <v>33</v>
      </c>
      <c r="X42" s="2" t="n">
        <f aca="false">MIN(X41+1,W42+1,W41+IF($A42=X$4,0,1))</f>
        <v>34</v>
      </c>
      <c r="Y42" s="2" t="n">
        <f aca="false">MIN(Y41+1,X42+1,X41+IF($A42=Y$4,0,1))</f>
        <v>34</v>
      </c>
      <c r="Z42" s="2" t="n">
        <f aca="false">MIN(Z41+1,Y42+1,Y41+IF($A42=Z$4,0,1))</f>
        <v>34</v>
      </c>
      <c r="AA42" s="2" t="n">
        <f aca="false">MIN(AA41+1,Z42+1,Z41+IF($A42=AA$4,0,1))</f>
        <v>34</v>
      </c>
      <c r="AB42" s="2" t="n">
        <f aca="false">MIN(AB41+1,AA42+1,AA41+IF($A42=AB$4,0,1))</f>
        <v>34</v>
      </c>
      <c r="AC42" s="2" t="n">
        <f aca="false">MIN(AC41+1,AB42+1,AB41+IF($A42=AC$4,0,1))</f>
        <v>34</v>
      </c>
      <c r="AD42" s="2" t="n">
        <f aca="false">MIN(AD41+1,AC42+1,AC41+IF($A42=AD$4,0,1))</f>
        <v>34</v>
      </c>
      <c r="AE42" s="2" t="n">
        <f aca="false">MIN(AE41+1,AD42+1,AD41+IF($A42=AE$4,0,1))</f>
        <v>34</v>
      </c>
      <c r="AF42" s="2" t="n">
        <f aca="false">MIN(AF41+1,AE42+1,AE41+IF($A42=AF$4,0,1))</f>
        <v>34</v>
      </c>
      <c r="AG42" s="2" t="n">
        <f aca="false">MIN(AG41+1,AF42+1,AF41+IF($A42=AG$4,0,1))</f>
        <v>34</v>
      </c>
      <c r="AH42" s="2" t="n">
        <f aca="false">MIN(AH41+1,AG42+1,AG41+IF($A42=AH$4,0,1))</f>
        <v>34</v>
      </c>
      <c r="AI42" s="2" t="n">
        <f aca="false">MIN(AI41+1,AH42+1,AH41+IF($A42=AI$4,0,1))</f>
        <v>34</v>
      </c>
      <c r="AJ42" s="2" t="n">
        <f aca="false">MIN(AJ41+1,AI42+1,AI41+IF($A42=AJ$4,0,1))</f>
        <v>34</v>
      </c>
      <c r="AK42" s="2" t="n">
        <f aca="false">MIN(AK41+1,AJ42+1,AJ41+IF($A42=AK$4,0,1))</f>
        <v>34</v>
      </c>
      <c r="AL42" s="2" t="n">
        <f aca="false">MIN(AL41+1,AK42+1,AK41+IF($A42=AL$4,0,1))</f>
        <v>35</v>
      </c>
      <c r="AM42" s="2" t="n">
        <f aca="false">MIN(AM41+1,AL42+1,AL41+IF($A42=AM$4,0,1))</f>
        <v>35</v>
      </c>
      <c r="AN42" s="2" t="n">
        <f aca="false">MIN(AN41+1,AM42+1,AM41+IF($A42=AN$4,0,1))</f>
        <v>35</v>
      </c>
      <c r="AO42" s="2" t="n">
        <f aca="false">MIN(AO41+1,AN42+1,AN41+IF($A42=AO$4,0,1))</f>
        <v>35</v>
      </c>
      <c r="AP42" s="2" t="n">
        <f aca="false">MIN(AP41+1,AO42+1,AO41+IF($A42=AP$4,0,1))</f>
        <v>36</v>
      </c>
      <c r="AQ42" s="2" t="n">
        <f aca="false">MIN(AQ41+1,AP42+1,AP41+IF($A42=AQ$4,0,1))</f>
        <v>37</v>
      </c>
      <c r="AR42" s="2" t="n">
        <f aca="false">MIN(AR41+1,AQ42+1,AQ41+IF($A42=AR$4,0,1))</f>
        <v>38</v>
      </c>
      <c r="AS42" s="2" t="n">
        <f aca="false">MIN(AS41+1,AR42+1,AR41+IF($A42=AS$4,0,1))</f>
        <v>39</v>
      </c>
      <c r="AT42" s="2" t="n">
        <f aca="false">MIN(AT41+1,AS42+1,AS41+IF($A42=AT$4,0,1))</f>
        <v>40</v>
      </c>
      <c r="AU42" s="2" t="n">
        <f aca="false">MIN(AU41+1,AT42+1,AT41+IF($A42=AU$4,0,1))</f>
        <v>41</v>
      </c>
      <c r="AV42" s="2" t="n">
        <f aca="false">MIN(AV41+1,AU42+1,AU41+IF($A42=AV$4,0,1))</f>
        <v>42</v>
      </c>
      <c r="AW42" s="2" t="n">
        <f aca="false">MIN(AW41+1,AV42+1,AV41+IF($A42=AW$4,0,1))</f>
        <v>43</v>
      </c>
      <c r="AX42" s="2" t="n">
        <f aca="false">MIN(AX41+1,AW42+1,AW41+IF($A42=AX$4,0,1))</f>
        <v>44</v>
      </c>
      <c r="AY42" s="2" t="n">
        <f aca="false">MIN(AY41+1,AX42+1,AX41+IF($A42=AY$4,0,1))</f>
        <v>45</v>
      </c>
      <c r="AZ42" s="2" t="n">
        <f aca="false">MIN(AZ41+1,AY42+1,AY41+IF($A42=AZ$4,0,1))</f>
        <v>46</v>
      </c>
      <c r="BA42" s="2" t="n">
        <f aca="false">MIN(BA41+1,AZ42+1,AZ41+IF($A42=BA$4,0,1))</f>
        <v>47</v>
      </c>
      <c r="BB42" s="2" t="n">
        <f aca="false">MIN(BB41+1,BA42+1,BA41+IF($A42=BB$4,0,1))</f>
        <v>48</v>
      </c>
      <c r="BC42" s="2" t="n">
        <f aca="false">MIN(BC41+1,BB42+1,BB41+IF($A42=BC$4,0,1))</f>
        <v>49</v>
      </c>
      <c r="BD42" s="2" t="n">
        <f aca="false">MIN(BD41+1,BC42+1,BC41+IF($A42=BD$4,0,1))</f>
        <v>50</v>
      </c>
      <c r="BE42" s="2" t="n">
        <f aca="false">MIN(BE41+1,BD42+1,BD41+IF($A42=BE$4,0,1))</f>
        <v>50</v>
      </c>
      <c r="BF42" s="2" t="n">
        <f aca="false">MIN(BF41+1,BE42+1,BE41+IF($A42=BF$4,0,1))</f>
        <v>51</v>
      </c>
      <c r="BG42" s="2" t="n">
        <f aca="false">MIN(BG41+1,BF42+1,BF41+IF($A42=BG$4,0,1))</f>
        <v>52</v>
      </c>
      <c r="BH42" s="2" t="n">
        <f aca="false">MIN(BH41+1,BG42+1,BG41+IF($A42=BH$4,0,1))</f>
        <v>53</v>
      </c>
      <c r="BI42" s="2" t="n">
        <f aca="false">MIN(BI41+1,BH42+1,BH41+IF($A42=BI$4,0,1))</f>
        <v>54</v>
      </c>
      <c r="BJ42" s="2" t="n">
        <f aca="false">MIN(BJ41+1,BI42+1,BI41+IF($A42=BJ$4,0,1))</f>
        <v>55</v>
      </c>
      <c r="BK42" s="2" t="n">
        <f aca="false">MIN(BK41+1,BJ42+1,BJ41+IF($A42=BK$4,0,1))</f>
        <v>56</v>
      </c>
      <c r="BL42" s="2" t="n">
        <f aca="false">MIN(BL41+1,BK42+1,BK41+IF($A42=BL$4,0,1))</f>
        <v>57</v>
      </c>
      <c r="BM42" s="2" t="n">
        <f aca="false">MIN(BM41+1,BL42+1,BL41+IF($A42=BM$4,0,1))</f>
        <v>58</v>
      </c>
      <c r="BN42" s="2" t="n">
        <f aca="false">MIN(BN41+1,BM42+1,BM41+IF($A42=BN$4,0,1))</f>
        <v>59</v>
      </c>
      <c r="BO42" s="2" t="n">
        <f aca="false">MIN(BO41+1,BN42+1,BN41+IF($A42=BO$4,0,1))</f>
        <v>59</v>
      </c>
      <c r="BP42" s="2" t="n">
        <f aca="false">MIN(BP41+1,BO42+1,BO41+IF($A42=BP$4,0,1))</f>
        <v>60</v>
      </c>
      <c r="BQ42" s="2" t="n">
        <f aca="false">MIN(BQ41+1,BP42+1,BP41+IF($A42=BQ$4,0,1))</f>
        <v>61</v>
      </c>
      <c r="BR42" s="2" t="n">
        <f aca="false">MIN(BR41+1,BQ42+1,BQ41+IF($A42=BR$4,0,1))</f>
        <v>62</v>
      </c>
      <c r="BS42" s="2" t="n">
        <f aca="false">MIN(BS41+1,BR42+1,BR41+IF($A42=BS$4,0,1))</f>
        <v>63</v>
      </c>
      <c r="BT42" s="2" t="n">
        <f aca="false">MIN(BT41+1,BS42+1,BS41+IF($A42=BT$4,0,1))</f>
        <v>64</v>
      </c>
      <c r="BU42" s="2" t="n">
        <f aca="false">MIN(BU41+1,BT42+1,BT41+IF($A42=BU$4,0,1))</f>
        <v>65</v>
      </c>
      <c r="BV42" s="2" t="n">
        <f aca="false">MIN(BV41+1,BU42+1,BU41+IF($A42=BV$4,0,1))</f>
        <v>66</v>
      </c>
      <c r="BW42" s="2" t="n">
        <f aca="false">MIN(BW41+1,BV42+1,BV41+IF($A42=BW$4,0,1))</f>
        <v>67</v>
      </c>
      <c r="BX42" s="2" t="n">
        <f aca="false">MIN(BX41+1,BW42+1,BW41+IF($A42=BX$4,0,1))</f>
        <v>68</v>
      </c>
      <c r="BY42" s="2" t="n">
        <f aca="false">MIN(BY41+1,BX42+1,BX41+IF($A42=BY$4,0,1))</f>
        <v>69</v>
      </c>
      <c r="BZ42" s="2" t="n">
        <f aca="false">MIN(BZ41+1,BY42+1,BY41+IF($A42=BZ$4,0,1))</f>
        <v>70</v>
      </c>
      <c r="CA42" s="2" t="n">
        <f aca="false">MIN(CA41+1,BZ42+1,BZ41+IF($A42=CA$4,0,1))</f>
        <v>71</v>
      </c>
      <c r="CB42" s="2" t="n">
        <f aca="false">MIN(CB41+1,CA42+1,CA41+IF($A42=CB$4,0,1))</f>
        <v>72</v>
      </c>
      <c r="CC42" s="2" t="n">
        <f aca="false">MIN(CC41+1,CB42+1,CB41+IF($A42=CC$4,0,1))</f>
        <v>73</v>
      </c>
      <c r="CD42" s="2" t="n">
        <f aca="false">MIN(CD41+1,CC42+1,CC41+IF($A42=CD$4,0,1))</f>
        <v>74</v>
      </c>
      <c r="CE42" s="2" t="n">
        <f aca="false">MIN(CE41+1,CD42+1,CD41+IF($A42=CE$4,0,1))</f>
        <v>75</v>
      </c>
      <c r="CF42" s="2" t="n">
        <f aca="false">MIN(CF41+1,CE42+1,CE41+IF($A42=CF$4,0,1))</f>
        <v>76</v>
      </c>
      <c r="CG42" s="2" t="n">
        <f aca="false">MIN(CG41+1,CF42+1,CF41+IF($A42=CG$4,0,1))</f>
        <v>77</v>
      </c>
      <c r="CH42" s="2" t="n">
        <f aca="false">MIN(CH41+1,CG42+1,CG41+IF($A42=CH$4,0,1))</f>
        <v>78</v>
      </c>
      <c r="CI42" s="2" t="n">
        <f aca="false">MIN(CI41+1,CH42+1,CH41+IF($A42=CI$4,0,1))</f>
        <v>79</v>
      </c>
      <c r="CJ42" s="2" t="n">
        <f aca="false">MIN(CJ41+1,CI42+1,CI41+IF($A42=CJ$4,0,1))</f>
        <v>80</v>
      </c>
      <c r="CK42" s="2" t="n">
        <f aca="false">MIN(CK41+1,CJ42+1,CJ41+IF($A42=CK$4,0,1))</f>
        <v>81</v>
      </c>
      <c r="CL42" s="2" t="n">
        <f aca="false">MIN(CL41+1,CK42+1,CK41+IF($A42=CL$4,0,1))</f>
        <v>82</v>
      </c>
      <c r="CM42" s="2" t="n">
        <f aca="false">MIN(CM41+1,CL42+1,CL41+IF($A42=CM$4,0,1))</f>
        <v>83</v>
      </c>
      <c r="CN42" s="2" t="n">
        <f aca="false">MIN(CN41+1,CM42+1,CM41+IF($A42=CN$4,0,1))</f>
        <v>84</v>
      </c>
      <c r="CO42" s="2" t="n">
        <f aca="false">MIN(CO41+1,CN42+1,CN41+IF($A42=CO$4,0,1))</f>
        <v>85</v>
      </c>
      <c r="CP42" s="2" t="n">
        <f aca="false">MIN(CP41+1,CO42+1,CO41+IF($A42=CP$4,0,1))</f>
        <v>86</v>
      </c>
      <c r="CQ42" s="2" t="n">
        <f aca="false">MIN(CQ41+1,CP42+1,CP41+IF($A42=CQ$4,0,1))</f>
        <v>87</v>
      </c>
    </row>
    <row r="43" customFormat="false" ht="15" hidden="false" customHeight="false" outlineLevel="0" collapsed="false">
      <c r="A43" s="4" t="s">
        <v>168</v>
      </c>
      <c r="B43" s="12" t="n">
        <v>38</v>
      </c>
      <c r="C43" s="2" t="n">
        <f aca="false">MIN(C42+1,B43+1,B42+IF($A43=C$4,0,1))</f>
        <v>38</v>
      </c>
      <c r="D43" s="2" t="n">
        <f aca="false">MIN(D42+1,C43+1,C42+IF($A43=D$4,0,1))</f>
        <v>37</v>
      </c>
      <c r="E43" s="2" t="n">
        <f aca="false">MIN(E42+1,D43+1,D42+IF($A43=E$4,0,1))</f>
        <v>36</v>
      </c>
      <c r="F43" s="2" t="n">
        <f aca="false">MIN(F42+1,E43+1,E42+IF($A43=F$4,0,1))</f>
        <v>35</v>
      </c>
      <c r="G43" s="2" t="n">
        <f aca="false">MIN(G42+1,F43+1,F42+IF($A43=G$4,0,1))</f>
        <v>35</v>
      </c>
      <c r="H43" s="2" t="n">
        <f aca="false">MIN(H42+1,G43+1,G42+IF($A43=H$4,0,1))</f>
        <v>35</v>
      </c>
      <c r="I43" s="2" t="n">
        <f aca="false">MIN(I42+1,H43+1,H42+IF($A43=I$4,0,1))</f>
        <v>35</v>
      </c>
      <c r="J43" s="2" t="n">
        <f aca="false">MIN(J42+1,I43+1,I42+IF($A43=J$4,0,1))</f>
        <v>35</v>
      </c>
      <c r="K43" s="2" t="n">
        <f aca="false">MIN(K42+1,J43+1,J42+IF($A43=K$4,0,1))</f>
        <v>35</v>
      </c>
      <c r="L43" s="2" t="n">
        <f aca="false">MIN(L42+1,K43+1,K42+IF($A43=L$4,0,1))</f>
        <v>35</v>
      </c>
      <c r="M43" s="2" t="n">
        <f aca="false">MIN(M42+1,L43+1,L42+IF($A43=M$4,0,1))</f>
        <v>35</v>
      </c>
      <c r="N43" s="2" t="n">
        <f aca="false">MIN(N42+1,M43+1,M42+IF($A43=N$4,0,1))</f>
        <v>34</v>
      </c>
      <c r="O43" s="2" t="n">
        <f aca="false">MIN(O42+1,N43+1,N42+IF($A43=O$4,0,1))</f>
        <v>34</v>
      </c>
      <c r="P43" s="2" t="n">
        <f aca="false">MIN(P42+1,O43+1,O42+IF($A43=P$4,0,1))</f>
        <v>34</v>
      </c>
      <c r="Q43" s="2" t="n">
        <f aca="false">MIN(Q42+1,P43+1,P42+IF($A43=Q$4,0,1))</f>
        <v>34</v>
      </c>
      <c r="R43" s="2" t="n">
        <f aca="false">MIN(R42+1,Q43+1,Q42+IF($A43=R$4,0,1))</f>
        <v>34</v>
      </c>
      <c r="S43" s="2" t="n">
        <f aca="false">MIN(S42+1,R43+1,R42+IF($A43=S$4,0,1))</f>
        <v>34</v>
      </c>
      <c r="T43" s="2" t="n">
        <f aca="false">MIN(T42+1,S43+1,S42+IF($A43=T$4,0,1))</f>
        <v>34</v>
      </c>
      <c r="U43" s="2" t="n">
        <f aca="false">MIN(U42+1,T43+1,T42+IF($A43=U$4,0,1))</f>
        <v>34</v>
      </c>
      <c r="V43" s="2" t="n">
        <f aca="false">MIN(V42+1,U43+1,U42+IF($A43=V$4,0,1))</f>
        <v>34</v>
      </c>
      <c r="W43" s="2" t="n">
        <f aca="false">MIN(W42+1,V43+1,V42+IF($A43=W$4,0,1))</f>
        <v>34</v>
      </c>
      <c r="X43" s="2" t="n">
        <f aca="false">MIN(X42+1,W43+1,W42+IF($A43=X$4,0,1))</f>
        <v>34</v>
      </c>
      <c r="Y43" s="2" t="n">
        <f aca="false">MIN(Y42+1,X43+1,X42+IF($A43=Y$4,0,1))</f>
        <v>35</v>
      </c>
      <c r="Z43" s="2" t="n">
        <f aca="false">MIN(Z42+1,Y43+1,Y42+IF($A43=Z$4,0,1))</f>
        <v>35</v>
      </c>
      <c r="AA43" s="2" t="n">
        <f aca="false">MIN(AA42+1,Z43+1,Z42+IF($A43=AA$4,0,1))</f>
        <v>35</v>
      </c>
      <c r="AB43" s="2" t="n">
        <f aca="false">MIN(AB42+1,AA43+1,AA42+IF($A43=AB$4,0,1))</f>
        <v>35</v>
      </c>
      <c r="AC43" s="2" t="n">
        <f aca="false">MIN(AC42+1,AB43+1,AB42+IF($A43=AC$4,0,1))</f>
        <v>35</v>
      </c>
      <c r="AD43" s="2" t="n">
        <f aca="false">MIN(AD42+1,AC43+1,AC42+IF($A43=AD$4,0,1))</f>
        <v>35</v>
      </c>
      <c r="AE43" s="2" t="n">
        <f aca="false">MIN(AE42+1,AD43+1,AD42+IF($A43=AE$4,0,1))</f>
        <v>35</v>
      </c>
      <c r="AF43" s="2" t="n">
        <f aca="false">MIN(AF42+1,AE43+1,AE42+IF($A43=AF$4,0,1))</f>
        <v>35</v>
      </c>
      <c r="AG43" s="2" t="n">
        <f aca="false">MIN(AG42+1,AF43+1,AF42+IF($A43=AG$4,0,1))</f>
        <v>35</v>
      </c>
      <c r="AH43" s="2" t="n">
        <f aca="false">MIN(AH42+1,AG43+1,AG42+IF($A43=AH$4,0,1))</f>
        <v>35</v>
      </c>
      <c r="AI43" s="2" t="n">
        <f aca="false">MIN(AI42+1,AH43+1,AH42+IF($A43=AI$4,0,1))</f>
        <v>35</v>
      </c>
      <c r="AJ43" s="2" t="n">
        <f aca="false">MIN(AJ42+1,AI43+1,AI42+IF($A43=AJ$4,0,1))</f>
        <v>35</v>
      </c>
      <c r="AK43" s="2" t="n">
        <f aca="false">MIN(AK42+1,AJ43+1,AJ42+IF($A43=AK$4,0,1))</f>
        <v>35</v>
      </c>
      <c r="AL43" s="2" t="n">
        <f aca="false">MIN(AL42+1,AK43+1,AK42+IF($A43=AL$4,0,1))</f>
        <v>35</v>
      </c>
      <c r="AM43" s="2" t="n">
        <f aca="false">MIN(AM42+1,AL43+1,AL42+IF($A43=AM$4,0,1))</f>
        <v>36</v>
      </c>
      <c r="AN43" s="2" t="n">
        <f aca="false">MIN(AN42+1,AM43+1,AM42+IF($A43=AN$4,0,1))</f>
        <v>36</v>
      </c>
      <c r="AO43" s="2" t="n">
        <f aca="false">MIN(AO42+1,AN43+1,AN42+IF($A43=AO$4,0,1))</f>
        <v>36</v>
      </c>
      <c r="AP43" s="2" t="n">
        <f aca="false">MIN(AP42+1,AO43+1,AO42+IF($A43=AP$4,0,1))</f>
        <v>36</v>
      </c>
      <c r="AQ43" s="2" t="n">
        <f aca="false">MIN(AQ42+1,AP43+1,AP42+IF($A43=AQ$4,0,1))</f>
        <v>37</v>
      </c>
      <c r="AR43" s="2" t="n">
        <f aca="false">MIN(AR42+1,AQ43+1,AQ42+IF($A43=AR$4,0,1))</f>
        <v>38</v>
      </c>
      <c r="AS43" s="2" t="n">
        <f aca="false">MIN(AS42+1,AR43+1,AR42+IF($A43=AS$4,0,1))</f>
        <v>39</v>
      </c>
      <c r="AT43" s="2" t="n">
        <f aca="false">MIN(AT42+1,AS43+1,AS42+IF($A43=AT$4,0,1))</f>
        <v>40</v>
      </c>
      <c r="AU43" s="2" t="n">
        <f aca="false">MIN(AU42+1,AT43+1,AT42+IF($A43=AU$4,0,1))</f>
        <v>41</v>
      </c>
      <c r="AV43" s="2" t="n">
        <f aca="false">MIN(AV42+1,AU43+1,AU42+IF($A43=AV$4,0,1))</f>
        <v>42</v>
      </c>
      <c r="AW43" s="2" t="n">
        <f aca="false">MIN(AW42+1,AV43+1,AV42+IF($A43=AW$4,0,1))</f>
        <v>43</v>
      </c>
      <c r="AX43" s="2" t="n">
        <f aca="false">MIN(AX42+1,AW43+1,AW42+IF($A43=AX$4,0,1))</f>
        <v>44</v>
      </c>
      <c r="AY43" s="2" t="n">
        <f aca="false">MIN(AY42+1,AX43+1,AX42+IF($A43=AY$4,0,1))</f>
        <v>45</v>
      </c>
      <c r="AZ43" s="2" t="n">
        <f aca="false">MIN(AZ42+1,AY43+1,AY42+IF($A43=AZ$4,0,1))</f>
        <v>46</v>
      </c>
      <c r="BA43" s="2" t="n">
        <f aca="false">MIN(BA42+1,AZ43+1,AZ42+IF($A43=BA$4,0,1))</f>
        <v>47</v>
      </c>
      <c r="BB43" s="2" t="n">
        <f aca="false">MIN(BB42+1,BA43+1,BA42+IF($A43=BB$4,0,1))</f>
        <v>48</v>
      </c>
      <c r="BC43" s="2" t="n">
        <f aca="false">MIN(BC42+1,BB43+1,BB42+IF($A43=BC$4,0,1))</f>
        <v>49</v>
      </c>
      <c r="BD43" s="2" t="n">
        <f aca="false">MIN(BD42+1,BC43+1,BC42+IF($A43=BD$4,0,1))</f>
        <v>50</v>
      </c>
      <c r="BE43" s="2" t="n">
        <f aca="false">MIN(BE42+1,BD43+1,BD42+IF($A43=BE$4,0,1))</f>
        <v>51</v>
      </c>
      <c r="BF43" s="2" t="n">
        <f aca="false">MIN(BF42+1,BE43+1,BE42+IF($A43=BF$4,0,1))</f>
        <v>51</v>
      </c>
      <c r="BG43" s="2" t="n">
        <f aca="false">MIN(BG42+1,BF43+1,BF42+IF($A43=BG$4,0,1))</f>
        <v>52</v>
      </c>
      <c r="BH43" s="2" t="n">
        <f aca="false">MIN(BH42+1,BG43+1,BG42+IF($A43=BH$4,0,1))</f>
        <v>53</v>
      </c>
      <c r="BI43" s="2" t="n">
        <f aca="false">MIN(BI42+1,BH43+1,BH42+IF($A43=BI$4,0,1))</f>
        <v>54</v>
      </c>
      <c r="BJ43" s="2" t="n">
        <f aca="false">MIN(BJ42+1,BI43+1,BI42+IF($A43=BJ$4,0,1))</f>
        <v>55</v>
      </c>
      <c r="BK43" s="2" t="n">
        <f aca="false">MIN(BK42+1,BJ43+1,BJ42+IF($A43=BK$4,0,1))</f>
        <v>56</v>
      </c>
      <c r="BL43" s="2" t="n">
        <f aca="false">MIN(BL42+1,BK43+1,BK42+IF($A43=BL$4,0,1))</f>
        <v>57</v>
      </c>
      <c r="BM43" s="2" t="n">
        <f aca="false">MIN(BM42+1,BL43+1,BL42+IF($A43=BM$4,0,1))</f>
        <v>58</v>
      </c>
      <c r="BN43" s="2" t="n">
        <f aca="false">MIN(BN42+1,BM43+1,BM42+IF($A43=BN$4,0,1))</f>
        <v>59</v>
      </c>
      <c r="BO43" s="2" t="n">
        <f aca="false">MIN(BO42+1,BN43+1,BN42+IF($A43=BO$4,0,1))</f>
        <v>60</v>
      </c>
      <c r="BP43" s="2" t="n">
        <f aca="false">MIN(BP42+1,BO43+1,BO42+IF($A43=BP$4,0,1))</f>
        <v>60</v>
      </c>
      <c r="BQ43" s="2" t="n">
        <f aca="false">MIN(BQ42+1,BP43+1,BP42+IF($A43=BQ$4,0,1))</f>
        <v>61</v>
      </c>
      <c r="BR43" s="2" t="n">
        <f aca="false">MIN(BR42+1,BQ43+1,BQ42+IF($A43=BR$4,0,1))</f>
        <v>62</v>
      </c>
      <c r="BS43" s="2" t="n">
        <f aca="false">MIN(BS42+1,BR43+1,BR42+IF($A43=BS$4,0,1))</f>
        <v>63</v>
      </c>
      <c r="BT43" s="2" t="n">
        <f aca="false">MIN(BT42+1,BS43+1,BS42+IF($A43=BT$4,0,1))</f>
        <v>64</v>
      </c>
      <c r="BU43" s="2" t="n">
        <f aca="false">MIN(BU42+1,BT43+1,BT42+IF($A43=BU$4,0,1))</f>
        <v>65</v>
      </c>
      <c r="BV43" s="2" t="n">
        <f aca="false">MIN(BV42+1,BU43+1,BU42+IF($A43=BV$4,0,1))</f>
        <v>66</v>
      </c>
      <c r="BW43" s="2" t="n">
        <f aca="false">MIN(BW42+1,BV43+1,BV42+IF($A43=BW$4,0,1))</f>
        <v>67</v>
      </c>
      <c r="BX43" s="2" t="n">
        <f aca="false">MIN(BX42+1,BW43+1,BW42+IF($A43=BX$4,0,1))</f>
        <v>68</v>
      </c>
      <c r="BY43" s="2" t="n">
        <f aca="false">MIN(BY42+1,BX43+1,BX42+IF($A43=BY$4,0,1))</f>
        <v>69</v>
      </c>
      <c r="BZ43" s="2" t="n">
        <f aca="false">MIN(BZ42+1,BY43+1,BY42+IF($A43=BZ$4,0,1))</f>
        <v>70</v>
      </c>
      <c r="CA43" s="2" t="n">
        <f aca="false">MIN(CA42+1,BZ43+1,BZ42+IF($A43=CA$4,0,1))</f>
        <v>71</v>
      </c>
      <c r="CB43" s="2" t="n">
        <f aca="false">MIN(CB42+1,CA43+1,CA42+IF($A43=CB$4,0,1))</f>
        <v>72</v>
      </c>
      <c r="CC43" s="2" t="n">
        <f aca="false">MIN(CC42+1,CB43+1,CB42+IF($A43=CC$4,0,1))</f>
        <v>73</v>
      </c>
      <c r="CD43" s="2" t="n">
        <f aca="false">MIN(CD42+1,CC43+1,CC42+IF($A43=CD$4,0,1))</f>
        <v>74</v>
      </c>
      <c r="CE43" s="2" t="n">
        <f aca="false">MIN(CE42+1,CD43+1,CD42+IF($A43=CE$4,0,1))</f>
        <v>75</v>
      </c>
      <c r="CF43" s="2" t="n">
        <f aca="false">MIN(CF42+1,CE43+1,CE42+IF($A43=CF$4,0,1))</f>
        <v>76</v>
      </c>
      <c r="CG43" s="2" t="n">
        <f aca="false">MIN(CG42+1,CF43+1,CF42+IF($A43=CG$4,0,1))</f>
        <v>77</v>
      </c>
      <c r="CH43" s="2" t="n">
        <f aca="false">MIN(CH42+1,CG43+1,CG42+IF($A43=CH$4,0,1))</f>
        <v>78</v>
      </c>
      <c r="CI43" s="2" t="n">
        <f aca="false">MIN(CI42+1,CH43+1,CH42+IF($A43=CI$4,0,1))</f>
        <v>79</v>
      </c>
      <c r="CJ43" s="2" t="n">
        <f aca="false">MIN(CJ42+1,CI43+1,CI42+IF($A43=CJ$4,0,1))</f>
        <v>80</v>
      </c>
      <c r="CK43" s="2" t="n">
        <f aca="false">MIN(CK42+1,CJ43+1,CJ42+IF($A43=CK$4,0,1))</f>
        <v>81</v>
      </c>
      <c r="CL43" s="2" t="n">
        <f aca="false">MIN(CL42+1,CK43+1,CK42+IF($A43=CL$4,0,1))</f>
        <v>82</v>
      </c>
      <c r="CM43" s="2" t="n">
        <f aca="false">MIN(CM42+1,CL43+1,CL42+IF($A43=CM$4,0,1))</f>
        <v>83</v>
      </c>
      <c r="CN43" s="2" t="n">
        <f aca="false">MIN(CN42+1,CM43+1,CM42+IF($A43=CN$4,0,1))</f>
        <v>84</v>
      </c>
      <c r="CO43" s="2" t="n">
        <f aca="false">MIN(CO42+1,CN43+1,CN42+IF($A43=CO$4,0,1))</f>
        <v>85</v>
      </c>
      <c r="CP43" s="2" t="n">
        <f aca="false">MIN(CP42+1,CO43+1,CO42+IF($A43=CP$4,0,1))</f>
        <v>86</v>
      </c>
      <c r="CQ43" s="2" t="n">
        <f aca="false">MIN(CQ42+1,CP43+1,CP42+IF($A43=CQ$4,0,1))</f>
        <v>87</v>
      </c>
    </row>
    <row r="44" customFormat="false" ht="15" hidden="false" customHeight="false" outlineLevel="0" collapsed="false">
      <c r="A44" s="4" t="s">
        <v>156</v>
      </c>
      <c r="B44" s="12" t="n">
        <v>39</v>
      </c>
      <c r="C44" s="2" t="n">
        <f aca="false">MIN(C43+1,B44+1,B43+IF($A44=C$4,0,1))</f>
        <v>39</v>
      </c>
      <c r="D44" s="2" t="n">
        <f aca="false">MIN(D43+1,C44+1,C43+IF($A44=D$4,0,1))</f>
        <v>38</v>
      </c>
      <c r="E44" s="2" t="n">
        <f aca="false">MIN(E43+1,D44+1,D43+IF($A44=E$4,0,1))</f>
        <v>37</v>
      </c>
      <c r="F44" s="2" t="n">
        <f aca="false">MIN(F43+1,E44+1,E43+IF($A44=F$4,0,1))</f>
        <v>36</v>
      </c>
      <c r="G44" s="2" t="n">
        <f aca="false">MIN(G43+1,F44+1,F43+IF($A44=G$4,0,1))</f>
        <v>36</v>
      </c>
      <c r="H44" s="2" t="n">
        <f aca="false">MIN(H43+1,G44+1,G43+IF($A44=H$4,0,1))</f>
        <v>36</v>
      </c>
      <c r="I44" s="2" t="n">
        <f aca="false">MIN(I43+1,H44+1,H43+IF($A44=I$4,0,1))</f>
        <v>36</v>
      </c>
      <c r="J44" s="2" t="n">
        <f aca="false">MIN(J43+1,I44+1,I43+IF($A44=J$4,0,1))</f>
        <v>36</v>
      </c>
      <c r="K44" s="2" t="n">
        <f aca="false">MIN(K43+1,J44+1,J43+IF($A44=K$4,0,1))</f>
        <v>36</v>
      </c>
      <c r="L44" s="2" t="n">
        <f aca="false">MIN(L43+1,K44+1,K43+IF($A44=L$4,0,1))</f>
        <v>36</v>
      </c>
      <c r="M44" s="2" t="n">
        <f aca="false">MIN(M43+1,L44+1,L43+IF($A44=M$4,0,1))</f>
        <v>36</v>
      </c>
      <c r="N44" s="2" t="n">
        <f aca="false">MIN(N43+1,M44+1,M43+IF($A44=N$4,0,1))</f>
        <v>35</v>
      </c>
      <c r="O44" s="2" t="n">
        <f aca="false">MIN(O43+1,N44+1,N43+IF($A44=O$4,0,1))</f>
        <v>35</v>
      </c>
      <c r="P44" s="2" t="n">
        <f aca="false">MIN(P43+1,O44+1,O43+IF($A44=P$4,0,1))</f>
        <v>35</v>
      </c>
      <c r="Q44" s="2" t="n">
        <f aca="false">MIN(Q43+1,P44+1,P43+IF($A44=Q$4,0,1))</f>
        <v>35</v>
      </c>
      <c r="R44" s="2" t="n">
        <f aca="false">MIN(R43+1,Q44+1,Q43+IF($A44=R$4,0,1))</f>
        <v>35</v>
      </c>
      <c r="S44" s="2" t="n">
        <f aca="false">MIN(S43+1,R44+1,R43+IF($A44=S$4,0,1))</f>
        <v>35</v>
      </c>
      <c r="T44" s="2" t="n">
        <f aca="false">MIN(T43+1,S44+1,S43+IF($A44=T$4,0,1))</f>
        <v>35</v>
      </c>
      <c r="U44" s="2" t="n">
        <f aca="false">MIN(U43+1,T44+1,T43+IF($A44=U$4,0,1))</f>
        <v>35</v>
      </c>
      <c r="V44" s="2" t="n">
        <f aca="false">MIN(V43+1,U44+1,U43+IF($A44=V$4,0,1))</f>
        <v>35</v>
      </c>
      <c r="W44" s="2" t="n">
        <f aca="false">MIN(W43+1,V44+1,V43+IF($A44=W$4,0,1))</f>
        <v>35</v>
      </c>
      <c r="X44" s="2" t="n">
        <f aca="false">MIN(X43+1,W44+1,W43+IF($A44=X$4,0,1))</f>
        <v>35</v>
      </c>
      <c r="Y44" s="2" t="n">
        <f aca="false">MIN(Y43+1,X44+1,X43+IF($A44=Y$4,0,1))</f>
        <v>35</v>
      </c>
      <c r="Z44" s="2" t="n">
        <f aca="false">MIN(Z43+1,Y44+1,Y43+IF($A44=Z$4,0,1))</f>
        <v>36</v>
      </c>
      <c r="AA44" s="2" t="n">
        <f aca="false">MIN(AA43+1,Z44+1,Z43+IF($A44=AA$4,0,1))</f>
        <v>36</v>
      </c>
      <c r="AB44" s="2" t="n">
        <f aca="false">MIN(AB43+1,AA44+1,AA43+IF($A44=AB$4,0,1))</f>
        <v>36</v>
      </c>
      <c r="AC44" s="2" t="n">
        <f aca="false">MIN(AC43+1,AB44+1,AB43+IF($A44=AC$4,0,1))</f>
        <v>36</v>
      </c>
      <c r="AD44" s="2" t="n">
        <f aca="false">MIN(AD43+1,AC44+1,AC43+IF($A44=AD$4,0,1))</f>
        <v>36</v>
      </c>
      <c r="AE44" s="2" t="n">
        <f aca="false">MIN(AE43+1,AD44+1,AD43+IF($A44=AE$4,0,1))</f>
        <v>36</v>
      </c>
      <c r="AF44" s="2" t="n">
        <f aca="false">MIN(AF43+1,AE44+1,AE43+IF($A44=AF$4,0,1))</f>
        <v>36</v>
      </c>
      <c r="AG44" s="2" t="n">
        <f aca="false">MIN(AG43+1,AF44+1,AF43+IF($A44=AG$4,0,1))</f>
        <v>36</v>
      </c>
      <c r="AH44" s="2" t="n">
        <f aca="false">MIN(AH43+1,AG44+1,AG43+IF($A44=AH$4,0,1))</f>
        <v>36</v>
      </c>
      <c r="AI44" s="2" t="n">
        <f aca="false">MIN(AI43+1,AH44+1,AH43+IF($A44=AI$4,0,1))</f>
        <v>36</v>
      </c>
      <c r="AJ44" s="2" t="n">
        <f aca="false">MIN(AJ43+1,AI44+1,AI43+IF($A44=AJ$4,0,1))</f>
        <v>36</v>
      </c>
      <c r="AK44" s="2" t="n">
        <f aca="false">MIN(AK43+1,AJ44+1,AJ43+IF($A44=AK$4,0,1))</f>
        <v>36</v>
      </c>
      <c r="AL44" s="2" t="n">
        <f aca="false">MIN(AL43+1,AK44+1,AK43+IF($A44=AL$4,0,1))</f>
        <v>36</v>
      </c>
      <c r="AM44" s="2" t="n">
        <f aca="false">MIN(AM43+1,AL44+1,AL43+IF($A44=AM$4,0,1))</f>
        <v>36</v>
      </c>
      <c r="AN44" s="2" t="n">
        <f aca="false">MIN(AN43+1,AM44+1,AM43+IF($A44=AN$4,0,1))</f>
        <v>37</v>
      </c>
      <c r="AO44" s="2" t="n">
        <f aca="false">MIN(AO43+1,AN44+1,AN43+IF($A44=AO$4,0,1))</f>
        <v>37</v>
      </c>
      <c r="AP44" s="2" t="n">
        <f aca="false">MIN(AP43+1,AO44+1,AO43+IF($A44=AP$4,0,1))</f>
        <v>37</v>
      </c>
      <c r="AQ44" s="2" t="n">
        <f aca="false">MIN(AQ43+1,AP44+1,AP43+IF($A44=AQ$4,0,1))</f>
        <v>37</v>
      </c>
      <c r="AR44" s="2" t="n">
        <f aca="false">MIN(AR43+1,AQ44+1,AQ43+IF($A44=AR$4,0,1))</f>
        <v>38</v>
      </c>
      <c r="AS44" s="2" t="n">
        <f aca="false">MIN(AS43+1,AR44+1,AR43+IF($A44=AS$4,0,1))</f>
        <v>39</v>
      </c>
      <c r="AT44" s="2" t="n">
        <f aca="false">MIN(AT43+1,AS44+1,AS43+IF($A44=AT$4,0,1))</f>
        <v>40</v>
      </c>
      <c r="AU44" s="2" t="n">
        <f aca="false">MIN(AU43+1,AT44+1,AT43+IF($A44=AU$4,0,1))</f>
        <v>41</v>
      </c>
      <c r="AV44" s="2" t="n">
        <f aca="false">MIN(AV43+1,AU44+1,AU43+IF($A44=AV$4,0,1))</f>
        <v>42</v>
      </c>
      <c r="AW44" s="2" t="n">
        <f aca="false">MIN(AW43+1,AV44+1,AV43+IF($A44=AW$4,0,1))</f>
        <v>43</v>
      </c>
      <c r="AX44" s="2" t="n">
        <f aca="false">MIN(AX43+1,AW44+1,AW43+IF($A44=AX$4,0,1))</f>
        <v>44</v>
      </c>
      <c r="AY44" s="2" t="n">
        <f aca="false">MIN(AY43+1,AX44+1,AX43+IF($A44=AY$4,0,1))</f>
        <v>45</v>
      </c>
      <c r="AZ44" s="2" t="n">
        <f aca="false">MIN(AZ43+1,AY44+1,AY43+IF($A44=AZ$4,0,1))</f>
        <v>46</v>
      </c>
      <c r="BA44" s="2" t="n">
        <f aca="false">MIN(BA43+1,AZ44+1,AZ43+IF($A44=BA$4,0,1))</f>
        <v>47</v>
      </c>
      <c r="BB44" s="2" t="n">
        <f aca="false">MIN(BB43+1,BA44+1,BA43+IF($A44=BB$4,0,1))</f>
        <v>48</v>
      </c>
      <c r="BC44" s="2" t="n">
        <f aca="false">MIN(BC43+1,BB44+1,BB43+IF($A44=BC$4,0,1))</f>
        <v>49</v>
      </c>
      <c r="BD44" s="2" t="n">
        <f aca="false">MIN(BD43+1,BC44+1,BC43+IF($A44=BD$4,0,1))</f>
        <v>50</v>
      </c>
      <c r="BE44" s="2" t="n">
        <f aca="false">MIN(BE43+1,BD44+1,BD43+IF($A44=BE$4,0,1))</f>
        <v>51</v>
      </c>
      <c r="BF44" s="2" t="n">
        <f aca="false">MIN(BF43+1,BE44+1,BE43+IF($A44=BF$4,0,1))</f>
        <v>52</v>
      </c>
      <c r="BG44" s="2" t="n">
        <f aca="false">MIN(BG43+1,BF44+1,BF43+IF($A44=BG$4,0,1))</f>
        <v>52</v>
      </c>
      <c r="BH44" s="2" t="n">
        <f aca="false">MIN(BH43+1,BG44+1,BG43+IF($A44=BH$4,0,1))</f>
        <v>53</v>
      </c>
      <c r="BI44" s="2" t="n">
        <f aca="false">MIN(BI43+1,BH44+1,BH43+IF($A44=BI$4,0,1))</f>
        <v>54</v>
      </c>
      <c r="BJ44" s="2" t="n">
        <f aca="false">MIN(BJ43+1,BI44+1,BI43+IF($A44=BJ$4,0,1))</f>
        <v>55</v>
      </c>
      <c r="BK44" s="2" t="n">
        <f aca="false">MIN(BK43+1,BJ44+1,BJ43+IF($A44=BK$4,0,1))</f>
        <v>56</v>
      </c>
      <c r="BL44" s="2" t="n">
        <f aca="false">MIN(BL43+1,BK44+1,BK43+IF($A44=BL$4,0,1))</f>
        <v>57</v>
      </c>
      <c r="BM44" s="2" t="n">
        <f aca="false">MIN(BM43+1,BL44+1,BL43+IF($A44=BM$4,0,1))</f>
        <v>58</v>
      </c>
      <c r="BN44" s="2" t="n">
        <f aca="false">MIN(BN43+1,BM44+1,BM43+IF($A44=BN$4,0,1))</f>
        <v>59</v>
      </c>
      <c r="BO44" s="2" t="n">
        <f aca="false">MIN(BO43+1,BN44+1,BN43+IF($A44=BO$4,0,1))</f>
        <v>60</v>
      </c>
      <c r="BP44" s="2" t="n">
        <f aca="false">MIN(BP43+1,BO44+1,BO43+IF($A44=BP$4,0,1))</f>
        <v>61</v>
      </c>
      <c r="BQ44" s="2" t="n">
        <f aca="false">MIN(BQ43+1,BP44+1,BP43+IF($A44=BQ$4,0,1))</f>
        <v>61</v>
      </c>
      <c r="BR44" s="2" t="n">
        <f aca="false">MIN(BR43+1,BQ44+1,BQ43+IF($A44=BR$4,0,1))</f>
        <v>62</v>
      </c>
      <c r="BS44" s="2" t="n">
        <f aca="false">MIN(BS43+1,BR44+1,BR43+IF($A44=BS$4,0,1))</f>
        <v>63</v>
      </c>
      <c r="BT44" s="2" t="n">
        <f aca="false">MIN(BT43+1,BS44+1,BS43+IF($A44=BT$4,0,1))</f>
        <v>64</v>
      </c>
      <c r="BU44" s="2" t="n">
        <f aca="false">MIN(BU43+1,BT44+1,BT43+IF($A44=BU$4,0,1))</f>
        <v>65</v>
      </c>
      <c r="BV44" s="2" t="n">
        <f aca="false">MIN(BV43+1,BU44+1,BU43+IF($A44=BV$4,0,1))</f>
        <v>66</v>
      </c>
      <c r="BW44" s="2" t="n">
        <f aca="false">MIN(BW43+1,BV44+1,BV43+IF($A44=BW$4,0,1))</f>
        <v>67</v>
      </c>
      <c r="BX44" s="2" t="n">
        <f aca="false">MIN(BX43+1,BW44+1,BW43+IF($A44=BX$4,0,1))</f>
        <v>68</v>
      </c>
      <c r="BY44" s="2" t="n">
        <f aca="false">MIN(BY43+1,BX44+1,BX43+IF($A44=BY$4,0,1))</f>
        <v>69</v>
      </c>
      <c r="BZ44" s="2" t="n">
        <f aca="false">MIN(BZ43+1,BY44+1,BY43+IF($A44=BZ$4,0,1))</f>
        <v>70</v>
      </c>
      <c r="CA44" s="2" t="n">
        <f aca="false">MIN(CA43+1,BZ44+1,BZ43+IF($A44=CA$4,0,1))</f>
        <v>71</v>
      </c>
      <c r="CB44" s="2" t="n">
        <f aca="false">MIN(CB43+1,CA44+1,CA43+IF($A44=CB$4,0,1))</f>
        <v>72</v>
      </c>
      <c r="CC44" s="2" t="n">
        <f aca="false">MIN(CC43+1,CB44+1,CB43+IF($A44=CC$4,0,1))</f>
        <v>73</v>
      </c>
      <c r="CD44" s="2" t="n">
        <f aca="false">MIN(CD43+1,CC44+1,CC43+IF($A44=CD$4,0,1))</f>
        <v>74</v>
      </c>
      <c r="CE44" s="2" t="n">
        <f aca="false">MIN(CE43+1,CD44+1,CD43+IF($A44=CE$4,0,1))</f>
        <v>75</v>
      </c>
      <c r="CF44" s="2" t="n">
        <f aca="false">MIN(CF43+1,CE44+1,CE43+IF($A44=CF$4,0,1))</f>
        <v>76</v>
      </c>
      <c r="CG44" s="2" t="n">
        <f aca="false">MIN(CG43+1,CF44+1,CF43+IF($A44=CG$4,0,1))</f>
        <v>77</v>
      </c>
      <c r="CH44" s="2" t="n">
        <f aca="false">MIN(CH43+1,CG44+1,CG43+IF($A44=CH$4,0,1))</f>
        <v>78</v>
      </c>
      <c r="CI44" s="2" t="n">
        <f aca="false">MIN(CI43+1,CH44+1,CH43+IF($A44=CI$4,0,1))</f>
        <v>79</v>
      </c>
      <c r="CJ44" s="2" t="n">
        <f aca="false">MIN(CJ43+1,CI44+1,CI43+IF($A44=CJ$4,0,1))</f>
        <v>80</v>
      </c>
      <c r="CK44" s="2" t="n">
        <f aca="false">MIN(CK43+1,CJ44+1,CJ43+IF($A44=CK$4,0,1))</f>
        <v>81</v>
      </c>
      <c r="CL44" s="2" t="n">
        <f aca="false">MIN(CL43+1,CK44+1,CK43+IF($A44=CL$4,0,1))</f>
        <v>82</v>
      </c>
      <c r="CM44" s="2" t="n">
        <f aca="false">MIN(CM43+1,CL44+1,CL43+IF($A44=CM$4,0,1))</f>
        <v>83</v>
      </c>
      <c r="CN44" s="2" t="n">
        <f aca="false">MIN(CN43+1,CM44+1,CM43+IF($A44=CN$4,0,1))</f>
        <v>84</v>
      </c>
      <c r="CO44" s="2" t="n">
        <f aca="false">MIN(CO43+1,CN44+1,CN43+IF($A44=CO$4,0,1))</f>
        <v>85</v>
      </c>
      <c r="CP44" s="2" t="n">
        <f aca="false">MIN(CP43+1,CO44+1,CO43+IF($A44=CP$4,0,1))</f>
        <v>86</v>
      </c>
      <c r="CQ44" s="2" t="n">
        <f aca="false">MIN(CQ43+1,CP44+1,CP43+IF($A44=CQ$4,0,1))</f>
        <v>87</v>
      </c>
    </row>
    <row r="45" customFormat="false" ht="15" hidden="false" customHeight="false" outlineLevel="0" collapsed="false">
      <c r="A45" s="4" t="s">
        <v>169</v>
      </c>
      <c r="B45" s="12" t="n">
        <v>40</v>
      </c>
      <c r="C45" s="2" t="n">
        <f aca="false">MIN(C44+1,B45+1,B44+IF($A45=C$4,0,1))</f>
        <v>40</v>
      </c>
      <c r="D45" s="2" t="n">
        <f aca="false">MIN(D44+1,C45+1,C44+IF($A45=D$4,0,1))</f>
        <v>39</v>
      </c>
      <c r="E45" s="2" t="n">
        <f aca="false">MIN(E44+1,D45+1,D44+IF($A45=E$4,0,1))</f>
        <v>38</v>
      </c>
      <c r="F45" s="2" t="n">
        <f aca="false">MIN(F44+1,E45+1,E44+IF($A45=F$4,0,1))</f>
        <v>37</v>
      </c>
      <c r="G45" s="2" t="n">
        <f aca="false">MIN(G44+1,F45+1,F44+IF($A45=G$4,0,1))</f>
        <v>37</v>
      </c>
      <c r="H45" s="2" t="n">
        <f aca="false">MIN(H44+1,G45+1,G44+IF($A45=H$4,0,1))</f>
        <v>37</v>
      </c>
      <c r="I45" s="2" t="n">
        <f aca="false">MIN(I44+1,H45+1,H44+IF($A45=I$4,0,1))</f>
        <v>37</v>
      </c>
      <c r="J45" s="2" t="n">
        <f aca="false">MIN(J44+1,I45+1,I44+IF($A45=J$4,0,1))</f>
        <v>37</v>
      </c>
      <c r="K45" s="2" t="n">
        <f aca="false">MIN(K44+1,J45+1,J44+IF($A45=K$4,0,1))</f>
        <v>37</v>
      </c>
      <c r="L45" s="2" t="n">
        <f aca="false">MIN(L44+1,K45+1,K44+IF($A45=L$4,0,1))</f>
        <v>37</v>
      </c>
      <c r="M45" s="2" t="n">
        <f aca="false">MIN(M44+1,L45+1,L44+IF($A45=M$4,0,1))</f>
        <v>37</v>
      </c>
      <c r="N45" s="2" t="n">
        <f aca="false">MIN(N44+1,M45+1,M44+IF($A45=N$4,0,1))</f>
        <v>36</v>
      </c>
      <c r="O45" s="2" t="n">
        <f aca="false">MIN(O44+1,N45+1,N44+IF($A45=O$4,0,1))</f>
        <v>36</v>
      </c>
      <c r="P45" s="2" t="n">
        <f aca="false">MIN(P44+1,O45+1,O44+IF($A45=P$4,0,1))</f>
        <v>36</v>
      </c>
      <c r="Q45" s="2" t="n">
        <f aca="false">MIN(Q44+1,P45+1,P44+IF($A45=Q$4,0,1))</f>
        <v>36</v>
      </c>
      <c r="R45" s="2" t="n">
        <f aca="false">MIN(R44+1,Q45+1,Q44+IF($A45=R$4,0,1))</f>
        <v>36</v>
      </c>
      <c r="S45" s="2" t="n">
        <f aca="false">MIN(S44+1,R45+1,R44+IF($A45=S$4,0,1))</f>
        <v>36</v>
      </c>
      <c r="T45" s="2" t="n">
        <f aca="false">MIN(T44+1,S45+1,S44+IF($A45=T$4,0,1))</f>
        <v>36</v>
      </c>
      <c r="U45" s="2" t="n">
        <f aca="false">MIN(U44+1,T45+1,T44+IF($A45=U$4,0,1))</f>
        <v>36</v>
      </c>
      <c r="V45" s="2" t="n">
        <f aca="false">MIN(V44+1,U45+1,U44+IF($A45=V$4,0,1))</f>
        <v>36</v>
      </c>
      <c r="W45" s="2" t="n">
        <f aca="false">MIN(W44+1,V45+1,V44+IF($A45=W$4,0,1))</f>
        <v>36</v>
      </c>
      <c r="X45" s="2" t="n">
        <f aca="false">MIN(X44+1,W45+1,W44+IF($A45=X$4,0,1))</f>
        <v>36</v>
      </c>
      <c r="Y45" s="2" t="n">
        <f aca="false">MIN(Y44+1,X45+1,X44+IF($A45=Y$4,0,1))</f>
        <v>36</v>
      </c>
      <c r="Z45" s="2" t="n">
        <f aca="false">MIN(Z44+1,Y45+1,Y44+IF($A45=Z$4,0,1))</f>
        <v>36</v>
      </c>
      <c r="AA45" s="2" t="n">
        <f aca="false">MIN(AA44+1,Z45+1,Z44+IF($A45=AA$4,0,1))</f>
        <v>37</v>
      </c>
      <c r="AB45" s="2" t="n">
        <f aca="false">MIN(AB44+1,AA45+1,AA44+IF($A45=AB$4,0,1))</f>
        <v>37</v>
      </c>
      <c r="AC45" s="2" t="n">
        <f aca="false">MIN(AC44+1,AB45+1,AB44+IF($A45=AC$4,0,1))</f>
        <v>37</v>
      </c>
      <c r="AD45" s="2" t="n">
        <f aca="false">MIN(AD44+1,AC45+1,AC44+IF($A45=AD$4,0,1))</f>
        <v>37</v>
      </c>
      <c r="AE45" s="2" t="n">
        <f aca="false">MIN(AE44+1,AD45+1,AD44+IF($A45=AE$4,0,1))</f>
        <v>37</v>
      </c>
      <c r="AF45" s="2" t="n">
        <f aca="false">MIN(AF44+1,AE45+1,AE44+IF($A45=AF$4,0,1))</f>
        <v>37</v>
      </c>
      <c r="AG45" s="2" t="n">
        <f aca="false">MIN(AG44+1,AF45+1,AF44+IF($A45=AG$4,0,1))</f>
        <v>37</v>
      </c>
      <c r="AH45" s="2" t="n">
        <f aca="false">MIN(AH44+1,AG45+1,AG44+IF($A45=AH$4,0,1))</f>
        <v>37</v>
      </c>
      <c r="AI45" s="2" t="n">
        <f aca="false">MIN(AI44+1,AH45+1,AH44+IF($A45=AI$4,0,1))</f>
        <v>37</v>
      </c>
      <c r="AJ45" s="2" t="n">
        <f aca="false">MIN(AJ44+1,AI45+1,AI44+IF($A45=AJ$4,0,1))</f>
        <v>37</v>
      </c>
      <c r="AK45" s="2" t="n">
        <f aca="false">MIN(AK44+1,AJ45+1,AJ44+IF($A45=AK$4,0,1))</f>
        <v>37</v>
      </c>
      <c r="AL45" s="2" t="n">
        <f aca="false">MIN(AL44+1,AK45+1,AK44+IF($A45=AL$4,0,1))</f>
        <v>37</v>
      </c>
      <c r="AM45" s="2" t="n">
        <f aca="false">MIN(AM44+1,AL45+1,AL44+IF($A45=AM$4,0,1))</f>
        <v>37</v>
      </c>
      <c r="AN45" s="2" t="n">
        <f aca="false">MIN(AN44+1,AM45+1,AM44+IF($A45=AN$4,0,1))</f>
        <v>37</v>
      </c>
      <c r="AO45" s="2" t="n">
        <f aca="false">MIN(AO44+1,AN45+1,AN44+IF($A45=AO$4,0,1))</f>
        <v>38</v>
      </c>
      <c r="AP45" s="2" t="n">
        <f aca="false">MIN(AP44+1,AO45+1,AO44+IF($A45=AP$4,0,1))</f>
        <v>38</v>
      </c>
      <c r="AQ45" s="2" t="n">
        <f aca="false">MIN(AQ44+1,AP45+1,AP44+IF($A45=AQ$4,0,1))</f>
        <v>38</v>
      </c>
      <c r="AR45" s="2" t="n">
        <f aca="false">MIN(AR44+1,AQ45+1,AQ44+IF($A45=AR$4,0,1))</f>
        <v>38</v>
      </c>
      <c r="AS45" s="2" t="n">
        <f aca="false">MIN(AS44+1,AR45+1,AR44+IF($A45=AS$4,0,1))</f>
        <v>39</v>
      </c>
      <c r="AT45" s="2" t="n">
        <f aca="false">MIN(AT44+1,AS45+1,AS44+IF($A45=AT$4,0,1))</f>
        <v>40</v>
      </c>
      <c r="AU45" s="2" t="n">
        <f aca="false">MIN(AU44+1,AT45+1,AT44+IF($A45=AU$4,0,1))</f>
        <v>41</v>
      </c>
      <c r="AV45" s="2" t="n">
        <f aca="false">MIN(AV44+1,AU45+1,AU44+IF($A45=AV$4,0,1))</f>
        <v>42</v>
      </c>
      <c r="AW45" s="2" t="n">
        <f aca="false">MIN(AW44+1,AV45+1,AV44+IF($A45=AW$4,0,1))</f>
        <v>43</v>
      </c>
      <c r="AX45" s="2" t="n">
        <f aca="false">MIN(AX44+1,AW45+1,AW44+IF($A45=AX$4,0,1))</f>
        <v>44</v>
      </c>
      <c r="AY45" s="2" t="n">
        <f aca="false">MIN(AY44+1,AX45+1,AX44+IF($A45=AY$4,0,1))</f>
        <v>45</v>
      </c>
      <c r="AZ45" s="2" t="n">
        <f aca="false">MIN(AZ44+1,AY45+1,AY44+IF($A45=AZ$4,0,1))</f>
        <v>46</v>
      </c>
      <c r="BA45" s="2" t="n">
        <f aca="false">MIN(BA44+1,AZ45+1,AZ44+IF($A45=BA$4,0,1))</f>
        <v>47</v>
      </c>
      <c r="BB45" s="2" t="n">
        <f aca="false">MIN(BB44+1,BA45+1,BA44+IF($A45=BB$4,0,1))</f>
        <v>48</v>
      </c>
      <c r="BC45" s="2" t="n">
        <f aca="false">MIN(BC44+1,BB45+1,BB44+IF($A45=BC$4,0,1))</f>
        <v>49</v>
      </c>
      <c r="BD45" s="2" t="n">
        <f aca="false">MIN(BD44+1,BC45+1,BC44+IF($A45=BD$4,0,1))</f>
        <v>50</v>
      </c>
      <c r="BE45" s="2" t="n">
        <f aca="false">MIN(BE44+1,BD45+1,BD44+IF($A45=BE$4,0,1))</f>
        <v>51</v>
      </c>
      <c r="BF45" s="2" t="n">
        <f aca="false">MIN(BF44+1,BE45+1,BE44+IF($A45=BF$4,0,1))</f>
        <v>52</v>
      </c>
      <c r="BG45" s="2" t="n">
        <f aca="false">MIN(BG44+1,BF45+1,BF44+IF($A45=BG$4,0,1))</f>
        <v>53</v>
      </c>
      <c r="BH45" s="2" t="n">
        <f aca="false">MIN(BH44+1,BG45+1,BG44+IF($A45=BH$4,0,1))</f>
        <v>53</v>
      </c>
      <c r="BI45" s="2" t="n">
        <f aca="false">MIN(BI44+1,BH45+1,BH44+IF($A45=BI$4,0,1))</f>
        <v>54</v>
      </c>
      <c r="BJ45" s="2" t="n">
        <f aca="false">MIN(BJ44+1,BI45+1,BI44+IF($A45=BJ$4,0,1))</f>
        <v>55</v>
      </c>
      <c r="BK45" s="2" t="n">
        <f aca="false">MIN(BK44+1,BJ45+1,BJ44+IF($A45=BK$4,0,1))</f>
        <v>56</v>
      </c>
      <c r="BL45" s="2" t="n">
        <f aca="false">MIN(BL44+1,BK45+1,BK44+IF($A45=BL$4,0,1))</f>
        <v>57</v>
      </c>
      <c r="BM45" s="2" t="n">
        <f aca="false">MIN(BM44+1,BL45+1,BL44+IF($A45=BM$4,0,1))</f>
        <v>58</v>
      </c>
      <c r="BN45" s="2" t="n">
        <f aca="false">MIN(BN44+1,BM45+1,BM44+IF($A45=BN$4,0,1))</f>
        <v>59</v>
      </c>
      <c r="BO45" s="2" t="n">
        <f aca="false">MIN(BO44+1,BN45+1,BN44+IF($A45=BO$4,0,1))</f>
        <v>60</v>
      </c>
      <c r="BP45" s="2" t="n">
        <f aca="false">MIN(BP44+1,BO45+1,BO44+IF($A45=BP$4,0,1))</f>
        <v>61</v>
      </c>
      <c r="BQ45" s="2" t="n">
        <f aca="false">MIN(BQ44+1,BP45+1,BP44+IF($A45=BQ$4,0,1))</f>
        <v>62</v>
      </c>
      <c r="BR45" s="2" t="n">
        <f aca="false">MIN(BR44+1,BQ45+1,BQ44+IF($A45=BR$4,0,1))</f>
        <v>62</v>
      </c>
      <c r="BS45" s="2" t="n">
        <f aca="false">MIN(BS44+1,BR45+1,BR44+IF($A45=BS$4,0,1))</f>
        <v>63</v>
      </c>
      <c r="BT45" s="2" t="n">
        <f aca="false">MIN(BT44+1,BS45+1,BS44+IF($A45=BT$4,0,1))</f>
        <v>64</v>
      </c>
      <c r="BU45" s="2" t="n">
        <f aca="false">MIN(BU44+1,BT45+1,BT44+IF($A45=BU$4,0,1))</f>
        <v>65</v>
      </c>
      <c r="BV45" s="2" t="n">
        <f aca="false">MIN(BV44+1,BU45+1,BU44+IF($A45=BV$4,0,1))</f>
        <v>66</v>
      </c>
      <c r="BW45" s="2" t="n">
        <f aca="false">MIN(BW44+1,BV45+1,BV44+IF($A45=BW$4,0,1))</f>
        <v>67</v>
      </c>
      <c r="BX45" s="2" t="n">
        <f aca="false">MIN(BX44+1,BW45+1,BW44+IF($A45=BX$4,0,1))</f>
        <v>68</v>
      </c>
      <c r="BY45" s="2" t="n">
        <f aca="false">MIN(BY44+1,BX45+1,BX44+IF($A45=BY$4,0,1))</f>
        <v>69</v>
      </c>
      <c r="BZ45" s="2" t="n">
        <f aca="false">MIN(BZ44+1,BY45+1,BY44+IF($A45=BZ$4,0,1))</f>
        <v>70</v>
      </c>
      <c r="CA45" s="2" t="n">
        <f aca="false">MIN(CA44+1,BZ45+1,BZ44+IF($A45=CA$4,0,1))</f>
        <v>71</v>
      </c>
      <c r="CB45" s="2" t="n">
        <f aca="false">MIN(CB44+1,CA45+1,CA44+IF($A45=CB$4,0,1))</f>
        <v>72</v>
      </c>
      <c r="CC45" s="2" t="n">
        <f aca="false">MIN(CC44+1,CB45+1,CB44+IF($A45=CC$4,0,1))</f>
        <v>73</v>
      </c>
      <c r="CD45" s="2" t="n">
        <f aca="false">MIN(CD44+1,CC45+1,CC44+IF($A45=CD$4,0,1))</f>
        <v>74</v>
      </c>
      <c r="CE45" s="2" t="n">
        <f aca="false">MIN(CE44+1,CD45+1,CD44+IF($A45=CE$4,0,1))</f>
        <v>75</v>
      </c>
      <c r="CF45" s="2" t="n">
        <f aca="false">MIN(CF44+1,CE45+1,CE44+IF($A45=CF$4,0,1))</f>
        <v>76</v>
      </c>
      <c r="CG45" s="2" t="n">
        <f aca="false">MIN(CG44+1,CF45+1,CF44+IF($A45=CG$4,0,1))</f>
        <v>77</v>
      </c>
      <c r="CH45" s="2" t="n">
        <f aca="false">MIN(CH44+1,CG45+1,CG44+IF($A45=CH$4,0,1))</f>
        <v>78</v>
      </c>
      <c r="CI45" s="2" t="n">
        <f aca="false">MIN(CI44+1,CH45+1,CH44+IF($A45=CI$4,0,1))</f>
        <v>79</v>
      </c>
      <c r="CJ45" s="2" t="n">
        <f aca="false">MIN(CJ44+1,CI45+1,CI44+IF($A45=CJ$4,0,1))</f>
        <v>80</v>
      </c>
      <c r="CK45" s="2" t="n">
        <f aca="false">MIN(CK44+1,CJ45+1,CJ44+IF($A45=CK$4,0,1))</f>
        <v>81</v>
      </c>
      <c r="CL45" s="2" t="n">
        <f aca="false">MIN(CL44+1,CK45+1,CK44+IF($A45=CL$4,0,1))</f>
        <v>82</v>
      </c>
      <c r="CM45" s="2" t="n">
        <f aca="false">MIN(CM44+1,CL45+1,CL44+IF($A45=CM$4,0,1))</f>
        <v>83</v>
      </c>
      <c r="CN45" s="2" t="n">
        <f aca="false">MIN(CN44+1,CM45+1,CM44+IF($A45=CN$4,0,1))</f>
        <v>84</v>
      </c>
      <c r="CO45" s="2" t="n">
        <f aca="false">MIN(CO44+1,CN45+1,CN44+IF($A45=CO$4,0,1))</f>
        <v>85</v>
      </c>
      <c r="CP45" s="2" t="n">
        <f aca="false">MIN(CP44+1,CO45+1,CO44+IF($A45=CP$4,0,1))</f>
        <v>86</v>
      </c>
      <c r="CQ45" s="2" t="n">
        <f aca="false">MIN(CQ44+1,CP45+1,CP44+IF($A45=CQ$4,0,1))</f>
        <v>87</v>
      </c>
    </row>
    <row r="46" customFormat="false" ht="15" hidden="false" customHeight="false" outlineLevel="0" collapsed="false">
      <c r="A46" s="4" t="s">
        <v>170</v>
      </c>
      <c r="B46" s="12" t="n">
        <v>41</v>
      </c>
      <c r="C46" s="2" t="n">
        <f aca="false">MIN(C45+1,B46+1,B45+IF($A46=C$4,0,1))</f>
        <v>41</v>
      </c>
      <c r="D46" s="2" t="n">
        <f aca="false">MIN(D45+1,C46+1,C45+IF($A46=D$4,0,1))</f>
        <v>40</v>
      </c>
      <c r="E46" s="2" t="n">
        <f aca="false">MIN(E45+1,D46+1,D45+IF($A46=E$4,0,1))</f>
        <v>39</v>
      </c>
      <c r="F46" s="2" t="n">
        <f aca="false">MIN(F45+1,E46+1,E45+IF($A46=F$4,0,1))</f>
        <v>38</v>
      </c>
      <c r="G46" s="2" t="n">
        <f aca="false">MIN(G45+1,F46+1,F45+IF($A46=G$4,0,1))</f>
        <v>38</v>
      </c>
      <c r="H46" s="2" t="n">
        <f aca="false">MIN(H45+1,G46+1,G45+IF($A46=H$4,0,1))</f>
        <v>38</v>
      </c>
      <c r="I46" s="2" t="n">
        <f aca="false">MIN(I45+1,H46+1,H45+IF($A46=I$4,0,1))</f>
        <v>38</v>
      </c>
      <c r="J46" s="2" t="n">
        <f aca="false">MIN(J45+1,I46+1,I45+IF($A46=J$4,0,1))</f>
        <v>38</v>
      </c>
      <c r="K46" s="2" t="n">
        <f aca="false">MIN(K45+1,J46+1,J45+IF($A46=K$4,0,1))</f>
        <v>38</v>
      </c>
      <c r="L46" s="2" t="n">
        <f aca="false">MIN(L45+1,K46+1,K45+IF($A46=L$4,0,1))</f>
        <v>38</v>
      </c>
      <c r="M46" s="2" t="n">
        <f aca="false">MIN(M45+1,L46+1,L45+IF($A46=M$4,0,1))</f>
        <v>38</v>
      </c>
      <c r="N46" s="2" t="n">
        <f aca="false">MIN(N45+1,M46+1,M45+IF($A46=N$4,0,1))</f>
        <v>37</v>
      </c>
      <c r="O46" s="2" t="n">
        <f aca="false">MIN(O45+1,N46+1,N45+IF($A46=O$4,0,1))</f>
        <v>37</v>
      </c>
      <c r="P46" s="2" t="n">
        <f aca="false">MIN(P45+1,O46+1,O45+IF($A46=P$4,0,1))</f>
        <v>37</v>
      </c>
      <c r="Q46" s="2" t="n">
        <f aca="false">MIN(Q45+1,P46+1,P45+IF($A46=Q$4,0,1))</f>
        <v>37</v>
      </c>
      <c r="R46" s="2" t="n">
        <f aca="false">MIN(R45+1,Q46+1,Q45+IF($A46=R$4,0,1))</f>
        <v>37</v>
      </c>
      <c r="S46" s="2" t="n">
        <f aca="false">MIN(S45+1,R46+1,R45+IF($A46=S$4,0,1))</f>
        <v>37</v>
      </c>
      <c r="T46" s="2" t="n">
        <f aca="false">MIN(T45+1,S46+1,S45+IF($A46=T$4,0,1))</f>
        <v>37</v>
      </c>
      <c r="U46" s="2" t="n">
        <f aca="false">MIN(U45+1,T46+1,T45+IF($A46=U$4,0,1))</f>
        <v>37</v>
      </c>
      <c r="V46" s="2" t="n">
        <f aca="false">MIN(V45+1,U46+1,U45+IF($A46=V$4,0,1))</f>
        <v>37</v>
      </c>
      <c r="W46" s="2" t="n">
        <f aca="false">MIN(W45+1,V46+1,V45+IF($A46=W$4,0,1))</f>
        <v>37</v>
      </c>
      <c r="X46" s="2" t="n">
        <f aca="false">MIN(X45+1,W46+1,W45+IF($A46=X$4,0,1))</f>
        <v>37</v>
      </c>
      <c r="Y46" s="2" t="n">
        <f aca="false">MIN(Y45+1,X46+1,X45+IF($A46=Y$4,0,1))</f>
        <v>37</v>
      </c>
      <c r="Z46" s="2" t="n">
        <f aca="false">MIN(Z45+1,Y46+1,Y45+IF($A46=Z$4,0,1))</f>
        <v>37</v>
      </c>
      <c r="AA46" s="2" t="n">
        <f aca="false">MIN(AA45+1,Z46+1,Z45+IF($A46=AA$4,0,1))</f>
        <v>37</v>
      </c>
      <c r="AB46" s="2" t="n">
        <f aca="false">MIN(AB45+1,AA46+1,AA45+IF($A46=AB$4,0,1))</f>
        <v>38</v>
      </c>
      <c r="AC46" s="2" t="n">
        <f aca="false">MIN(AC45+1,AB46+1,AB45+IF($A46=AC$4,0,1))</f>
        <v>38</v>
      </c>
      <c r="AD46" s="2" t="n">
        <f aca="false">MIN(AD45+1,AC46+1,AC45+IF($A46=AD$4,0,1))</f>
        <v>38</v>
      </c>
      <c r="AE46" s="2" t="n">
        <f aca="false">MIN(AE45+1,AD46+1,AD45+IF($A46=AE$4,0,1))</f>
        <v>38</v>
      </c>
      <c r="AF46" s="2" t="n">
        <f aca="false">MIN(AF45+1,AE46+1,AE45+IF($A46=AF$4,0,1))</f>
        <v>38</v>
      </c>
      <c r="AG46" s="2" t="n">
        <f aca="false">MIN(AG45+1,AF46+1,AF45+IF($A46=AG$4,0,1))</f>
        <v>38</v>
      </c>
      <c r="AH46" s="2" t="n">
        <f aca="false">MIN(AH45+1,AG46+1,AG45+IF($A46=AH$4,0,1))</f>
        <v>38</v>
      </c>
      <c r="AI46" s="2" t="n">
        <f aca="false">MIN(AI45+1,AH46+1,AH45+IF($A46=AI$4,0,1))</f>
        <v>38</v>
      </c>
      <c r="AJ46" s="2" t="n">
        <f aca="false">MIN(AJ45+1,AI46+1,AI45+IF($A46=AJ$4,0,1))</f>
        <v>38</v>
      </c>
      <c r="AK46" s="2" t="n">
        <f aca="false">MIN(AK45+1,AJ46+1,AJ45+IF($A46=AK$4,0,1))</f>
        <v>38</v>
      </c>
      <c r="AL46" s="2" t="n">
        <f aca="false">MIN(AL45+1,AK46+1,AK45+IF($A46=AL$4,0,1))</f>
        <v>38</v>
      </c>
      <c r="AM46" s="2" t="n">
        <f aca="false">MIN(AM45+1,AL46+1,AL45+IF($A46=AM$4,0,1))</f>
        <v>38</v>
      </c>
      <c r="AN46" s="2" t="n">
        <f aca="false">MIN(AN45+1,AM46+1,AM45+IF($A46=AN$4,0,1))</f>
        <v>38</v>
      </c>
      <c r="AO46" s="2" t="n">
        <f aca="false">MIN(AO45+1,AN46+1,AN45+IF($A46=AO$4,0,1))</f>
        <v>38</v>
      </c>
      <c r="AP46" s="2" t="n">
        <f aca="false">MIN(AP45+1,AO46+1,AO45+IF($A46=AP$4,0,1))</f>
        <v>39</v>
      </c>
      <c r="AQ46" s="2" t="n">
        <f aca="false">MIN(AQ45+1,AP46+1,AP45+IF($A46=AQ$4,0,1))</f>
        <v>39</v>
      </c>
      <c r="AR46" s="2" t="n">
        <f aca="false">MIN(AR45+1,AQ46+1,AQ45+IF($A46=AR$4,0,1))</f>
        <v>39</v>
      </c>
      <c r="AS46" s="2" t="n">
        <f aca="false">MIN(AS45+1,AR46+1,AR45+IF($A46=AS$4,0,1))</f>
        <v>39</v>
      </c>
      <c r="AT46" s="2" t="n">
        <f aca="false">MIN(AT45+1,AS46+1,AS45+IF($A46=AT$4,0,1))</f>
        <v>40</v>
      </c>
      <c r="AU46" s="2" t="n">
        <f aca="false">MIN(AU45+1,AT46+1,AT45+IF($A46=AU$4,0,1))</f>
        <v>41</v>
      </c>
      <c r="AV46" s="2" t="n">
        <f aca="false">MIN(AV45+1,AU46+1,AU45+IF($A46=AV$4,0,1))</f>
        <v>42</v>
      </c>
      <c r="AW46" s="2" t="n">
        <f aca="false">MIN(AW45+1,AV46+1,AV45+IF($A46=AW$4,0,1))</f>
        <v>43</v>
      </c>
      <c r="AX46" s="2" t="n">
        <f aca="false">MIN(AX45+1,AW46+1,AW45+IF($A46=AX$4,0,1))</f>
        <v>44</v>
      </c>
      <c r="AY46" s="2" t="n">
        <f aca="false">MIN(AY45+1,AX46+1,AX45+IF($A46=AY$4,0,1))</f>
        <v>45</v>
      </c>
      <c r="AZ46" s="2" t="n">
        <f aca="false">MIN(AZ45+1,AY46+1,AY45+IF($A46=AZ$4,0,1))</f>
        <v>46</v>
      </c>
      <c r="BA46" s="2" t="n">
        <f aca="false">MIN(BA45+1,AZ46+1,AZ45+IF($A46=BA$4,0,1))</f>
        <v>47</v>
      </c>
      <c r="BB46" s="2" t="n">
        <f aca="false">MIN(BB45+1,BA46+1,BA45+IF($A46=BB$4,0,1))</f>
        <v>48</v>
      </c>
      <c r="BC46" s="2" t="n">
        <f aca="false">MIN(BC45+1,BB46+1,BB45+IF($A46=BC$4,0,1))</f>
        <v>49</v>
      </c>
      <c r="BD46" s="2" t="n">
        <f aca="false">MIN(BD45+1,BC46+1,BC45+IF($A46=BD$4,0,1))</f>
        <v>50</v>
      </c>
      <c r="BE46" s="2" t="n">
        <f aca="false">MIN(BE45+1,BD46+1,BD45+IF($A46=BE$4,0,1))</f>
        <v>51</v>
      </c>
      <c r="BF46" s="2" t="n">
        <f aca="false">MIN(BF45+1,BE46+1,BE45+IF($A46=BF$4,0,1))</f>
        <v>52</v>
      </c>
      <c r="BG46" s="2" t="n">
        <f aca="false">MIN(BG45+1,BF46+1,BF45+IF($A46=BG$4,0,1))</f>
        <v>53</v>
      </c>
      <c r="BH46" s="2" t="n">
        <f aca="false">MIN(BH45+1,BG46+1,BG45+IF($A46=BH$4,0,1))</f>
        <v>54</v>
      </c>
      <c r="BI46" s="2" t="n">
        <f aca="false">MIN(BI45+1,BH46+1,BH45+IF($A46=BI$4,0,1))</f>
        <v>54</v>
      </c>
      <c r="BJ46" s="2" t="n">
        <f aca="false">MIN(BJ45+1,BI46+1,BI45+IF($A46=BJ$4,0,1))</f>
        <v>55</v>
      </c>
      <c r="BK46" s="2" t="n">
        <f aca="false">MIN(BK45+1,BJ46+1,BJ45+IF($A46=BK$4,0,1))</f>
        <v>56</v>
      </c>
      <c r="BL46" s="2" t="n">
        <f aca="false">MIN(BL45+1,BK46+1,BK45+IF($A46=BL$4,0,1))</f>
        <v>57</v>
      </c>
      <c r="BM46" s="2" t="n">
        <f aca="false">MIN(BM45+1,BL46+1,BL45+IF($A46=BM$4,0,1))</f>
        <v>58</v>
      </c>
      <c r="BN46" s="2" t="n">
        <f aca="false">MIN(BN45+1,BM46+1,BM45+IF($A46=BN$4,0,1))</f>
        <v>59</v>
      </c>
      <c r="BO46" s="2" t="n">
        <f aca="false">MIN(BO45+1,BN46+1,BN45+IF($A46=BO$4,0,1))</f>
        <v>60</v>
      </c>
      <c r="BP46" s="2" t="n">
        <f aca="false">MIN(BP45+1,BO46+1,BO45+IF($A46=BP$4,0,1))</f>
        <v>61</v>
      </c>
      <c r="BQ46" s="2" t="n">
        <f aca="false">MIN(BQ45+1,BP46+1,BP45+IF($A46=BQ$4,0,1))</f>
        <v>62</v>
      </c>
      <c r="BR46" s="2" t="n">
        <f aca="false">MIN(BR45+1,BQ46+1,BQ45+IF($A46=BR$4,0,1))</f>
        <v>63</v>
      </c>
      <c r="BS46" s="2" t="n">
        <f aca="false">MIN(BS45+1,BR46+1,BR45+IF($A46=BS$4,0,1))</f>
        <v>63</v>
      </c>
      <c r="BT46" s="2" t="n">
        <f aca="false">MIN(BT45+1,BS46+1,BS45+IF($A46=BT$4,0,1))</f>
        <v>64</v>
      </c>
      <c r="BU46" s="2" t="n">
        <f aca="false">MIN(BU45+1,BT46+1,BT45+IF($A46=BU$4,0,1))</f>
        <v>65</v>
      </c>
      <c r="BV46" s="2" t="n">
        <f aca="false">MIN(BV45+1,BU46+1,BU45+IF($A46=BV$4,0,1))</f>
        <v>66</v>
      </c>
      <c r="BW46" s="2" t="n">
        <f aca="false">MIN(BW45+1,BV46+1,BV45+IF($A46=BW$4,0,1))</f>
        <v>67</v>
      </c>
      <c r="BX46" s="2" t="n">
        <f aca="false">MIN(BX45+1,BW46+1,BW45+IF($A46=BX$4,0,1))</f>
        <v>68</v>
      </c>
      <c r="BY46" s="2" t="n">
        <f aca="false">MIN(BY45+1,BX46+1,BX45+IF($A46=BY$4,0,1))</f>
        <v>69</v>
      </c>
      <c r="BZ46" s="2" t="n">
        <f aca="false">MIN(BZ45+1,BY46+1,BY45+IF($A46=BZ$4,0,1))</f>
        <v>70</v>
      </c>
      <c r="CA46" s="2" t="n">
        <f aca="false">MIN(CA45+1,BZ46+1,BZ45+IF($A46=CA$4,0,1))</f>
        <v>71</v>
      </c>
      <c r="CB46" s="2" t="n">
        <f aca="false">MIN(CB45+1,CA46+1,CA45+IF($A46=CB$4,0,1))</f>
        <v>72</v>
      </c>
      <c r="CC46" s="2" t="n">
        <f aca="false">MIN(CC45+1,CB46+1,CB45+IF($A46=CC$4,0,1))</f>
        <v>73</v>
      </c>
      <c r="CD46" s="2" t="n">
        <f aca="false">MIN(CD45+1,CC46+1,CC45+IF($A46=CD$4,0,1))</f>
        <v>74</v>
      </c>
      <c r="CE46" s="2" t="n">
        <f aca="false">MIN(CE45+1,CD46+1,CD45+IF($A46=CE$4,0,1))</f>
        <v>75</v>
      </c>
      <c r="CF46" s="2" t="n">
        <f aca="false">MIN(CF45+1,CE46+1,CE45+IF($A46=CF$4,0,1))</f>
        <v>76</v>
      </c>
      <c r="CG46" s="2" t="n">
        <f aca="false">MIN(CG45+1,CF46+1,CF45+IF($A46=CG$4,0,1))</f>
        <v>77</v>
      </c>
      <c r="CH46" s="2" t="n">
        <f aca="false">MIN(CH45+1,CG46+1,CG45+IF($A46=CH$4,0,1))</f>
        <v>78</v>
      </c>
      <c r="CI46" s="2" t="n">
        <f aca="false">MIN(CI45+1,CH46+1,CH45+IF($A46=CI$4,0,1))</f>
        <v>79</v>
      </c>
      <c r="CJ46" s="2" t="n">
        <f aca="false">MIN(CJ45+1,CI46+1,CI45+IF($A46=CJ$4,0,1))</f>
        <v>80</v>
      </c>
      <c r="CK46" s="2" t="n">
        <f aca="false">MIN(CK45+1,CJ46+1,CJ45+IF($A46=CK$4,0,1))</f>
        <v>81</v>
      </c>
      <c r="CL46" s="2" t="n">
        <f aca="false">MIN(CL45+1,CK46+1,CK45+IF($A46=CL$4,0,1))</f>
        <v>82</v>
      </c>
      <c r="CM46" s="2" t="n">
        <f aca="false">MIN(CM45+1,CL46+1,CL45+IF($A46=CM$4,0,1))</f>
        <v>83</v>
      </c>
      <c r="CN46" s="2" t="n">
        <f aca="false">MIN(CN45+1,CM46+1,CM45+IF($A46=CN$4,0,1))</f>
        <v>84</v>
      </c>
      <c r="CO46" s="2" t="n">
        <f aca="false">MIN(CO45+1,CN46+1,CN45+IF($A46=CO$4,0,1))</f>
        <v>85</v>
      </c>
      <c r="CP46" s="2" t="n">
        <f aca="false">MIN(CP45+1,CO46+1,CO45+IF($A46=CP$4,0,1))</f>
        <v>86</v>
      </c>
      <c r="CQ46" s="2" t="n">
        <f aca="false">MIN(CQ45+1,CP46+1,CP45+IF($A46=CQ$4,0,1))</f>
        <v>87</v>
      </c>
    </row>
    <row r="47" customFormat="false" ht="15" hidden="false" customHeight="false" outlineLevel="0" collapsed="false">
      <c r="A47" s="4" t="s">
        <v>171</v>
      </c>
      <c r="B47" s="12" t="n">
        <v>42</v>
      </c>
      <c r="C47" s="2" t="n">
        <f aca="false">MIN(C46+1,B47+1,B46+IF($A47=C$4,0,1))</f>
        <v>42</v>
      </c>
      <c r="D47" s="2" t="n">
        <f aca="false">MIN(D46+1,C47+1,C46+IF($A47=D$4,0,1))</f>
        <v>41</v>
      </c>
      <c r="E47" s="2" t="n">
        <f aca="false">MIN(E46+1,D47+1,D46+IF($A47=E$4,0,1))</f>
        <v>40</v>
      </c>
      <c r="F47" s="2" t="n">
        <f aca="false">MIN(F46+1,E47+1,E46+IF($A47=F$4,0,1))</f>
        <v>39</v>
      </c>
      <c r="G47" s="2" t="n">
        <f aca="false">MIN(G46+1,F47+1,F46+IF($A47=G$4,0,1))</f>
        <v>39</v>
      </c>
      <c r="H47" s="2" t="n">
        <f aca="false">MIN(H46+1,G47+1,G46+IF($A47=H$4,0,1))</f>
        <v>39</v>
      </c>
      <c r="I47" s="2" t="n">
        <f aca="false">MIN(I46+1,H47+1,H46+IF($A47=I$4,0,1))</f>
        <v>39</v>
      </c>
      <c r="J47" s="2" t="n">
        <f aca="false">MIN(J46+1,I47+1,I46+IF($A47=J$4,0,1))</f>
        <v>39</v>
      </c>
      <c r="K47" s="2" t="n">
        <f aca="false">MIN(K46+1,J47+1,J46+IF($A47=K$4,0,1))</f>
        <v>39</v>
      </c>
      <c r="L47" s="2" t="n">
        <f aca="false">MIN(L46+1,K47+1,K46+IF($A47=L$4,0,1))</f>
        <v>39</v>
      </c>
      <c r="M47" s="2" t="n">
        <f aca="false">MIN(M46+1,L47+1,L46+IF($A47=M$4,0,1))</f>
        <v>39</v>
      </c>
      <c r="N47" s="2" t="n">
        <f aca="false">MIN(N46+1,M47+1,M46+IF($A47=N$4,0,1))</f>
        <v>38</v>
      </c>
      <c r="O47" s="2" t="n">
        <f aca="false">MIN(O46+1,N47+1,N46+IF($A47=O$4,0,1))</f>
        <v>38</v>
      </c>
      <c r="P47" s="2" t="n">
        <f aca="false">MIN(P46+1,O47+1,O46+IF($A47=P$4,0,1))</f>
        <v>38</v>
      </c>
      <c r="Q47" s="2" t="n">
        <f aca="false">MIN(Q46+1,P47+1,P46+IF($A47=Q$4,0,1))</f>
        <v>38</v>
      </c>
      <c r="R47" s="2" t="n">
        <f aca="false">MIN(R46+1,Q47+1,Q46+IF($A47=R$4,0,1))</f>
        <v>38</v>
      </c>
      <c r="S47" s="2" t="n">
        <f aca="false">MIN(S46+1,R47+1,R46+IF($A47=S$4,0,1))</f>
        <v>38</v>
      </c>
      <c r="T47" s="2" t="n">
        <f aca="false">MIN(T46+1,S47+1,S46+IF($A47=T$4,0,1))</f>
        <v>38</v>
      </c>
      <c r="U47" s="2" t="n">
        <f aca="false">MIN(U46+1,T47+1,T46+IF($A47=U$4,0,1))</f>
        <v>38</v>
      </c>
      <c r="V47" s="2" t="n">
        <f aca="false">MIN(V46+1,U47+1,U46+IF($A47=V$4,0,1))</f>
        <v>38</v>
      </c>
      <c r="W47" s="2" t="n">
        <f aca="false">MIN(W46+1,V47+1,V46+IF($A47=W$4,0,1))</f>
        <v>38</v>
      </c>
      <c r="X47" s="2" t="n">
        <f aca="false">MIN(X46+1,W47+1,W46+IF($A47=X$4,0,1))</f>
        <v>38</v>
      </c>
      <c r="Y47" s="2" t="n">
        <f aca="false">MIN(Y46+1,X47+1,X46+IF($A47=Y$4,0,1))</f>
        <v>38</v>
      </c>
      <c r="Z47" s="2" t="n">
        <f aca="false">MIN(Z46+1,Y47+1,Y46+IF($A47=Z$4,0,1))</f>
        <v>38</v>
      </c>
      <c r="AA47" s="2" t="n">
        <f aca="false">MIN(AA46+1,Z47+1,Z46+IF($A47=AA$4,0,1))</f>
        <v>38</v>
      </c>
      <c r="AB47" s="2" t="n">
        <f aca="false">MIN(AB46+1,AA47+1,AA46+IF($A47=AB$4,0,1))</f>
        <v>38</v>
      </c>
      <c r="AC47" s="2" t="n">
        <f aca="false">MIN(AC46+1,AB47+1,AB46+IF($A47=AC$4,0,1))</f>
        <v>39</v>
      </c>
      <c r="AD47" s="2" t="n">
        <f aca="false">MIN(AD46+1,AC47+1,AC46+IF($A47=AD$4,0,1))</f>
        <v>39</v>
      </c>
      <c r="AE47" s="2" t="n">
        <f aca="false">MIN(AE46+1,AD47+1,AD46+IF($A47=AE$4,0,1))</f>
        <v>39</v>
      </c>
      <c r="AF47" s="2" t="n">
        <f aca="false">MIN(AF46+1,AE47+1,AE46+IF($A47=AF$4,0,1))</f>
        <v>39</v>
      </c>
      <c r="AG47" s="2" t="n">
        <f aca="false">MIN(AG46+1,AF47+1,AF46+IF($A47=AG$4,0,1))</f>
        <v>39</v>
      </c>
      <c r="AH47" s="2" t="n">
        <f aca="false">MIN(AH46+1,AG47+1,AG46+IF($A47=AH$4,0,1))</f>
        <v>39</v>
      </c>
      <c r="AI47" s="2" t="n">
        <f aca="false">MIN(AI46+1,AH47+1,AH46+IF($A47=AI$4,0,1))</f>
        <v>39</v>
      </c>
      <c r="AJ47" s="2" t="n">
        <f aca="false">MIN(AJ46+1,AI47+1,AI46+IF($A47=AJ$4,0,1))</f>
        <v>39</v>
      </c>
      <c r="AK47" s="2" t="n">
        <f aca="false">MIN(AK46+1,AJ47+1,AJ46+IF($A47=AK$4,0,1))</f>
        <v>39</v>
      </c>
      <c r="AL47" s="2" t="n">
        <f aca="false">MIN(AL46+1,AK47+1,AK46+IF($A47=AL$4,0,1))</f>
        <v>39</v>
      </c>
      <c r="AM47" s="2" t="n">
        <f aca="false">MIN(AM46+1,AL47+1,AL46+IF($A47=AM$4,0,1))</f>
        <v>39</v>
      </c>
      <c r="AN47" s="2" t="n">
        <f aca="false">MIN(AN46+1,AM47+1,AM46+IF($A47=AN$4,0,1))</f>
        <v>39</v>
      </c>
      <c r="AO47" s="2" t="n">
        <f aca="false">MIN(AO46+1,AN47+1,AN46+IF($A47=AO$4,0,1))</f>
        <v>39</v>
      </c>
      <c r="AP47" s="2" t="n">
        <f aca="false">MIN(AP46+1,AO47+1,AO46+IF($A47=AP$4,0,1))</f>
        <v>39</v>
      </c>
      <c r="AQ47" s="2" t="n">
        <f aca="false">MIN(AQ46+1,AP47+1,AP46+IF($A47=AQ$4,0,1))</f>
        <v>40</v>
      </c>
      <c r="AR47" s="2" t="n">
        <f aca="false">MIN(AR46+1,AQ47+1,AQ46+IF($A47=AR$4,0,1))</f>
        <v>40</v>
      </c>
      <c r="AS47" s="2" t="n">
        <f aca="false">MIN(AS46+1,AR47+1,AR46+IF($A47=AS$4,0,1))</f>
        <v>40</v>
      </c>
      <c r="AT47" s="2" t="n">
        <f aca="false">MIN(AT46+1,AS47+1,AS46+IF($A47=AT$4,0,1))</f>
        <v>40</v>
      </c>
      <c r="AU47" s="2" t="n">
        <f aca="false">MIN(AU46+1,AT47+1,AT46+IF($A47=AU$4,0,1))</f>
        <v>41</v>
      </c>
      <c r="AV47" s="2" t="n">
        <f aca="false">MIN(AV46+1,AU47+1,AU46+IF($A47=AV$4,0,1))</f>
        <v>42</v>
      </c>
      <c r="AW47" s="2" t="n">
        <f aca="false">MIN(AW46+1,AV47+1,AV46+IF($A47=AW$4,0,1))</f>
        <v>43</v>
      </c>
      <c r="AX47" s="2" t="n">
        <f aca="false">MIN(AX46+1,AW47+1,AW46+IF($A47=AX$4,0,1))</f>
        <v>44</v>
      </c>
      <c r="AY47" s="2" t="n">
        <f aca="false">MIN(AY46+1,AX47+1,AX46+IF($A47=AY$4,0,1))</f>
        <v>45</v>
      </c>
      <c r="AZ47" s="2" t="n">
        <f aca="false">MIN(AZ46+1,AY47+1,AY46+IF($A47=AZ$4,0,1))</f>
        <v>46</v>
      </c>
      <c r="BA47" s="2" t="n">
        <f aca="false">MIN(BA46+1,AZ47+1,AZ46+IF($A47=BA$4,0,1))</f>
        <v>47</v>
      </c>
      <c r="BB47" s="2" t="n">
        <f aca="false">MIN(BB46+1,BA47+1,BA46+IF($A47=BB$4,0,1))</f>
        <v>48</v>
      </c>
      <c r="BC47" s="2" t="n">
        <f aca="false">MIN(BC46+1,BB47+1,BB46+IF($A47=BC$4,0,1))</f>
        <v>49</v>
      </c>
      <c r="BD47" s="2" t="n">
        <f aca="false">MIN(BD46+1,BC47+1,BC46+IF($A47=BD$4,0,1))</f>
        <v>50</v>
      </c>
      <c r="BE47" s="2" t="n">
        <f aca="false">MIN(BE46+1,BD47+1,BD46+IF($A47=BE$4,0,1))</f>
        <v>51</v>
      </c>
      <c r="BF47" s="2" t="n">
        <f aca="false">MIN(BF46+1,BE47+1,BE46+IF($A47=BF$4,0,1))</f>
        <v>52</v>
      </c>
      <c r="BG47" s="2" t="n">
        <f aca="false">MIN(BG46+1,BF47+1,BF46+IF($A47=BG$4,0,1))</f>
        <v>53</v>
      </c>
      <c r="BH47" s="2" t="n">
        <f aca="false">MIN(BH46+1,BG47+1,BG46+IF($A47=BH$4,0,1))</f>
        <v>54</v>
      </c>
      <c r="BI47" s="2" t="n">
        <f aca="false">MIN(BI46+1,BH47+1,BH46+IF($A47=BI$4,0,1))</f>
        <v>55</v>
      </c>
      <c r="BJ47" s="2" t="n">
        <f aca="false">MIN(BJ46+1,BI47+1,BI46+IF($A47=BJ$4,0,1))</f>
        <v>55</v>
      </c>
      <c r="BK47" s="2" t="n">
        <f aca="false">MIN(BK46+1,BJ47+1,BJ46+IF($A47=BK$4,0,1))</f>
        <v>56</v>
      </c>
      <c r="BL47" s="2" t="n">
        <f aca="false">MIN(BL46+1,BK47+1,BK46+IF($A47=BL$4,0,1))</f>
        <v>57</v>
      </c>
      <c r="BM47" s="2" t="n">
        <f aca="false">MIN(BM46+1,BL47+1,BL46+IF($A47=BM$4,0,1))</f>
        <v>58</v>
      </c>
      <c r="BN47" s="2" t="n">
        <f aca="false">MIN(BN46+1,BM47+1,BM46+IF($A47=BN$4,0,1))</f>
        <v>59</v>
      </c>
      <c r="BO47" s="2" t="n">
        <f aca="false">MIN(BO46+1,BN47+1,BN46+IF($A47=BO$4,0,1))</f>
        <v>60</v>
      </c>
      <c r="BP47" s="2" t="n">
        <f aca="false">MIN(BP46+1,BO47+1,BO46+IF($A47=BP$4,0,1))</f>
        <v>61</v>
      </c>
      <c r="BQ47" s="2" t="n">
        <f aca="false">MIN(BQ46+1,BP47+1,BP46+IF($A47=BQ$4,0,1))</f>
        <v>62</v>
      </c>
      <c r="BR47" s="2" t="n">
        <f aca="false">MIN(BR46+1,BQ47+1,BQ46+IF($A47=BR$4,0,1))</f>
        <v>63</v>
      </c>
      <c r="BS47" s="2" t="n">
        <f aca="false">MIN(BS46+1,BR47+1,BR46+IF($A47=BS$4,0,1))</f>
        <v>64</v>
      </c>
      <c r="BT47" s="2" t="n">
        <f aca="false">MIN(BT46+1,BS47+1,BS46+IF($A47=BT$4,0,1))</f>
        <v>64</v>
      </c>
      <c r="BU47" s="2" t="n">
        <f aca="false">MIN(BU46+1,BT47+1,BT46+IF($A47=BU$4,0,1))</f>
        <v>65</v>
      </c>
      <c r="BV47" s="2" t="n">
        <f aca="false">MIN(BV46+1,BU47+1,BU46+IF($A47=BV$4,0,1))</f>
        <v>66</v>
      </c>
      <c r="BW47" s="2" t="n">
        <f aca="false">MIN(BW46+1,BV47+1,BV46+IF($A47=BW$4,0,1))</f>
        <v>67</v>
      </c>
      <c r="BX47" s="2" t="n">
        <f aca="false">MIN(BX46+1,BW47+1,BW46+IF($A47=BX$4,0,1))</f>
        <v>68</v>
      </c>
      <c r="BY47" s="2" t="n">
        <f aca="false">MIN(BY46+1,BX47+1,BX46+IF($A47=BY$4,0,1))</f>
        <v>69</v>
      </c>
      <c r="BZ47" s="2" t="n">
        <f aca="false">MIN(BZ46+1,BY47+1,BY46+IF($A47=BZ$4,0,1))</f>
        <v>70</v>
      </c>
      <c r="CA47" s="2" t="n">
        <f aca="false">MIN(CA46+1,BZ47+1,BZ46+IF($A47=CA$4,0,1))</f>
        <v>71</v>
      </c>
      <c r="CB47" s="2" t="n">
        <f aca="false">MIN(CB46+1,CA47+1,CA46+IF($A47=CB$4,0,1))</f>
        <v>72</v>
      </c>
      <c r="CC47" s="2" t="n">
        <f aca="false">MIN(CC46+1,CB47+1,CB46+IF($A47=CC$4,0,1))</f>
        <v>73</v>
      </c>
      <c r="CD47" s="2" t="n">
        <f aca="false">MIN(CD46+1,CC47+1,CC46+IF($A47=CD$4,0,1))</f>
        <v>74</v>
      </c>
      <c r="CE47" s="2" t="n">
        <f aca="false">MIN(CE46+1,CD47+1,CD46+IF($A47=CE$4,0,1))</f>
        <v>75</v>
      </c>
      <c r="CF47" s="2" t="n">
        <f aca="false">MIN(CF46+1,CE47+1,CE46+IF($A47=CF$4,0,1))</f>
        <v>76</v>
      </c>
      <c r="CG47" s="2" t="n">
        <f aca="false">MIN(CG46+1,CF47+1,CF46+IF($A47=CG$4,0,1))</f>
        <v>77</v>
      </c>
      <c r="CH47" s="2" t="n">
        <f aca="false">MIN(CH46+1,CG47+1,CG46+IF($A47=CH$4,0,1))</f>
        <v>78</v>
      </c>
      <c r="CI47" s="2" t="n">
        <f aca="false">MIN(CI46+1,CH47+1,CH46+IF($A47=CI$4,0,1))</f>
        <v>79</v>
      </c>
      <c r="CJ47" s="2" t="n">
        <f aca="false">MIN(CJ46+1,CI47+1,CI46+IF($A47=CJ$4,0,1))</f>
        <v>80</v>
      </c>
      <c r="CK47" s="2" t="n">
        <f aca="false">MIN(CK46+1,CJ47+1,CJ46+IF($A47=CK$4,0,1))</f>
        <v>81</v>
      </c>
      <c r="CL47" s="2" t="n">
        <f aca="false">MIN(CL46+1,CK47+1,CK46+IF($A47=CL$4,0,1))</f>
        <v>82</v>
      </c>
      <c r="CM47" s="2" t="n">
        <f aca="false">MIN(CM46+1,CL47+1,CL46+IF($A47=CM$4,0,1))</f>
        <v>83</v>
      </c>
      <c r="CN47" s="2" t="n">
        <f aca="false">MIN(CN46+1,CM47+1,CM46+IF($A47=CN$4,0,1))</f>
        <v>84</v>
      </c>
      <c r="CO47" s="2" t="n">
        <f aca="false">MIN(CO46+1,CN47+1,CN46+IF($A47=CO$4,0,1))</f>
        <v>85</v>
      </c>
      <c r="CP47" s="2" t="n">
        <f aca="false">MIN(CP46+1,CO47+1,CO46+IF($A47=CP$4,0,1))</f>
        <v>86</v>
      </c>
      <c r="CQ47" s="2" t="n">
        <f aca="false">MIN(CQ46+1,CP47+1,CP46+IF($A47=CQ$4,0,1))</f>
        <v>87</v>
      </c>
    </row>
    <row r="48" customFormat="false" ht="15" hidden="false" customHeight="false" outlineLevel="0" collapsed="false">
      <c r="A48" s="4" t="s">
        <v>108</v>
      </c>
      <c r="B48" s="12" t="n">
        <v>43</v>
      </c>
      <c r="C48" s="2" t="n">
        <f aca="false">MIN(C47+1,B48+1,B47+IF($A48=C$4,0,1))</f>
        <v>43</v>
      </c>
      <c r="D48" s="2" t="n">
        <f aca="false">MIN(D47+1,C48+1,C47+IF($A48=D$4,0,1))</f>
        <v>42</v>
      </c>
      <c r="E48" s="2" t="n">
        <f aca="false">MIN(E47+1,D48+1,D47+IF($A48=E$4,0,1))</f>
        <v>41</v>
      </c>
      <c r="F48" s="2" t="n">
        <f aca="false">MIN(F47+1,E48+1,E47+IF($A48=F$4,0,1))</f>
        <v>40</v>
      </c>
      <c r="G48" s="2" t="n">
        <f aca="false">MIN(G47+1,F48+1,F47+IF($A48=G$4,0,1))</f>
        <v>40</v>
      </c>
      <c r="H48" s="2" t="n">
        <f aca="false">MIN(H47+1,G48+1,G47+IF($A48=H$4,0,1))</f>
        <v>40</v>
      </c>
      <c r="I48" s="2" t="n">
        <f aca="false">MIN(I47+1,H48+1,H47+IF($A48=I$4,0,1))</f>
        <v>40</v>
      </c>
      <c r="J48" s="2" t="n">
        <f aca="false">MIN(J47+1,I48+1,I47+IF($A48=J$4,0,1))</f>
        <v>40</v>
      </c>
      <c r="K48" s="2" t="n">
        <f aca="false">MIN(K47+1,J48+1,J47+IF($A48=K$4,0,1))</f>
        <v>40</v>
      </c>
      <c r="L48" s="2" t="n">
        <f aca="false">MIN(L47+1,K48+1,K47+IF($A48=L$4,0,1))</f>
        <v>40</v>
      </c>
      <c r="M48" s="2" t="n">
        <f aca="false">MIN(M47+1,L48+1,L47+IF($A48=M$4,0,1))</f>
        <v>40</v>
      </c>
      <c r="N48" s="2" t="n">
        <f aca="false">MIN(N47+1,M48+1,M47+IF($A48=N$4,0,1))</f>
        <v>39</v>
      </c>
      <c r="O48" s="2" t="n">
        <f aca="false">MIN(O47+1,N48+1,N47+IF($A48=O$4,0,1))</f>
        <v>39</v>
      </c>
      <c r="P48" s="2" t="n">
        <f aca="false">MIN(P47+1,O48+1,O47+IF($A48=P$4,0,1))</f>
        <v>39</v>
      </c>
      <c r="Q48" s="2" t="n">
        <f aca="false">MIN(Q47+1,P48+1,P47+IF($A48=Q$4,0,1))</f>
        <v>39</v>
      </c>
      <c r="R48" s="2" t="n">
        <f aca="false">MIN(R47+1,Q48+1,Q47+IF($A48=R$4,0,1))</f>
        <v>39</v>
      </c>
      <c r="S48" s="2" t="n">
        <f aca="false">MIN(S47+1,R48+1,R47+IF($A48=S$4,0,1))</f>
        <v>39</v>
      </c>
      <c r="T48" s="2" t="n">
        <f aca="false">MIN(T47+1,S48+1,S47+IF($A48=T$4,0,1))</f>
        <v>39</v>
      </c>
      <c r="U48" s="2" t="n">
        <f aca="false">MIN(U47+1,T48+1,T47+IF($A48=U$4,0,1))</f>
        <v>39</v>
      </c>
      <c r="V48" s="2" t="n">
        <f aca="false">MIN(V47+1,U48+1,U47+IF($A48=V$4,0,1))</f>
        <v>39</v>
      </c>
      <c r="W48" s="2" t="n">
        <f aca="false">MIN(W47+1,V48+1,V47+IF($A48=W$4,0,1))</f>
        <v>39</v>
      </c>
      <c r="X48" s="2" t="n">
        <f aca="false">MIN(X47+1,W48+1,W47+IF($A48=X$4,0,1))</f>
        <v>39</v>
      </c>
      <c r="Y48" s="2" t="n">
        <f aca="false">MIN(Y47+1,X48+1,X47+IF($A48=Y$4,0,1))</f>
        <v>39</v>
      </c>
      <c r="Z48" s="2" t="n">
        <f aca="false">MIN(Z47+1,Y48+1,Y47+IF($A48=Z$4,0,1))</f>
        <v>39</v>
      </c>
      <c r="AA48" s="2" t="n">
        <f aca="false">MIN(AA47+1,Z48+1,Z47+IF($A48=AA$4,0,1))</f>
        <v>39</v>
      </c>
      <c r="AB48" s="2" t="n">
        <f aca="false">MIN(AB47+1,AA48+1,AA47+IF($A48=AB$4,0,1))</f>
        <v>39</v>
      </c>
      <c r="AC48" s="2" t="n">
        <f aca="false">MIN(AC47+1,AB48+1,AB47+IF($A48=AC$4,0,1))</f>
        <v>39</v>
      </c>
      <c r="AD48" s="2" t="n">
        <f aca="false">MIN(AD47+1,AC48+1,AC47+IF($A48=AD$4,0,1))</f>
        <v>40</v>
      </c>
      <c r="AE48" s="2" t="n">
        <f aca="false">MIN(AE47+1,AD48+1,AD47+IF($A48=AE$4,0,1))</f>
        <v>40</v>
      </c>
      <c r="AF48" s="2" t="n">
        <f aca="false">MIN(AF47+1,AE48+1,AE47+IF($A48=AF$4,0,1))</f>
        <v>40</v>
      </c>
      <c r="AG48" s="2" t="n">
        <f aca="false">MIN(AG47+1,AF48+1,AF47+IF($A48=AG$4,0,1))</f>
        <v>40</v>
      </c>
      <c r="AH48" s="2" t="n">
        <f aca="false">MIN(AH47+1,AG48+1,AG47+IF($A48=AH$4,0,1))</f>
        <v>39</v>
      </c>
      <c r="AI48" s="2" t="n">
        <f aca="false">MIN(AI47+1,AH48+1,AH47+IF($A48=AI$4,0,1))</f>
        <v>40</v>
      </c>
      <c r="AJ48" s="2" t="n">
        <f aca="false">MIN(AJ47+1,AI48+1,AI47+IF($A48=AJ$4,0,1))</f>
        <v>40</v>
      </c>
      <c r="AK48" s="2" t="n">
        <f aca="false">MIN(AK47+1,AJ48+1,AJ47+IF($A48=AK$4,0,1))</f>
        <v>40</v>
      </c>
      <c r="AL48" s="2" t="n">
        <f aca="false">MIN(AL47+1,AK48+1,AK47+IF($A48=AL$4,0,1))</f>
        <v>40</v>
      </c>
      <c r="AM48" s="2" t="n">
        <f aca="false">MIN(AM47+1,AL48+1,AL47+IF($A48=AM$4,0,1))</f>
        <v>40</v>
      </c>
      <c r="AN48" s="2" t="n">
        <f aca="false">MIN(AN47+1,AM48+1,AM47+IF($A48=AN$4,0,1))</f>
        <v>40</v>
      </c>
      <c r="AO48" s="2" t="n">
        <f aca="false">MIN(AO47+1,AN48+1,AN47+IF($A48=AO$4,0,1))</f>
        <v>40</v>
      </c>
      <c r="AP48" s="2" t="n">
        <f aca="false">MIN(AP47+1,AO48+1,AO47+IF($A48=AP$4,0,1))</f>
        <v>40</v>
      </c>
      <c r="AQ48" s="2" t="n">
        <f aca="false">MIN(AQ47+1,AP48+1,AP47+IF($A48=AQ$4,0,1))</f>
        <v>40</v>
      </c>
      <c r="AR48" s="2" t="n">
        <f aca="false">MIN(AR47+1,AQ48+1,AQ47+IF($A48=AR$4,0,1))</f>
        <v>41</v>
      </c>
      <c r="AS48" s="2" t="n">
        <f aca="false">MIN(AS47+1,AR48+1,AR47+IF($A48=AS$4,0,1))</f>
        <v>41</v>
      </c>
      <c r="AT48" s="2" t="n">
        <f aca="false">MIN(AT47+1,AS48+1,AS47+IF($A48=AT$4,0,1))</f>
        <v>41</v>
      </c>
      <c r="AU48" s="2" t="n">
        <f aca="false">MIN(AU47+1,AT48+1,AT47+IF($A48=AU$4,0,1))</f>
        <v>41</v>
      </c>
      <c r="AV48" s="2" t="n">
        <f aca="false">MIN(AV47+1,AU48+1,AU47+IF($A48=AV$4,0,1))</f>
        <v>42</v>
      </c>
      <c r="AW48" s="2" t="n">
        <f aca="false">MIN(AW47+1,AV48+1,AV47+IF($A48=AW$4,0,1))</f>
        <v>43</v>
      </c>
      <c r="AX48" s="2" t="n">
        <f aca="false">MIN(AX47+1,AW48+1,AW47+IF($A48=AX$4,0,1))</f>
        <v>44</v>
      </c>
      <c r="AY48" s="2" t="n">
        <f aca="false">MIN(AY47+1,AX48+1,AX47+IF($A48=AY$4,0,1))</f>
        <v>45</v>
      </c>
      <c r="AZ48" s="2" t="n">
        <f aca="false">MIN(AZ47+1,AY48+1,AY47+IF($A48=AZ$4,0,1))</f>
        <v>46</v>
      </c>
      <c r="BA48" s="2" t="n">
        <f aca="false">MIN(BA47+1,AZ48+1,AZ47+IF($A48=BA$4,0,1))</f>
        <v>47</v>
      </c>
      <c r="BB48" s="2" t="n">
        <f aca="false">MIN(BB47+1,BA48+1,BA47+IF($A48=BB$4,0,1))</f>
        <v>48</v>
      </c>
      <c r="BC48" s="2" t="n">
        <f aca="false">MIN(BC47+1,BB48+1,BB47+IF($A48=BC$4,0,1))</f>
        <v>49</v>
      </c>
      <c r="BD48" s="2" t="n">
        <f aca="false">MIN(BD47+1,BC48+1,BC47+IF($A48=BD$4,0,1))</f>
        <v>50</v>
      </c>
      <c r="BE48" s="2" t="n">
        <f aca="false">MIN(BE47+1,BD48+1,BD47+IF($A48=BE$4,0,1))</f>
        <v>51</v>
      </c>
      <c r="BF48" s="2" t="n">
        <f aca="false">MIN(BF47+1,BE48+1,BE47+IF($A48=BF$4,0,1))</f>
        <v>52</v>
      </c>
      <c r="BG48" s="2" t="n">
        <f aca="false">MIN(BG47+1,BF48+1,BF47+IF($A48=BG$4,0,1))</f>
        <v>53</v>
      </c>
      <c r="BH48" s="2" t="n">
        <f aca="false">MIN(BH47+1,BG48+1,BG47+IF($A48=BH$4,0,1))</f>
        <v>54</v>
      </c>
      <c r="BI48" s="2" t="n">
        <f aca="false">MIN(BI47+1,BH48+1,BH47+IF($A48=BI$4,0,1))</f>
        <v>55</v>
      </c>
      <c r="BJ48" s="2" t="n">
        <f aca="false">MIN(BJ47+1,BI48+1,BI47+IF($A48=BJ$4,0,1))</f>
        <v>56</v>
      </c>
      <c r="BK48" s="2" t="n">
        <f aca="false">MIN(BK47+1,BJ48+1,BJ47+IF($A48=BK$4,0,1))</f>
        <v>56</v>
      </c>
      <c r="BL48" s="2" t="n">
        <f aca="false">MIN(BL47+1,BK48+1,BK47+IF($A48=BL$4,0,1))</f>
        <v>57</v>
      </c>
      <c r="BM48" s="2" t="n">
        <f aca="false">MIN(BM47+1,BL48+1,BL47+IF($A48=BM$4,0,1))</f>
        <v>58</v>
      </c>
      <c r="BN48" s="2" t="n">
        <f aca="false">MIN(BN47+1,BM48+1,BM47+IF($A48=BN$4,0,1))</f>
        <v>59</v>
      </c>
      <c r="BO48" s="2" t="n">
        <f aca="false">MIN(BO47+1,BN48+1,BN47+IF($A48=BO$4,0,1))</f>
        <v>60</v>
      </c>
      <c r="BP48" s="2" t="n">
        <f aca="false">MIN(BP47+1,BO48+1,BO47+IF($A48=BP$4,0,1))</f>
        <v>61</v>
      </c>
      <c r="BQ48" s="2" t="n">
        <f aca="false">MIN(BQ47+1,BP48+1,BP47+IF($A48=BQ$4,0,1))</f>
        <v>62</v>
      </c>
      <c r="BR48" s="2" t="n">
        <f aca="false">MIN(BR47+1,BQ48+1,BQ47+IF($A48=BR$4,0,1))</f>
        <v>63</v>
      </c>
      <c r="BS48" s="2" t="n">
        <f aca="false">MIN(BS47+1,BR48+1,BR47+IF($A48=BS$4,0,1))</f>
        <v>64</v>
      </c>
      <c r="BT48" s="2" t="n">
        <f aca="false">MIN(BT47+1,BS48+1,BS47+IF($A48=BT$4,0,1))</f>
        <v>65</v>
      </c>
      <c r="BU48" s="2" t="n">
        <f aca="false">MIN(BU47+1,BT48+1,BT47+IF($A48=BU$4,0,1))</f>
        <v>65</v>
      </c>
      <c r="BV48" s="2" t="n">
        <f aca="false">MIN(BV47+1,BU48+1,BU47+IF($A48=BV$4,0,1))</f>
        <v>66</v>
      </c>
      <c r="BW48" s="2" t="n">
        <f aca="false">MIN(BW47+1,BV48+1,BV47+IF($A48=BW$4,0,1))</f>
        <v>67</v>
      </c>
      <c r="BX48" s="2" t="n">
        <f aca="false">MIN(BX47+1,BW48+1,BW47+IF($A48=BX$4,0,1))</f>
        <v>68</v>
      </c>
      <c r="BY48" s="2" t="n">
        <f aca="false">MIN(BY47+1,BX48+1,BX47+IF($A48=BY$4,0,1))</f>
        <v>69</v>
      </c>
      <c r="BZ48" s="2" t="n">
        <f aca="false">MIN(BZ47+1,BY48+1,BY47+IF($A48=BZ$4,0,1))</f>
        <v>70</v>
      </c>
      <c r="CA48" s="2" t="n">
        <f aca="false">MIN(CA47+1,BZ48+1,BZ47+IF($A48=CA$4,0,1))</f>
        <v>71</v>
      </c>
      <c r="CB48" s="2" t="n">
        <f aca="false">MIN(CB47+1,CA48+1,CA47+IF($A48=CB$4,0,1))</f>
        <v>72</v>
      </c>
      <c r="CC48" s="2" t="n">
        <f aca="false">MIN(CC47+1,CB48+1,CB47+IF($A48=CC$4,0,1))</f>
        <v>73</v>
      </c>
      <c r="CD48" s="2" t="n">
        <f aca="false">MIN(CD47+1,CC48+1,CC47+IF($A48=CD$4,0,1))</f>
        <v>74</v>
      </c>
      <c r="CE48" s="2" t="n">
        <f aca="false">MIN(CE47+1,CD48+1,CD47+IF($A48=CE$4,0,1))</f>
        <v>75</v>
      </c>
      <c r="CF48" s="2" t="n">
        <f aca="false">MIN(CF47+1,CE48+1,CE47+IF($A48=CF$4,0,1))</f>
        <v>76</v>
      </c>
      <c r="CG48" s="2" t="n">
        <f aca="false">MIN(CG47+1,CF48+1,CF47+IF($A48=CG$4,0,1))</f>
        <v>77</v>
      </c>
      <c r="CH48" s="2" t="n">
        <f aca="false">MIN(CH47+1,CG48+1,CG47+IF($A48=CH$4,0,1))</f>
        <v>78</v>
      </c>
      <c r="CI48" s="2" t="n">
        <f aca="false">MIN(CI47+1,CH48+1,CH47+IF($A48=CI$4,0,1))</f>
        <v>79</v>
      </c>
      <c r="CJ48" s="2" t="n">
        <f aca="false">MIN(CJ47+1,CI48+1,CI47+IF($A48=CJ$4,0,1))</f>
        <v>80</v>
      </c>
      <c r="CK48" s="2" t="n">
        <f aca="false">MIN(CK47+1,CJ48+1,CJ47+IF($A48=CK$4,0,1))</f>
        <v>81</v>
      </c>
      <c r="CL48" s="2" t="n">
        <f aca="false">MIN(CL47+1,CK48+1,CK47+IF($A48=CL$4,0,1))</f>
        <v>82</v>
      </c>
      <c r="CM48" s="2" t="n">
        <f aca="false">MIN(CM47+1,CL48+1,CL47+IF($A48=CM$4,0,1))</f>
        <v>83</v>
      </c>
      <c r="CN48" s="2" t="n">
        <f aca="false">MIN(CN47+1,CM48+1,CM47+IF($A48=CN$4,0,1))</f>
        <v>84</v>
      </c>
      <c r="CO48" s="2" t="n">
        <f aca="false">MIN(CO47+1,CN48+1,CN47+IF($A48=CO$4,0,1))</f>
        <v>85</v>
      </c>
      <c r="CP48" s="2" t="n">
        <f aca="false">MIN(CP47+1,CO48+1,CO47+IF($A48=CP$4,0,1))</f>
        <v>86</v>
      </c>
      <c r="CQ48" s="2" t="n">
        <f aca="false">MIN(CQ47+1,CP48+1,CP47+IF($A48=CQ$4,0,1))</f>
        <v>87</v>
      </c>
    </row>
    <row r="49" customFormat="false" ht="15" hidden="false" customHeight="false" outlineLevel="0" collapsed="false">
      <c r="A49" s="4" t="s">
        <v>168</v>
      </c>
      <c r="B49" s="12" t="n">
        <v>44</v>
      </c>
      <c r="C49" s="2" t="n">
        <f aca="false">MIN(C48+1,B49+1,B48+IF($A49=C$4,0,1))</f>
        <v>44</v>
      </c>
      <c r="D49" s="2" t="n">
        <f aca="false">MIN(D48+1,C49+1,C48+IF($A49=D$4,0,1))</f>
        <v>43</v>
      </c>
      <c r="E49" s="2" t="n">
        <f aca="false">MIN(E48+1,D49+1,D48+IF($A49=E$4,0,1))</f>
        <v>42</v>
      </c>
      <c r="F49" s="2" t="n">
        <f aca="false">MIN(F48+1,E49+1,E48+IF($A49=F$4,0,1))</f>
        <v>41</v>
      </c>
      <c r="G49" s="2" t="n">
        <f aca="false">MIN(G48+1,F49+1,F48+IF($A49=G$4,0,1))</f>
        <v>41</v>
      </c>
      <c r="H49" s="2" t="n">
        <f aca="false">MIN(H48+1,G49+1,G48+IF($A49=H$4,0,1))</f>
        <v>41</v>
      </c>
      <c r="I49" s="2" t="n">
        <f aca="false">MIN(I48+1,H49+1,H48+IF($A49=I$4,0,1))</f>
        <v>41</v>
      </c>
      <c r="J49" s="2" t="n">
        <f aca="false">MIN(J48+1,I49+1,I48+IF($A49=J$4,0,1))</f>
        <v>41</v>
      </c>
      <c r="K49" s="2" t="n">
        <f aca="false">MIN(K48+1,J49+1,J48+IF($A49=K$4,0,1))</f>
        <v>41</v>
      </c>
      <c r="L49" s="2" t="n">
        <f aca="false">MIN(L48+1,K49+1,K48+IF($A49=L$4,0,1))</f>
        <v>41</v>
      </c>
      <c r="M49" s="2" t="n">
        <f aca="false">MIN(M48+1,L49+1,L48+IF($A49=M$4,0,1))</f>
        <v>41</v>
      </c>
      <c r="N49" s="2" t="n">
        <f aca="false">MIN(N48+1,M49+1,M48+IF($A49=N$4,0,1))</f>
        <v>40</v>
      </c>
      <c r="O49" s="2" t="n">
        <f aca="false">MIN(O48+1,N49+1,N48+IF($A49=O$4,0,1))</f>
        <v>40</v>
      </c>
      <c r="P49" s="2" t="n">
        <f aca="false">MIN(P48+1,O49+1,O48+IF($A49=P$4,0,1))</f>
        <v>40</v>
      </c>
      <c r="Q49" s="2" t="n">
        <f aca="false">MIN(Q48+1,P49+1,P48+IF($A49=Q$4,0,1))</f>
        <v>40</v>
      </c>
      <c r="R49" s="2" t="n">
        <f aca="false">MIN(R48+1,Q49+1,Q48+IF($A49=R$4,0,1))</f>
        <v>40</v>
      </c>
      <c r="S49" s="2" t="n">
        <f aca="false">MIN(S48+1,R49+1,R48+IF($A49=S$4,0,1))</f>
        <v>40</v>
      </c>
      <c r="T49" s="2" t="n">
        <f aca="false">MIN(T48+1,S49+1,S48+IF($A49=T$4,0,1))</f>
        <v>40</v>
      </c>
      <c r="U49" s="2" t="n">
        <f aca="false">MIN(U48+1,T49+1,T48+IF($A49=U$4,0,1))</f>
        <v>40</v>
      </c>
      <c r="V49" s="2" t="n">
        <f aca="false">MIN(V48+1,U49+1,U48+IF($A49=V$4,0,1))</f>
        <v>40</v>
      </c>
      <c r="W49" s="2" t="n">
        <f aca="false">MIN(W48+1,V49+1,V48+IF($A49=W$4,0,1))</f>
        <v>40</v>
      </c>
      <c r="X49" s="2" t="n">
        <f aca="false">MIN(X48+1,W49+1,W48+IF($A49=X$4,0,1))</f>
        <v>40</v>
      </c>
      <c r="Y49" s="2" t="n">
        <f aca="false">MIN(Y48+1,X49+1,X48+IF($A49=Y$4,0,1))</f>
        <v>40</v>
      </c>
      <c r="Z49" s="2" t="n">
        <f aca="false">MIN(Z48+1,Y49+1,Y48+IF($A49=Z$4,0,1))</f>
        <v>40</v>
      </c>
      <c r="AA49" s="2" t="n">
        <f aca="false">MIN(AA48+1,Z49+1,Z48+IF($A49=AA$4,0,1))</f>
        <v>40</v>
      </c>
      <c r="AB49" s="2" t="n">
        <f aca="false">MIN(AB48+1,AA49+1,AA48+IF($A49=AB$4,0,1))</f>
        <v>40</v>
      </c>
      <c r="AC49" s="2" t="n">
        <f aca="false">MIN(AC48+1,AB49+1,AB48+IF($A49=AC$4,0,1))</f>
        <v>40</v>
      </c>
      <c r="AD49" s="2" t="n">
        <f aca="false">MIN(AD48+1,AC49+1,AC48+IF($A49=AD$4,0,1))</f>
        <v>40</v>
      </c>
      <c r="AE49" s="2" t="n">
        <f aca="false">MIN(AE48+1,AD49+1,AD48+IF($A49=AE$4,0,1))</f>
        <v>41</v>
      </c>
      <c r="AF49" s="2" t="n">
        <f aca="false">MIN(AF48+1,AE49+1,AE48+IF($A49=AF$4,0,1))</f>
        <v>41</v>
      </c>
      <c r="AG49" s="2" t="n">
        <f aca="false">MIN(AG48+1,AF49+1,AF48+IF($A49=AG$4,0,1))</f>
        <v>41</v>
      </c>
      <c r="AH49" s="2" t="n">
        <f aca="false">MIN(AH48+1,AG49+1,AG48+IF($A49=AH$4,0,1))</f>
        <v>40</v>
      </c>
      <c r="AI49" s="2" t="n">
        <f aca="false">MIN(AI48+1,AH49+1,AH48+IF($A49=AI$4,0,1))</f>
        <v>40</v>
      </c>
      <c r="AJ49" s="2" t="n">
        <f aca="false">MIN(AJ48+1,AI49+1,AI48+IF($A49=AJ$4,0,1))</f>
        <v>41</v>
      </c>
      <c r="AK49" s="2" t="n">
        <f aca="false">MIN(AK48+1,AJ49+1,AJ48+IF($A49=AK$4,0,1))</f>
        <v>41</v>
      </c>
      <c r="AL49" s="2" t="n">
        <f aca="false">MIN(AL48+1,AK49+1,AK48+IF($A49=AL$4,0,1))</f>
        <v>41</v>
      </c>
      <c r="AM49" s="2" t="n">
        <f aca="false">MIN(AM48+1,AL49+1,AL48+IF($A49=AM$4,0,1))</f>
        <v>41</v>
      </c>
      <c r="AN49" s="2" t="n">
        <f aca="false">MIN(AN48+1,AM49+1,AM48+IF($A49=AN$4,0,1))</f>
        <v>41</v>
      </c>
      <c r="AO49" s="2" t="n">
        <f aca="false">MIN(AO48+1,AN49+1,AN48+IF($A49=AO$4,0,1))</f>
        <v>41</v>
      </c>
      <c r="AP49" s="2" t="n">
        <f aca="false">MIN(AP48+1,AO49+1,AO48+IF($A49=AP$4,0,1))</f>
        <v>41</v>
      </c>
      <c r="AQ49" s="2" t="n">
        <f aca="false">MIN(AQ48+1,AP49+1,AP48+IF($A49=AQ$4,0,1))</f>
        <v>41</v>
      </c>
      <c r="AR49" s="2" t="n">
        <f aca="false">MIN(AR48+1,AQ49+1,AQ48+IF($A49=AR$4,0,1))</f>
        <v>41</v>
      </c>
      <c r="AS49" s="2" t="n">
        <f aca="false">MIN(AS48+1,AR49+1,AR48+IF($A49=AS$4,0,1))</f>
        <v>42</v>
      </c>
      <c r="AT49" s="2" t="n">
        <f aca="false">MIN(AT48+1,AS49+1,AS48+IF($A49=AT$4,0,1))</f>
        <v>42</v>
      </c>
      <c r="AU49" s="2" t="n">
        <f aca="false">MIN(AU48+1,AT49+1,AT48+IF($A49=AU$4,0,1))</f>
        <v>42</v>
      </c>
      <c r="AV49" s="2" t="n">
        <f aca="false">MIN(AV48+1,AU49+1,AU48+IF($A49=AV$4,0,1))</f>
        <v>42</v>
      </c>
      <c r="AW49" s="2" t="n">
        <f aca="false">MIN(AW48+1,AV49+1,AV48+IF($A49=AW$4,0,1))</f>
        <v>43</v>
      </c>
      <c r="AX49" s="2" t="n">
        <f aca="false">MIN(AX48+1,AW49+1,AW48+IF($A49=AX$4,0,1))</f>
        <v>44</v>
      </c>
      <c r="AY49" s="2" t="n">
        <f aca="false">MIN(AY48+1,AX49+1,AX48+IF($A49=AY$4,0,1))</f>
        <v>45</v>
      </c>
      <c r="AZ49" s="2" t="n">
        <f aca="false">MIN(AZ48+1,AY49+1,AY48+IF($A49=AZ$4,0,1))</f>
        <v>46</v>
      </c>
      <c r="BA49" s="2" t="n">
        <f aca="false">MIN(BA48+1,AZ49+1,AZ48+IF($A49=BA$4,0,1))</f>
        <v>47</v>
      </c>
      <c r="BB49" s="2" t="n">
        <f aca="false">MIN(BB48+1,BA49+1,BA48+IF($A49=BB$4,0,1))</f>
        <v>48</v>
      </c>
      <c r="BC49" s="2" t="n">
        <f aca="false">MIN(BC48+1,BB49+1,BB48+IF($A49=BC$4,0,1))</f>
        <v>49</v>
      </c>
      <c r="BD49" s="2" t="n">
        <f aca="false">MIN(BD48+1,BC49+1,BC48+IF($A49=BD$4,0,1))</f>
        <v>50</v>
      </c>
      <c r="BE49" s="2" t="n">
        <f aca="false">MIN(BE48+1,BD49+1,BD48+IF($A49=BE$4,0,1))</f>
        <v>51</v>
      </c>
      <c r="BF49" s="2" t="n">
        <f aca="false">MIN(BF48+1,BE49+1,BE48+IF($A49=BF$4,0,1))</f>
        <v>52</v>
      </c>
      <c r="BG49" s="2" t="n">
        <f aca="false">MIN(BG48+1,BF49+1,BF48+IF($A49=BG$4,0,1))</f>
        <v>53</v>
      </c>
      <c r="BH49" s="2" t="n">
        <f aca="false">MIN(BH48+1,BG49+1,BG48+IF($A49=BH$4,0,1))</f>
        <v>54</v>
      </c>
      <c r="BI49" s="2" t="n">
        <f aca="false">MIN(BI48+1,BH49+1,BH48+IF($A49=BI$4,0,1))</f>
        <v>55</v>
      </c>
      <c r="BJ49" s="2" t="n">
        <f aca="false">MIN(BJ48+1,BI49+1,BI48+IF($A49=BJ$4,0,1))</f>
        <v>56</v>
      </c>
      <c r="BK49" s="2" t="n">
        <f aca="false">MIN(BK48+1,BJ49+1,BJ48+IF($A49=BK$4,0,1))</f>
        <v>57</v>
      </c>
      <c r="BL49" s="2" t="n">
        <f aca="false">MIN(BL48+1,BK49+1,BK48+IF($A49=BL$4,0,1))</f>
        <v>57</v>
      </c>
      <c r="BM49" s="2" t="n">
        <f aca="false">MIN(BM48+1,BL49+1,BL48+IF($A49=BM$4,0,1))</f>
        <v>58</v>
      </c>
      <c r="BN49" s="2" t="n">
        <f aca="false">MIN(BN48+1,BM49+1,BM48+IF($A49=BN$4,0,1))</f>
        <v>59</v>
      </c>
      <c r="BO49" s="2" t="n">
        <f aca="false">MIN(BO48+1,BN49+1,BN48+IF($A49=BO$4,0,1))</f>
        <v>60</v>
      </c>
      <c r="BP49" s="2" t="n">
        <f aca="false">MIN(BP48+1,BO49+1,BO48+IF($A49=BP$4,0,1))</f>
        <v>61</v>
      </c>
      <c r="BQ49" s="2" t="n">
        <f aca="false">MIN(BQ48+1,BP49+1,BP48+IF($A49=BQ$4,0,1))</f>
        <v>62</v>
      </c>
      <c r="BR49" s="2" t="n">
        <f aca="false">MIN(BR48+1,BQ49+1,BQ48+IF($A49=BR$4,0,1))</f>
        <v>63</v>
      </c>
      <c r="BS49" s="2" t="n">
        <f aca="false">MIN(BS48+1,BR49+1,BR48+IF($A49=BS$4,0,1))</f>
        <v>64</v>
      </c>
      <c r="BT49" s="2" t="n">
        <f aca="false">MIN(BT48+1,BS49+1,BS48+IF($A49=BT$4,0,1))</f>
        <v>65</v>
      </c>
      <c r="BU49" s="2" t="n">
        <f aca="false">MIN(BU48+1,BT49+1,BT48+IF($A49=BU$4,0,1))</f>
        <v>66</v>
      </c>
      <c r="BV49" s="2" t="n">
        <f aca="false">MIN(BV48+1,BU49+1,BU48+IF($A49=BV$4,0,1))</f>
        <v>66</v>
      </c>
      <c r="BW49" s="2" t="n">
        <f aca="false">MIN(BW48+1,BV49+1,BV48+IF($A49=BW$4,0,1))</f>
        <v>67</v>
      </c>
      <c r="BX49" s="2" t="n">
        <f aca="false">MIN(BX48+1,BW49+1,BW48+IF($A49=BX$4,0,1))</f>
        <v>68</v>
      </c>
      <c r="BY49" s="2" t="n">
        <f aca="false">MIN(BY48+1,BX49+1,BX48+IF($A49=BY$4,0,1))</f>
        <v>69</v>
      </c>
      <c r="BZ49" s="2" t="n">
        <f aca="false">MIN(BZ48+1,BY49+1,BY48+IF($A49=BZ$4,0,1))</f>
        <v>70</v>
      </c>
      <c r="CA49" s="2" t="n">
        <f aca="false">MIN(CA48+1,BZ49+1,BZ48+IF($A49=CA$4,0,1))</f>
        <v>71</v>
      </c>
      <c r="CB49" s="2" t="n">
        <f aca="false">MIN(CB48+1,CA49+1,CA48+IF($A49=CB$4,0,1))</f>
        <v>72</v>
      </c>
      <c r="CC49" s="2" t="n">
        <f aca="false">MIN(CC48+1,CB49+1,CB48+IF($A49=CC$4,0,1))</f>
        <v>73</v>
      </c>
      <c r="CD49" s="2" t="n">
        <f aca="false">MIN(CD48+1,CC49+1,CC48+IF($A49=CD$4,0,1))</f>
        <v>74</v>
      </c>
      <c r="CE49" s="2" t="n">
        <f aca="false">MIN(CE48+1,CD49+1,CD48+IF($A49=CE$4,0,1))</f>
        <v>75</v>
      </c>
      <c r="CF49" s="2" t="n">
        <f aca="false">MIN(CF48+1,CE49+1,CE48+IF($A49=CF$4,0,1))</f>
        <v>76</v>
      </c>
      <c r="CG49" s="2" t="n">
        <f aca="false">MIN(CG48+1,CF49+1,CF48+IF($A49=CG$4,0,1))</f>
        <v>77</v>
      </c>
      <c r="CH49" s="2" t="n">
        <f aca="false">MIN(CH48+1,CG49+1,CG48+IF($A49=CH$4,0,1))</f>
        <v>78</v>
      </c>
      <c r="CI49" s="2" t="n">
        <f aca="false">MIN(CI48+1,CH49+1,CH48+IF($A49=CI$4,0,1))</f>
        <v>79</v>
      </c>
      <c r="CJ49" s="2" t="n">
        <f aca="false">MIN(CJ48+1,CI49+1,CI48+IF($A49=CJ$4,0,1))</f>
        <v>80</v>
      </c>
      <c r="CK49" s="2" t="n">
        <f aca="false">MIN(CK48+1,CJ49+1,CJ48+IF($A49=CK$4,0,1))</f>
        <v>81</v>
      </c>
      <c r="CL49" s="2" t="n">
        <f aca="false">MIN(CL48+1,CK49+1,CK48+IF($A49=CL$4,0,1))</f>
        <v>82</v>
      </c>
      <c r="CM49" s="2" t="n">
        <f aca="false">MIN(CM48+1,CL49+1,CL48+IF($A49=CM$4,0,1))</f>
        <v>83</v>
      </c>
      <c r="CN49" s="2" t="n">
        <f aca="false">MIN(CN48+1,CM49+1,CM48+IF($A49=CN$4,0,1))</f>
        <v>84</v>
      </c>
      <c r="CO49" s="2" t="n">
        <f aca="false">MIN(CO48+1,CN49+1,CN48+IF($A49=CO$4,0,1))</f>
        <v>85</v>
      </c>
      <c r="CP49" s="2" t="n">
        <f aca="false">MIN(CP48+1,CO49+1,CO48+IF($A49=CP$4,0,1))</f>
        <v>86</v>
      </c>
      <c r="CQ49" s="2" t="n">
        <f aca="false">MIN(CQ48+1,CP49+1,CP48+IF($A49=CQ$4,0,1))</f>
        <v>87</v>
      </c>
    </row>
    <row r="50" customFormat="false" ht="15" hidden="false" customHeight="false" outlineLevel="0" collapsed="false">
      <c r="A50" s="4" t="s">
        <v>172</v>
      </c>
      <c r="B50" s="12" t="n">
        <v>45</v>
      </c>
      <c r="C50" s="2" t="n">
        <f aca="false">MIN(C49+1,B50+1,B49+IF($A50=C$4,0,1))</f>
        <v>45</v>
      </c>
      <c r="D50" s="2" t="n">
        <f aca="false">MIN(D49+1,C50+1,C49+IF($A50=D$4,0,1))</f>
        <v>44</v>
      </c>
      <c r="E50" s="2" t="n">
        <f aca="false">MIN(E49+1,D50+1,D49+IF($A50=E$4,0,1))</f>
        <v>43</v>
      </c>
      <c r="F50" s="2" t="n">
        <f aca="false">MIN(F49+1,E50+1,E49+IF($A50=F$4,0,1))</f>
        <v>42</v>
      </c>
      <c r="G50" s="2" t="n">
        <f aca="false">MIN(G49+1,F50+1,F49+IF($A50=G$4,0,1))</f>
        <v>42</v>
      </c>
      <c r="H50" s="2" t="n">
        <f aca="false">MIN(H49+1,G50+1,G49+IF($A50=H$4,0,1))</f>
        <v>42</v>
      </c>
      <c r="I50" s="2" t="n">
        <f aca="false">MIN(I49+1,H50+1,H49+IF($A50=I$4,0,1))</f>
        <v>42</v>
      </c>
      <c r="J50" s="2" t="n">
        <f aca="false">MIN(J49+1,I50+1,I49+IF($A50=J$4,0,1))</f>
        <v>42</v>
      </c>
      <c r="K50" s="2" t="n">
        <f aca="false">MIN(K49+1,J50+1,J49+IF($A50=K$4,0,1))</f>
        <v>42</v>
      </c>
      <c r="L50" s="2" t="n">
        <f aca="false">MIN(L49+1,K50+1,K49+IF($A50=L$4,0,1))</f>
        <v>42</v>
      </c>
      <c r="M50" s="2" t="n">
        <f aca="false">MIN(M49+1,L50+1,L49+IF($A50=M$4,0,1))</f>
        <v>42</v>
      </c>
      <c r="N50" s="2" t="n">
        <f aca="false">MIN(N49+1,M50+1,M49+IF($A50=N$4,0,1))</f>
        <v>41</v>
      </c>
      <c r="O50" s="2" t="n">
        <f aca="false">MIN(O49+1,N50+1,N49+IF($A50=O$4,0,1))</f>
        <v>41</v>
      </c>
      <c r="P50" s="2" t="n">
        <f aca="false">MIN(P49+1,O50+1,O49+IF($A50=P$4,0,1))</f>
        <v>41</v>
      </c>
      <c r="Q50" s="2" t="n">
        <f aca="false">MIN(Q49+1,P50+1,P49+IF($A50=Q$4,0,1))</f>
        <v>41</v>
      </c>
      <c r="R50" s="2" t="n">
        <f aca="false">MIN(R49+1,Q50+1,Q49+IF($A50=R$4,0,1))</f>
        <v>41</v>
      </c>
      <c r="S50" s="2" t="n">
        <f aca="false">MIN(S49+1,R50+1,R49+IF($A50=S$4,0,1))</f>
        <v>41</v>
      </c>
      <c r="T50" s="2" t="n">
        <f aca="false">MIN(T49+1,S50+1,S49+IF($A50=T$4,0,1))</f>
        <v>41</v>
      </c>
      <c r="U50" s="2" t="n">
        <f aca="false">MIN(U49+1,T50+1,T49+IF($A50=U$4,0,1))</f>
        <v>41</v>
      </c>
      <c r="V50" s="2" t="n">
        <f aca="false">MIN(V49+1,U50+1,U49+IF($A50=V$4,0,1))</f>
        <v>41</v>
      </c>
      <c r="W50" s="2" t="n">
        <f aca="false">MIN(W49+1,V50+1,V49+IF($A50=W$4,0,1))</f>
        <v>41</v>
      </c>
      <c r="X50" s="2" t="n">
        <f aca="false">MIN(X49+1,W50+1,W49+IF($A50=X$4,0,1))</f>
        <v>41</v>
      </c>
      <c r="Y50" s="2" t="n">
        <f aca="false">MIN(Y49+1,X50+1,X49+IF($A50=Y$4,0,1))</f>
        <v>41</v>
      </c>
      <c r="Z50" s="2" t="n">
        <f aca="false">MIN(Z49+1,Y50+1,Y49+IF($A50=Z$4,0,1))</f>
        <v>41</v>
      </c>
      <c r="AA50" s="2" t="n">
        <f aca="false">MIN(AA49+1,Z50+1,Z49+IF($A50=AA$4,0,1))</f>
        <v>41</v>
      </c>
      <c r="AB50" s="2" t="n">
        <f aca="false">MIN(AB49+1,AA50+1,AA49+IF($A50=AB$4,0,1))</f>
        <v>41</v>
      </c>
      <c r="AC50" s="2" t="n">
        <f aca="false">MIN(AC49+1,AB50+1,AB49+IF($A50=AC$4,0,1))</f>
        <v>41</v>
      </c>
      <c r="AD50" s="2" t="n">
        <f aca="false">MIN(AD49+1,AC50+1,AC49+IF($A50=AD$4,0,1))</f>
        <v>41</v>
      </c>
      <c r="AE50" s="2" t="n">
        <f aca="false">MIN(AE49+1,AD50+1,AD49+IF($A50=AE$4,0,1))</f>
        <v>41</v>
      </c>
      <c r="AF50" s="2" t="n">
        <f aca="false">MIN(AF49+1,AE50+1,AE49+IF($A50=AF$4,0,1))</f>
        <v>42</v>
      </c>
      <c r="AG50" s="2" t="n">
        <f aca="false">MIN(AG49+1,AF50+1,AF49+IF($A50=AG$4,0,1))</f>
        <v>42</v>
      </c>
      <c r="AH50" s="2" t="n">
        <f aca="false">MIN(AH49+1,AG50+1,AG49+IF($A50=AH$4,0,1))</f>
        <v>41</v>
      </c>
      <c r="AI50" s="2" t="n">
        <f aca="false">MIN(AI49+1,AH50+1,AH49+IF($A50=AI$4,0,1))</f>
        <v>41</v>
      </c>
      <c r="AJ50" s="2" t="n">
        <f aca="false">MIN(AJ49+1,AI50+1,AI49+IF($A50=AJ$4,0,1))</f>
        <v>41</v>
      </c>
      <c r="AK50" s="2" t="n">
        <f aca="false">MIN(AK49+1,AJ50+1,AJ49+IF($A50=AK$4,0,1))</f>
        <v>42</v>
      </c>
      <c r="AL50" s="2" t="n">
        <f aca="false">MIN(AL49+1,AK50+1,AK49+IF($A50=AL$4,0,1))</f>
        <v>42</v>
      </c>
      <c r="AM50" s="2" t="n">
        <f aca="false">MIN(AM49+1,AL50+1,AL49+IF($A50=AM$4,0,1))</f>
        <v>42</v>
      </c>
      <c r="AN50" s="2" t="n">
        <f aca="false">MIN(AN49+1,AM50+1,AM49+IF($A50=AN$4,0,1))</f>
        <v>42</v>
      </c>
      <c r="AO50" s="2" t="n">
        <f aca="false">MIN(AO49+1,AN50+1,AN49+IF($A50=AO$4,0,1))</f>
        <v>42</v>
      </c>
      <c r="AP50" s="2" t="n">
        <f aca="false">MIN(AP49+1,AO50+1,AO49+IF($A50=AP$4,0,1))</f>
        <v>42</v>
      </c>
      <c r="AQ50" s="2" t="n">
        <f aca="false">MIN(AQ49+1,AP50+1,AP49+IF($A50=AQ$4,0,1))</f>
        <v>42</v>
      </c>
      <c r="AR50" s="2" t="n">
        <f aca="false">MIN(AR49+1,AQ50+1,AQ49+IF($A50=AR$4,0,1))</f>
        <v>42</v>
      </c>
      <c r="AS50" s="2" t="n">
        <f aca="false">MIN(AS49+1,AR50+1,AR49+IF($A50=AS$4,0,1))</f>
        <v>42</v>
      </c>
      <c r="AT50" s="2" t="n">
        <f aca="false">MIN(AT49+1,AS50+1,AS49+IF($A50=AT$4,0,1))</f>
        <v>43</v>
      </c>
      <c r="AU50" s="2" t="n">
        <f aca="false">MIN(AU49+1,AT50+1,AT49+IF($A50=AU$4,0,1))</f>
        <v>43</v>
      </c>
      <c r="AV50" s="2" t="n">
        <f aca="false">MIN(AV49+1,AU50+1,AU49+IF($A50=AV$4,0,1))</f>
        <v>43</v>
      </c>
      <c r="AW50" s="2" t="n">
        <f aca="false">MIN(AW49+1,AV50+1,AV49+IF($A50=AW$4,0,1))</f>
        <v>43</v>
      </c>
      <c r="AX50" s="2" t="n">
        <f aca="false">MIN(AX49+1,AW50+1,AW49+IF($A50=AX$4,0,1))</f>
        <v>44</v>
      </c>
      <c r="AY50" s="2" t="n">
        <f aca="false">MIN(AY49+1,AX50+1,AX49+IF($A50=AY$4,0,1))</f>
        <v>45</v>
      </c>
      <c r="AZ50" s="2" t="n">
        <f aca="false">MIN(AZ49+1,AY50+1,AY49+IF($A50=AZ$4,0,1))</f>
        <v>46</v>
      </c>
      <c r="BA50" s="2" t="n">
        <f aca="false">MIN(BA49+1,AZ50+1,AZ49+IF($A50=BA$4,0,1))</f>
        <v>47</v>
      </c>
      <c r="BB50" s="2" t="n">
        <f aca="false">MIN(BB49+1,BA50+1,BA49+IF($A50=BB$4,0,1))</f>
        <v>48</v>
      </c>
      <c r="BC50" s="2" t="n">
        <f aca="false">MIN(BC49+1,BB50+1,BB49+IF($A50=BC$4,0,1))</f>
        <v>49</v>
      </c>
      <c r="BD50" s="2" t="n">
        <f aca="false">MIN(BD49+1,BC50+1,BC49+IF($A50=BD$4,0,1))</f>
        <v>50</v>
      </c>
      <c r="BE50" s="2" t="n">
        <f aca="false">MIN(BE49+1,BD50+1,BD49+IF($A50=BE$4,0,1))</f>
        <v>51</v>
      </c>
      <c r="BF50" s="2" t="n">
        <f aca="false">MIN(BF49+1,BE50+1,BE49+IF($A50=BF$4,0,1))</f>
        <v>52</v>
      </c>
      <c r="BG50" s="2" t="n">
        <f aca="false">MIN(BG49+1,BF50+1,BF49+IF($A50=BG$4,0,1))</f>
        <v>53</v>
      </c>
      <c r="BH50" s="2" t="n">
        <f aca="false">MIN(BH49+1,BG50+1,BG49+IF($A50=BH$4,0,1))</f>
        <v>54</v>
      </c>
      <c r="BI50" s="2" t="n">
        <f aca="false">MIN(BI49+1,BH50+1,BH49+IF($A50=BI$4,0,1))</f>
        <v>55</v>
      </c>
      <c r="BJ50" s="2" t="n">
        <f aca="false">MIN(BJ49+1,BI50+1,BI49+IF($A50=BJ$4,0,1))</f>
        <v>56</v>
      </c>
      <c r="BK50" s="2" t="n">
        <f aca="false">MIN(BK49+1,BJ50+1,BJ49+IF($A50=BK$4,0,1))</f>
        <v>57</v>
      </c>
      <c r="BL50" s="2" t="n">
        <f aca="false">MIN(BL49+1,BK50+1,BK49+IF($A50=BL$4,0,1))</f>
        <v>58</v>
      </c>
      <c r="BM50" s="2" t="n">
        <f aca="false">MIN(BM49+1,BL50+1,BL49+IF($A50=BM$4,0,1))</f>
        <v>58</v>
      </c>
      <c r="BN50" s="2" t="n">
        <f aca="false">MIN(BN49+1,BM50+1,BM49+IF($A50=BN$4,0,1))</f>
        <v>59</v>
      </c>
      <c r="BO50" s="2" t="n">
        <f aca="false">MIN(BO49+1,BN50+1,BN49+IF($A50=BO$4,0,1))</f>
        <v>60</v>
      </c>
      <c r="BP50" s="2" t="n">
        <f aca="false">MIN(BP49+1,BO50+1,BO49+IF($A50=BP$4,0,1))</f>
        <v>61</v>
      </c>
      <c r="BQ50" s="2" t="n">
        <f aca="false">MIN(BQ49+1,BP50+1,BP49+IF($A50=BQ$4,0,1))</f>
        <v>62</v>
      </c>
      <c r="BR50" s="2" t="n">
        <f aca="false">MIN(BR49+1,BQ50+1,BQ49+IF($A50=BR$4,0,1))</f>
        <v>63</v>
      </c>
      <c r="BS50" s="2" t="n">
        <f aca="false">MIN(BS49+1,BR50+1,BR49+IF($A50=BS$4,0,1))</f>
        <v>64</v>
      </c>
      <c r="BT50" s="2" t="n">
        <f aca="false">MIN(BT49+1,BS50+1,BS49+IF($A50=BT$4,0,1))</f>
        <v>65</v>
      </c>
      <c r="BU50" s="2" t="n">
        <f aca="false">MIN(BU49+1,BT50+1,BT49+IF($A50=BU$4,0,1))</f>
        <v>66</v>
      </c>
      <c r="BV50" s="2" t="n">
        <f aca="false">MIN(BV49+1,BU50+1,BU49+IF($A50=BV$4,0,1))</f>
        <v>67</v>
      </c>
      <c r="BW50" s="2" t="n">
        <f aca="false">MIN(BW49+1,BV50+1,BV49+IF($A50=BW$4,0,1))</f>
        <v>67</v>
      </c>
      <c r="BX50" s="2" t="n">
        <f aca="false">MIN(BX49+1,BW50+1,BW49+IF($A50=BX$4,0,1))</f>
        <v>68</v>
      </c>
      <c r="BY50" s="2" t="n">
        <f aca="false">MIN(BY49+1,BX50+1,BX49+IF($A50=BY$4,0,1))</f>
        <v>69</v>
      </c>
      <c r="BZ50" s="2" t="n">
        <f aca="false">MIN(BZ49+1,BY50+1,BY49+IF($A50=BZ$4,0,1))</f>
        <v>70</v>
      </c>
      <c r="CA50" s="2" t="n">
        <f aca="false">MIN(CA49+1,BZ50+1,BZ49+IF($A50=CA$4,0,1))</f>
        <v>71</v>
      </c>
      <c r="CB50" s="2" t="n">
        <f aca="false">MIN(CB49+1,CA50+1,CA49+IF($A50=CB$4,0,1))</f>
        <v>72</v>
      </c>
      <c r="CC50" s="2" t="n">
        <f aca="false">MIN(CC49+1,CB50+1,CB49+IF($A50=CC$4,0,1))</f>
        <v>73</v>
      </c>
      <c r="CD50" s="2" t="n">
        <f aca="false">MIN(CD49+1,CC50+1,CC49+IF($A50=CD$4,0,1))</f>
        <v>74</v>
      </c>
      <c r="CE50" s="2" t="n">
        <f aca="false">MIN(CE49+1,CD50+1,CD49+IF($A50=CE$4,0,1))</f>
        <v>75</v>
      </c>
      <c r="CF50" s="2" t="n">
        <f aca="false">MIN(CF49+1,CE50+1,CE49+IF($A50=CF$4,0,1))</f>
        <v>76</v>
      </c>
      <c r="CG50" s="2" t="n">
        <f aca="false">MIN(CG49+1,CF50+1,CF49+IF($A50=CG$4,0,1))</f>
        <v>77</v>
      </c>
      <c r="CH50" s="2" t="n">
        <f aca="false">MIN(CH49+1,CG50+1,CG49+IF($A50=CH$4,0,1))</f>
        <v>78</v>
      </c>
      <c r="CI50" s="2" t="n">
        <f aca="false">MIN(CI49+1,CH50+1,CH49+IF($A50=CI$4,0,1))</f>
        <v>79</v>
      </c>
      <c r="CJ50" s="2" t="n">
        <f aca="false">MIN(CJ49+1,CI50+1,CI49+IF($A50=CJ$4,0,1))</f>
        <v>80</v>
      </c>
      <c r="CK50" s="2" t="n">
        <f aca="false">MIN(CK49+1,CJ50+1,CJ49+IF($A50=CK$4,0,1))</f>
        <v>81</v>
      </c>
      <c r="CL50" s="2" t="n">
        <f aca="false">MIN(CL49+1,CK50+1,CK49+IF($A50=CL$4,0,1))</f>
        <v>82</v>
      </c>
      <c r="CM50" s="2" t="n">
        <f aca="false">MIN(CM49+1,CL50+1,CL49+IF($A50=CM$4,0,1))</f>
        <v>83</v>
      </c>
      <c r="CN50" s="2" t="n">
        <f aca="false">MIN(CN49+1,CM50+1,CM49+IF($A50=CN$4,0,1))</f>
        <v>84</v>
      </c>
      <c r="CO50" s="2" t="n">
        <f aca="false">MIN(CO49+1,CN50+1,CN49+IF($A50=CO$4,0,1))</f>
        <v>85</v>
      </c>
      <c r="CP50" s="2" t="n">
        <f aca="false">MIN(CP49+1,CO50+1,CO49+IF($A50=CP$4,0,1))</f>
        <v>86</v>
      </c>
      <c r="CQ50" s="2" t="n">
        <f aca="false">MIN(CQ49+1,CP50+1,CP49+IF($A50=CQ$4,0,1))</f>
        <v>87</v>
      </c>
    </row>
    <row r="51" customFormat="false" ht="15" hidden="false" customHeight="false" outlineLevel="0" collapsed="false">
      <c r="A51" s="4" t="s">
        <v>173</v>
      </c>
      <c r="B51" s="12" t="n">
        <v>46</v>
      </c>
      <c r="C51" s="2" t="n">
        <f aca="false">MIN(C50+1,B51+1,B50+IF($A51=C$4,0,1))</f>
        <v>46</v>
      </c>
      <c r="D51" s="2" t="n">
        <f aca="false">MIN(D50+1,C51+1,C50+IF($A51=D$4,0,1))</f>
        <v>45</v>
      </c>
      <c r="E51" s="2" t="n">
        <f aca="false">MIN(E50+1,D51+1,D50+IF($A51=E$4,0,1))</f>
        <v>44</v>
      </c>
      <c r="F51" s="2" t="n">
        <f aca="false">MIN(F50+1,E51+1,E50+IF($A51=F$4,0,1))</f>
        <v>43</v>
      </c>
      <c r="G51" s="2" t="n">
        <f aca="false">MIN(G50+1,F51+1,F50+IF($A51=G$4,0,1))</f>
        <v>43</v>
      </c>
      <c r="H51" s="2" t="n">
        <f aca="false">MIN(H50+1,G51+1,G50+IF($A51=H$4,0,1))</f>
        <v>43</v>
      </c>
      <c r="I51" s="2" t="n">
        <f aca="false">MIN(I50+1,H51+1,H50+IF($A51=I$4,0,1))</f>
        <v>43</v>
      </c>
      <c r="J51" s="2" t="n">
        <f aca="false">MIN(J50+1,I51+1,I50+IF($A51=J$4,0,1))</f>
        <v>43</v>
      </c>
      <c r="K51" s="2" t="n">
        <f aca="false">MIN(K50+1,J51+1,J50+IF($A51=K$4,0,1))</f>
        <v>43</v>
      </c>
      <c r="L51" s="2" t="n">
        <f aca="false">MIN(L50+1,K51+1,K50+IF($A51=L$4,0,1))</f>
        <v>43</v>
      </c>
      <c r="M51" s="2" t="n">
        <f aca="false">MIN(M50+1,L51+1,L50+IF($A51=M$4,0,1))</f>
        <v>43</v>
      </c>
      <c r="N51" s="2" t="n">
        <f aca="false">MIN(N50+1,M51+1,M50+IF($A51=N$4,0,1))</f>
        <v>42</v>
      </c>
      <c r="O51" s="2" t="n">
        <f aca="false">MIN(O50+1,N51+1,N50+IF($A51=O$4,0,1))</f>
        <v>42</v>
      </c>
      <c r="P51" s="2" t="n">
        <f aca="false">MIN(P50+1,O51+1,O50+IF($A51=P$4,0,1))</f>
        <v>42</v>
      </c>
      <c r="Q51" s="2" t="n">
        <f aca="false">MIN(Q50+1,P51+1,P50+IF($A51=Q$4,0,1))</f>
        <v>42</v>
      </c>
      <c r="R51" s="2" t="n">
        <f aca="false">MIN(R50+1,Q51+1,Q50+IF($A51=R$4,0,1))</f>
        <v>42</v>
      </c>
      <c r="S51" s="2" t="n">
        <f aca="false">MIN(S50+1,R51+1,R50+IF($A51=S$4,0,1))</f>
        <v>42</v>
      </c>
      <c r="T51" s="2" t="n">
        <f aca="false">MIN(T50+1,S51+1,S50+IF($A51=T$4,0,1))</f>
        <v>42</v>
      </c>
      <c r="U51" s="2" t="n">
        <f aca="false">MIN(U50+1,T51+1,T50+IF($A51=U$4,0,1))</f>
        <v>42</v>
      </c>
      <c r="V51" s="2" t="n">
        <f aca="false">MIN(V50+1,U51+1,U50+IF($A51=V$4,0,1))</f>
        <v>42</v>
      </c>
      <c r="W51" s="2" t="n">
        <f aca="false">MIN(W50+1,V51+1,V50+IF($A51=W$4,0,1))</f>
        <v>42</v>
      </c>
      <c r="X51" s="2" t="n">
        <f aca="false">MIN(X50+1,W51+1,W50+IF($A51=X$4,0,1))</f>
        <v>42</v>
      </c>
      <c r="Y51" s="2" t="n">
        <f aca="false">MIN(Y50+1,X51+1,X50+IF($A51=Y$4,0,1))</f>
        <v>42</v>
      </c>
      <c r="Z51" s="2" t="n">
        <f aca="false">MIN(Z50+1,Y51+1,Y50+IF($A51=Z$4,0,1))</f>
        <v>42</v>
      </c>
      <c r="AA51" s="2" t="n">
        <f aca="false">MIN(AA50+1,Z51+1,Z50+IF($A51=AA$4,0,1))</f>
        <v>42</v>
      </c>
      <c r="AB51" s="2" t="n">
        <f aca="false">MIN(AB50+1,AA51+1,AA50+IF($A51=AB$4,0,1))</f>
        <v>42</v>
      </c>
      <c r="AC51" s="2" t="n">
        <f aca="false">MIN(AC50+1,AB51+1,AB50+IF($A51=AC$4,0,1))</f>
        <v>42</v>
      </c>
      <c r="AD51" s="2" t="n">
        <f aca="false">MIN(AD50+1,AC51+1,AC50+IF($A51=AD$4,0,1))</f>
        <v>42</v>
      </c>
      <c r="AE51" s="2" t="n">
        <f aca="false">MIN(AE50+1,AD51+1,AD50+IF($A51=AE$4,0,1))</f>
        <v>42</v>
      </c>
      <c r="AF51" s="2" t="n">
        <f aca="false">MIN(AF50+1,AE51+1,AE50+IF($A51=AF$4,0,1))</f>
        <v>42</v>
      </c>
      <c r="AG51" s="2" t="n">
        <f aca="false">MIN(AG50+1,AF51+1,AF50+IF($A51=AG$4,0,1))</f>
        <v>43</v>
      </c>
      <c r="AH51" s="2" t="n">
        <f aca="false">MIN(AH50+1,AG51+1,AG50+IF($A51=AH$4,0,1))</f>
        <v>42</v>
      </c>
      <c r="AI51" s="2" t="n">
        <f aca="false">MIN(AI50+1,AH51+1,AH50+IF($A51=AI$4,0,1))</f>
        <v>42</v>
      </c>
      <c r="AJ51" s="2" t="n">
        <f aca="false">MIN(AJ50+1,AI51+1,AI50+IF($A51=AJ$4,0,1))</f>
        <v>42</v>
      </c>
      <c r="AK51" s="2" t="n">
        <f aca="false">MIN(AK50+1,AJ51+1,AJ50+IF($A51=AK$4,0,1))</f>
        <v>42</v>
      </c>
      <c r="AL51" s="2" t="n">
        <f aca="false">MIN(AL50+1,AK51+1,AK50+IF($A51=AL$4,0,1))</f>
        <v>43</v>
      </c>
      <c r="AM51" s="2" t="n">
        <f aca="false">MIN(AM50+1,AL51+1,AL50+IF($A51=AM$4,0,1))</f>
        <v>43</v>
      </c>
      <c r="AN51" s="2" t="n">
        <f aca="false">MIN(AN50+1,AM51+1,AM50+IF($A51=AN$4,0,1))</f>
        <v>43</v>
      </c>
      <c r="AO51" s="2" t="n">
        <f aca="false">MIN(AO50+1,AN51+1,AN50+IF($A51=AO$4,0,1))</f>
        <v>43</v>
      </c>
      <c r="AP51" s="2" t="n">
        <f aca="false">MIN(AP50+1,AO51+1,AO50+IF($A51=AP$4,0,1))</f>
        <v>43</v>
      </c>
      <c r="AQ51" s="2" t="n">
        <f aca="false">MIN(AQ50+1,AP51+1,AP50+IF($A51=AQ$4,0,1))</f>
        <v>43</v>
      </c>
      <c r="AR51" s="2" t="n">
        <f aca="false">MIN(AR50+1,AQ51+1,AQ50+IF($A51=AR$4,0,1))</f>
        <v>43</v>
      </c>
      <c r="AS51" s="2" t="n">
        <f aca="false">MIN(AS50+1,AR51+1,AR50+IF($A51=AS$4,0,1))</f>
        <v>43</v>
      </c>
      <c r="AT51" s="2" t="n">
        <f aca="false">MIN(AT50+1,AS51+1,AS50+IF($A51=AT$4,0,1))</f>
        <v>43</v>
      </c>
      <c r="AU51" s="2" t="n">
        <f aca="false">MIN(AU50+1,AT51+1,AT50+IF($A51=AU$4,0,1))</f>
        <v>44</v>
      </c>
      <c r="AV51" s="2" t="n">
        <f aca="false">MIN(AV50+1,AU51+1,AU50+IF($A51=AV$4,0,1))</f>
        <v>44</v>
      </c>
      <c r="AW51" s="2" t="n">
        <f aca="false">MIN(AW50+1,AV51+1,AV50+IF($A51=AW$4,0,1))</f>
        <v>44</v>
      </c>
      <c r="AX51" s="2" t="n">
        <f aca="false">MIN(AX50+1,AW51+1,AW50+IF($A51=AX$4,0,1))</f>
        <v>44</v>
      </c>
      <c r="AY51" s="2" t="n">
        <f aca="false">MIN(AY50+1,AX51+1,AX50+IF($A51=AY$4,0,1))</f>
        <v>45</v>
      </c>
      <c r="AZ51" s="2" t="n">
        <f aca="false">MIN(AZ50+1,AY51+1,AY50+IF($A51=AZ$4,0,1))</f>
        <v>46</v>
      </c>
      <c r="BA51" s="2" t="n">
        <f aca="false">MIN(BA50+1,AZ51+1,AZ50+IF($A51=BA$4,0,1))</f>
        <v>47</v>
      </c>
      <c r="BB51" s="2" t="n">
        <f aca="false">MIN(BB50+1,BA51+1,BA50+IF($A51=BB$4,0,1))</f>
        <v>48</v>
      </c>
      <c r="BC51" s="2" t="n">
        <f aca="false">MIN(BC50+1,BB51+1,BB50+IF($A51=BC$4,0,1))</f>
        <v>49</v>
      </c>
      <c r="BD51" s="2" t="n">
        <f aca="false">MIN(BD50+1,BC51+1,BC50+IF($A51=BD$4,0,1))</f>
        <v>50</v>
      </c>
      <c r="BE51" s="2" t="n">
        <f aca="false">MIN(BE50+1,BD51+1,BD50+IF($A51=BE$4,0,1))</f>
        <v>51</v>
      </c>
      <c r="BF51" s="2" t="n">
        <f aca="false">MIN(BF50+1,BE51+1,BE50+IF($A51=BF$4,0,1))</f>
        <v>52</v>
      </c>
      <c r="BG51" s="2" t="n">
        <f aca="false">MIN(BG50+1,BF51+1,BF50+IF($A51=BG$4,0,1))</f>
        <v>53</v>
      </c>
      <c r="BH51" s="2" t="n">
        <f aca="false">MIN(BH50+1,BG51+1,BG50+IF($A51=BH$4,0,1))</f>
        <v>54</v>
      </c>
      <c r="BI51" s="2" t="n">
        <f aca="false">MIN(BI50+1,BH51+1,BH50+IF($A51=BI$4,0,1))</f>
        <v>55</v>
      </c>
      <c r="BJ51" s="2" t="n">
        <f aca="false">MIN(BJ50+1,BI51+1,BI50+IF($A51=BJ$4,0,1))</f>
        <v>56</v>
      </c>
      <c r="BK51" s="2" t="n">
        <f aca="false">MIN(BK50+1,BJ51+1,BJ50+IF($A51=BK$4,0,1))</f>
        <v>57</v>
      </c>
      <c r="BL51" s="2" t="n">
        <f aca="false">MIN(BL50+1,BK51+1,BK50+IF($A51=BL$4,0,1))</f>
        <v>58</v>
      </c>
      <c r="BM51" s="2" t="n">
        <f aca="false">MIN(BM50+1,BL51+1,BL50+IF($A51=BM$4,0,1))</f>
        <v>59</v>
      </c>
      <c r="BN51" s="2" t="n">
        <f aca="false">MIN(BN50+1,BM51+1,BM50+IF($A51=BN$4,0,1))</f>
        <v>59</v>
      </c>
      <c r="BO51" s="2" t="n">
        <f aca="false">MIN(BO50+1,BN51+1,BN50+IF($A51=BO$4,0,1))</f>
        <v>60</v>
      </c>
      <c r="BP51" s="2" t="n">
        <f aca="false">MIN(BP50+1,BO51+1,BO50+IF($A51=BP$4,0,1))</f>
        <v>61</v>
      </c>
      <c r="BQ51" s="2" t="n">
        <f aca="false">MIN(BQ50+1,BP51+1,BP50+IF($A51=BQ$4,0,1))</f>
        <v>62</v>
      </c>
      <c r="BR51" s="2" t="n">
        <f aca="false">MIN(BR50+1,BQ51+1,BQ50+IF($A51=BR$4,0,1))</f>
        <v>63</v>
      </c>
      <c r="BS51" s="2" t="n">
        <f aca="false">MIN(BS50+1,BR51+1,BR50+IF($A51=BS$4,0,1))</f>
        <v>64</v>
      </c>
      <c r="BT51" s="2" t="n">
        <f aca="false">MIN(BT50+1,BS51+1,BS50+IF($A51=BT$4,0,1))</f>
        <v>65</v>
      </c>
      <c r="BU51" s="2" t="n">
        <f aca="false">MIN(BU50+1,BT51+1,BT50+IF($A51=BU$4,0,1))</f>
        <v>66</v>
      </c>
      <c r="BV51" s="2" t="n">
        <f aca="false">MIN(BV50+1,BU51+1,BU50+IF($A51=BV$4,0,1))</f>
        <v>67</v>
      </c>
      <c r="BW51" s="2" t="n">
        <f aca="false">MIN(BW50+1,BV51+1,BV50+IF($A51=BW$4,0,1))</f>
        <v>68</v>
      </c>
      <c r="BX51" s="2" t="n">
        <f aca="false">MIN(BX50+1,BW51+1,BW50+IF($A51=BX$4,0,1))</f>
        <v>68</v>
      </c>
      <c r="BY51" s="2" t="n">
        <f aca="false">MIN(BY50+1,BX51+1,BX50+IF($A51=BY$4,0,1))</f>
        <v>69</v>
      </c>
      <c r="BZ51" s="2" t="n">
        <f aca="false">MIN(BZ50+1,BY51+1,BY50+IF($A51=BZ$4,0,1))</f>
        <v>70</v>
      </c>
      <c r="CA51" s="2" t="n">
        <f aca="false">MIN(CA50+1,BZ51+1,BZ50+IF($A51=CA$4,0,1))</f>
        <v>71</v>
      </c>
      <c r="CB51" s="2" t="n">
        <f aca="false">MIN(CB50+1,CA51+1,CA50+IF($A51=CB$4,0,1))</f>
        <v>72</v>
      </c>
      <c r="CC51" s="2" t="n">
        <f aca="false">MIN(CC50+1,CB51+1,CB50+IF($A51=CC$4,0,1))</f>
        <v>73</v>
      </c>
      <c r="CD51" s="2" t="n">
        <f aca="false">MIN(CD50+1,CC51+1,CC50+IF($A51=CD$4,0,1))</f>
        <v>74</v>
      </c>
      <c r="CE51" s="2" t="n">
        <f aca="false">MIN(CE50+1,CD51+1,CD50+IF($A51=CE$4,0,1))</f>
        <v>75</v>
      </c>
      <c r="CF51" s="2" t="n">
        <f aca="false">MIN(CF50+1,CE51+1,CE50+IF($A51=CF$4,0,1))</f>
        <v>76</v>
      </c>
      <c r="CG51" s="2" t="n">
        <f aca="false">MIN(CG50+1,CF51+1,CF50+IF($A51=CG$4,0,1))</f>
        <v>77</v>
      </c>
      <c r="CH51" s="2" t="n">
        <f aca="false">MIN(CH50+1,CG51+1,CG50+IF($A51=CH$4,0,1))</f>
        <v>78</v>
      </c>
      <c r="CI51" s="2" t="n">
        <f aca="false">MIN(CI50+1,CH51+1,CH50+IF($A51=CI$4,0,1))</f>
        <v>79</v>
      </c>
      <c r="CJ51" s="2" t="n">
        <f aca="false">MIN(CJ50+1,CI51+1,CI50+IF($A51=CJ$4,0,1))</f>
        <v>80</v>
      </c>
      <c r="CK51" s="2" t="n">
        <f aca="false">MIN(CK50+1,CJ51+1,CJ50+IF($A51=CK$4,0,1))</f>
        <v>81</v>
      </c>
      <c r="CL51" s="2" t="n">
        <f aca="false">MIN(CL50+1,CK51+1,CK50+IF($A51=CL$4,0,1))</f>
        <v>82</v>
      </c>
      <c r="CM51" s="2" t="n">
        <f aca="false">MIN(CM50+1,CL51+1,CL50+IF($A51=CM$4,0,1))</f>
        <v>83</v>
      </c>
      <c r="CN51" s="2" t="n">
        <f aca="false">MIN(CN50+1,CM51+1,CM50+IF($A51=CN$4,0,1))</f>
        <v>84</v>
      </c>
      <c r="CO51" s="2" t="n">
        <f aca="false">MIN(CO50+1,CN51+1,CN50+IF($A51=CO$4,0,1))</f>
        <v>85</v>
      </c>
      <c r="CP51" s="2" t="n">
        <f aca="false">MIN(CP50+1,CO51+1,CO50+IF($A51=CP$4,0,1))</f>
        <v>86</v>
      </c>
      <c r="CQ51" s="2" t="n">
        <f aca="false">MIN(CQ50+1,CP51+1,CP50+IF($A51=CQ$4,0,1))</f>
        <v>87</v>
      </c>
    </row>
    <row r="52" customFormat="false" ht="15" hidden="false" customHeight="false" outlineLevel="0" collapsed="false">
      <c r="A52" s="4" t="s">
        <v>174</v>
      </c>
      <c r="B52" s="12" t="n">
        <v>47</v>
      </c>
      <c r="C52" s="2" t="n">
        <f aca="false">MIN(C51+1,B52+1,B51+IF($A52=C$4,0,1))</f>
        <v>47</v>
      </c>
      <c r="D52" s="2" t="n">
        <f aca="false">MIN(D51+1,C52+1,C51+IF($A52=D$4,0,1))</f>
        <v>46</v>
      </c>
      <c r="E52" s="2" t="n">
        <f aca="false">MIN(E51+1,D52+1,D51+IF($A52=E$4,0,1))</f>
        <v>45</v>
      </c>
      <c r="F52" s="2" t="n">
        <f aca="false">MIN(F51+1,E52+1,E51+IF($A52=F$4,0,1))</f>
        <v>44</v>
      </c>
      <c r="G52" s="2" t="n">
        <f aca="false">MIN(G51+1,F52+1,F51+IF($A52=G$4,0,1))</f>
        <v>44</v>
      </c>
      <c r="H52" s="2" t="n">
        <f aca="false">MIN(H51+1,G52+1,G51+IF($A52=H$4,0,1))</f>
        <v>44</v>
      </c>
      <c r="I52" s="2" t="n">
        <f aca="false">MIN(I51+1,H52+1,H51+IF($A52=I$4,0,1))</f>
        <v>44</v>
      </c>
      <c r="J52" s="2" t="n">
        <f aca="false">MIN(J51+1,I52+1,I51+IF($A52=J$4,0,1))</f>
        <v>44</v>
      </c>
      <c r="K52" s="2" t="n">
        <f aca="false">MIN(K51+1,J52+1,J51+IF($A52=K$4,0,1))</f>
        <v>44</v>
      </c>
      <c r="L52" s="2" t="n">
        <f aca="false">MIN(L51+1,K52+1,K51+IF($A52=L$4,0,1))</f>
        <v>44</v>
      </c>
      <c r="M52" s="2" t="n">
        <f aca="false">MIN(M51+1,L52+1,L51+IF($A52=M$4,0,1))</f>
        <v>44</v>
      </c>
      <c r="N52" s="2" t="n">
        <f aca="false">MIN(N51+1,M52+1,M51+IF($A52=N$4,0,1))</f>
        <v>43</v>
      </c>
      <c r="O52" s="2" t="n">
        <f aca="false">MIN(O51+1,N52+1,N51+IF($A52=O$4,0,1))</f>
        <v>43</v>
      </c>
      <c r="P52" s="2" t="n">
        <f aca="false">MIN(P51+1,O52+1,O51+IF($A52=P$4,0,1))</f>
        <v>43</v>
      </c>
      <c r="Q52" s="2" t="n">
        <f aca="false">MIN(Q51+1,P52+1,P51+IF($A52=Q$4,0,1))</f>
        <v>43</v>
      </c>
      <c r="R52" s="2" t="n">
        <f aca="false">MIN(R51+1,Q52+1,Q51+IF($A52=R$4,0,1))</f>
        <v>43</v>
      </c>
      <c r="S52" s="2" t="n">
        <f aca="false">MIN(S51+1,R52+1,R51+IF($A52=S$4,0,1))</f>
        <v>43</v>
      </c>
      <c r="T52" s="2" t="n">
        <f aca="false">MIN(T51+1,S52+1,S51+IF($A52=T$4,0,1))</f>
        <v>43</v>
      </c>
      <c r="U52" s="2" t="n">
        <f aca="false">MIN(U51+1,T52+1,T51+IF($A52=U$4,0,1))</f>
        <v>43</v>
      </c>
      <c r="V52" s="2" t="n">
        <f aca="false">MIN(V51+1,U52+1,U51+IF($A52=V$4,0,1))</f>
        <v>43</v>
      </c>
      <c r="W52" s="2" t="n">
        <f aca="false">MIN(W51+1,V52+1,V51+IF($A52=W$4,0,1))</f>
        <v>43</v>
      </c>
      <c r="X52" s="2" t="n">
        <f aca="false">MIN(X51+1,W52+1,W51+IF($A52=X$4,0,1))</f>
        <v>43</v>
      </c>
      <c r="Y52" s="2" t="n">
        <f aca="false">MIN(Y51+1,X52+1,X51+IF($A52=Y$4,0,1))</f>
        <v>43</v>
      </c>
      <c r="Z52" s="2" t="n">
        <f aca="false">MIN(Z51+1,Y52+1,Y51+IF($A52=Z$4,0,1))</f>
        <v>43</v>
      </c>
      <c r="AA52" s="2" t="n">
        <f aca="false">MIN(AA51+1,Z52+1,Z51+IF($A52=AA$4,0,1))</f>
        <v>43</v>
      </c>
      <c r="AB52" s="2" t="n">
        <f aca="false">MIN(AB51+1,AA52+1,AA51+IF($A52=AB$4,0,1))</f>
        <v>43</v>
      </c>
      <c r="AC52" s="2" t="n">
        <f aca="false">MIN(AC51+1,AB52+1,AB51+IF($A52=AC$4,0,1))</f>
        <v>43</v>
      </c>
      <c r="AD52" s="2" t="n">
        <f aca="false">MIN(AD51+1,AC52+1,AC51+IF($A52=AD$4,0,1))</f>
        <v>43</v>
      </c>
      <c r="AE52" s="2" t="n">
        <f aca="false">MIN(AE51+1,AD52+1,AD51+IF($A52=AE$4,0,1))</f>
        <v>43</v>
      </c>
      <c r="AF52" s="2" t="n">
        <f aca="false">MIN(AF51+1,AE52+1,AE51+IF($A52=AF$4,0,1))</f>
        <v>43</v>
      </c>
      <c r="AG52" s="2" t="n">
        <f aca="false">MIN(AG51+1,AF52+1,AF51+IF($A52=AG$4,0,1))</f>
        <v>43</v>
      </c>
      <c r="AH52" s="2" t="n">
        <f aca="false">MIN(AH51+1,AG52+1,AG51+IF($A52=AH$4,0,1))</f>
        <v>43</v>
      </c>
      <c r="AI52" s="2" t="n">
        <f aca="false">MIN(AI51+1,AH52+1,AH51+IF($A52=AI$4,0,1))</f>
        <v>43</v>
      </c>
      <c r="AJ52" s="2" t="n">
        <f aca="false">MIN(AJ51+1,AI52+1,AI51+IF($A52=AJ$4,0,1))</f>
        <v>43</v>
      </c>
      <c r="AK52" s="2" t="n">
        <f aca="false">MIN(AK51+1,AJ52+1,AJ51+IF($A52=AK$4,0,1))</f>
        <v>43</v>
      </c>
      <c r="AL52" s="2" t="n">
        <f aca="false">MIN(AL51+1,AK52+1,AK51+IF($A52=AL$4,0,1))</f>
        <v>43</v>
      </c>
      <c r="AM52" s="2" t="n">
        <f aca="false">MIN(AM51+1,AL52+1,AL51+IF($A52=AM$4,0,1))</f>
        <v>44</v>
      </c>
      <c r="AN52" s="2" t="n">
        <f aca="false">MIN(AN51+1,AM52+1,AM51+IF($A52=AN$4,0,1))</f>
        <v>44</v>
      </c>
      <c r="AO52" s="2" t="n">
        <f aca="false">MIN(AO51+1,AN52+1,AN51+IF($A52=AO$4,0,1))</f>
        <v>44</v>
      </c>
      <c r="AP52" s="2" t="n">
        <f aca="false">MIN(AP51+1,AO52+1,AO51+IF($A52=AP$4,0,1))</f>
        <v>44</v>
      </c>
      <c r="AQ52" s="2" t="n">
        <f aca="false">MIN(AQ51+1,AP52+1,AP51+IF($A52=AQ$4,0,1))</f>
        <v>44</v>
      </c>
      <c r="AR52" s="2" t="n">
        <f aca="false">MIN(AR51+1,AQ52+1,AQ51+IF($A52=AR$4,0,1))</f>
        <v>44</v>
      </c>
      <c r="AS52" s="2" t="n">
        <f aca="false">MIN(AS51+1,AR52+1,AR51+IF($A52=AS$4,0,1))</f>
        <v>44</v>
      </c>
      <c r="AT52" s="2" t="n">
        <f aca="false">MIN(AT51+1,AS52+1,AS51+IF($A52=AT$4,0,1))</f>
        <v>44</v>
      </c>
      <c r="AU52" s="2" t="n">
        <f aca="false">MIN(AU51+1,AT52+1,AT51+IF($A52=AU$4,0,1))</f>
        <v>44</v>
      </c>
      <c r="AV52" s="2" t="n">
        <f aca="false">MIN(AV51+1,AU52+1,AU51+IF($A52=AV$4,0,1))</f>
        <v>45</v>
      </c>
      <c r="AW52" s="2" t="n">
        <f aca="false">MIN(AW51+1,AV52+1,AV51+IF($A52=AW$4,0,1))</f>
        <v>45</v>
      </c>
      <c r="AX52" s="2" t="n">
        <f aca="false">MIN(AX51+1,AW52+1,AW51+IF($A52=AX$4,0,1))</f>
        <v>45</v>
      </c>
      <c r="AY52" s="2" t="n">
        <f aca="false">MIN(AY51+1,AX52+1,AX51+IF($A52=AY$4,0,1))</f>
        <v>45</v>
      </c>
      <c r="AZ52" s="2" t="n">
        <f aca="false">MIN(AZ51+1,AY52+1,AY51+IF($A52=AZ$4,0,1))</f>
        <v>46</v>
      </c>
      <c r="BA52" s="2" t="n">
        <f aca="false">MIN(BA51+1,AZ52+1,AZ51+IF($A52=BA$4,0,1))</f>
        <v>47</v>
      </c>
      <c r="BB52" s="2" t="n">
        <f aca="false">MIN(BB51+1,BA52+1,BA51+IF($A52=BB$4,0,1))</f>
        <v>48</v>
      </c>
      <c r="BC52" s="2" t="n">
        <f aca="false">MIN(BC51+1,BB52+1,BB51+IF($A52=BC$4,0,1))</f>
        <v>49</v>
      </c>
      <c r="BD52" s="2" t="n">
        <f aca="false">MIN(BD51+1,BC52+1,BC51+IF($A52=BD$4,0,1))</f>
        <v>50</v>
      </c>
      <c r="BE52" s="2" t="n">
        <f aca="false">MIN(BE51+1,BD52+1,BD51+IF($A52=BE$4,0,1))</f>
        <v>51</v>
      </c>
      <c r="BF52" s="2" t="n">
        <f aca="false">MIN(BF51+1,BE52+1,BE51+IF($A52=BF$4,0,1))</f>
        <v>52</v>
      </c>
      <c r="BG52" s="2" t="n">
        <f aca="false">MIN(BG51+1,BF52+1,BF51+IF($A52=BG$4,0,1))</f>
        <v>53</v>
      </c>
      <c r="BH52" s="2" t="n">
        <f aca="false">MIN(BH51+1,BG52+1,BG51+IF($A52=BH$4,0,1))</f>
        <v>54</v>
      </c>
      <c r="BI52" s="2" t="n">
        <f aca="false">MIN(BI51+1,BH52+1,BH51+IF($A52=BI$4,0,1))</f>
        <v>55</v>
      </c>
      <c r="BJ52" s="2" t="n">
        <f aca="false">MIN(BJ51+1,BI52+1,BI51+IF($A52=BJ$4,0,1))</f>
        <v>56</v>
      </c>
      <c r="BK52" s="2" t="n">
        <f aca="false">MIN(BK51+1,BJ52+1,BJ51+IF($A52=BK$4,0,1))</f>
        <v>57</v>
      </c>
      <c r="BL52" s="2" t="n">
        <f aca="false">MIN(BL51+1,BK52+1,BK51+IF($A52=BL$4,0,1))</f>
        <v>58</v>
      </c>
      <c r="BM52" s="2" t="n">
        <f aca="false">MIN(BM51+1,BL52+1,BL51+IF($A52=BM$4,0,1))</f>
        <v>59</v>
      </c>
      <c r="BN52" s="2" t="n">
        <f aca="false">MIN(BN51+1,BM52+1,BM51+IF($A52=BN$4,0,1))</f>
        <v>60</v>
      </c>
      <c r="BO52" s="2" t="n">
        <f aca="false">MIN(BO51+1,BN52+1,BN51+IF($A52=BO$4,0,1))</f>
        <v>60</v>
      </c>
      <c r="BP52" s="2" t="n">
        <f aca="false">MIN(BP51+1,BO52+1,BO51+IF($A52=BP$4,0,1))</f>
        <v>61</v>
      </c>
      <c r="BQ52" s="2" t="n">
        <f aca="false">MIN(BQ51+1,BP52+1,BP51+IF($A52=BQ$4,0,1))</f>
        <v>62</v>
      </c>
      <c r="BR52" s="2" t="n">
        <f aca="false">MIN(BR51+1,BQ52+1,BQ51+IF($A52=BR$4,0,1))</f>
        <v>63</v>
      </c>
      <c r="BS52" s="2" t="n">
        <f aca="false">MIN(BS51+1,BR52+1,BR51+IF($A52=BS$4,0,1))</f>
        <v>64</v>
      </c>
      <c r="BT52" s="2" t="n">
        <f aca="false">MIN(BT51+1,BS52+1,BS51+IF($A52=BT$4,0,1))</f>
        <v>65</v>
      </c>
      <c r="BU52" s="2" t="n">
        <f aca="false">MIN(BU51+1,BT52+1,BT51+IF($A52=BU$4,0,1))</f>
        <v>66</v>
      </c>
      <c r="BV52" s="2" t="n">
        <f aca="false">MIN(BV51+1,BU52+1,BU51+IF($A52=BV$4,0,1))</f>
        <v>67</v>
      </c>
      <c r="BW52" s="2" t="n">
        <f aca="false">MIN(BW51+1,BV52+1,BV51+IF($A52=BW$4,0,1))</f>
        <v>68</v>
      </c>
      <c r="BX52" s="2" t="n">
        <f aca="false">MIN(BX51+1,BW52+1,BW51+IF($A52=BX$4,0,1))</f>
        <v>69</v>
      </c>
      <c r="BY52" s="2" t="n">
        <f aca="false">MIN(BY51+1,BX52+1,BX51+IF($A52=BY$4,0,1))</f>
        <v>69</v>
      </c>
      <c r="BZ52" s="2" t="n">
        <f aca="false">MIN(BZ51+1,BY52+1,BY51+IF($A52=BZ$4,0,1))</f>
        <v>70</v>
      </c>
      <c r="CA52" s="2" t="n">
        <f aca="false">MIN(CA51+1,BZ52+1,BZ51+IF($A52=CA$4,0,1))</f>
        <v>71</v>
      </c>
      <c r="CB52" s="2" t="n">
        <f aca="false">MIN(CB51+1,CA52+1,CA51+IF($A52=CB$4,0,1))</f>
        <v>72</v>
      </c>
      <c r="CC52" s="2" t="n">
        <f aca="false">MIN(CC51+1,CB52+1,CB51+IF($A52=CC$4,0,1))</f>
        <v>73</v>
      </c>
      <c r="CD52" s="2" t="n">
        <f aca="false">MIN(CD51+1,CC52+1,CC51+IF($A52=CD$4,0,1))</f>
        <v>74</v>
      </c>
      <c r="CE52" s="2" t="n">
        <f aca="false">MIN(CE51+1,CD52+1,CD51+IF($A52=CE$4,0,1))</f>
        <v>75</v>
      </c>
      <c r="CF52" s="2" t="n">
        <f aca="false">MIN(CF51+1,CE52+1,CE51+IF($A52=CF$4,0,1))</f>
        <v>76</v>
      </c>
      <c r="CG52" s="2" t="n">
        <f aca="false">MIN(CG51+1,CF52+1,CF51+IF($A52=CG$4,0,1))</f>
        <v>77</v>
      </c>
      <c r="CH52" s="2" t="n">
        <f aca="false">MIN(CH51+1,CG52+1,CG51+IF($A52=CH$4,0,1))</f>
        <v>78</v>
      </c>
      <c r="CI52" s="2" t="n">
        <f aca="false">MIN(CI51+1,CH52+1,CH51+IF($A52=CI$4,0,1))</f>
        <v>79</v>
      </c>
      <c r="CJ52" s="2" t="n">
        <f aca="false">MIN(CJ51+1,CI52+1,CI51+IF($A52=CJ$4,0,1))</f>
        <v>80</v>
      </c>
      <c r="CK52" s="2" t="n">
        <f aca="false">MIN(CK51+1,CJ52+1,CJ51+IF($A52=CK$4,0,1))</f>
        <v>81</v>
      </c>
      <c r="CL52" s="2" t="n">
        <f aca="false">MIN(CL51+1,CK52+1,CK51+IF($A52=CL$4,0,1))</f>
        <v>82</v>
      </c>
      <c r="CM52" s="2" t="n">
        <f aca="false">MIN(CM51+1,CL52+1,CL51+IF($A52=CM$4,0,1))</f>
        <v>83</v>
      </c>
      <c r="CN52" s="2" t="n">
        <f aca="false">MIN(CN51+1,CM52+1,CM51+IF($A52=CN$4,0,1))</f>
        <v>84</v>
      </c>
      <c r="CO52" s="2" t="n">
        <f aca="false">MIN(CO51+1,CN52+1,CN51+IF($A52=CO$4,0,1))</f>
        <v>85</v>
      </c>
      <c r="CP52" s="2" t="n">
        <f aca="false">MIN(CP51+1,CO52+1,CO51+IF($A52=CP$4,0,1))</f>
        <v>86</v>
      </c>
      <c r="CQ52" s="2" t="n">
        <f aca="false">MIN(CQ51+1,CP52+1,CP51+IF($A52=CQ$4,0,1))</f>
        <v>87</v>
      </c>
    </row>
    <row r="53" customFormat="false" ht="15" hidden="false" customHeight="false" outlineLevel="0" collapsed="false">
      <c r="A53" s="4" t="s">
        <v>175</v>
      </c>
      <c r="B53" s="12" t="n">
        <v>48</v>
      </c>
      <c r="C53" s="2" t="n">
        <f aca="false">MIN(C52+1,B53+1,B52+IF($A53=C$4,0,1))</f>
        <v>48</v>
      </c>
      <c r="D53" s="2" t="n">
        <f aca="false">MIN(D52+1,C53+1,C52+IF($A53=D$4,0,1))</f>
        <v>47</v>
      </c>
      <c r="E53" s="2" t="n">
        <f aca="false">MIN(E52+1,D53+1,D52+IF($A53=E$4,0,1))</f>
        <v>46</v>
      </c>
      <c r="F53" s="2" t="n">
        <f aca="false">MIN(F52+1,E53+1,E52+IF($A53=F$4,0,1))</f>
        <v>45</v>
      </c>
      <c r="G53" s="2" t="n">
        <f aca="false">MIN(G52+1,F53+1,F52+IF($A53=G$4,0,1))</f>
        <v>45</v>
      </c>
      <c r="H53" s="2" t="n">
        <f aca="false">MIN(H52+1,G53+1,G52+IF($A53=H$4,0,1))</f>
        <v>45</v>
      </c>
      <c r="I53" s="2" t="n">
        <f aca="false">MIN(I52+1,H53+1,H52+IF($A53=I$4,0,1))</f>
        <v>45</v>
      </c>
      <c r="J53" s="2" t="n">
        <f aca="false">MIN(J52+1,I53+1,I52+IF($A53=J$4,0,1))</f>
        <v>45</v>
      </c>
      <c r="K53" s="2" t="n">
        <f aca="false">MIN(K52+1,J53+1,J52+IF($A53=K$4,0,1))</f>
        <v>45</v>
      </c>
      <c r="L53" s="2" t="n">
        <f aca="false">MIN(L52+1,K53+1,K52+IF($A53=L$4,0,1))</f>
        <v>45</v>
      </c>
      <c r="M53" s="2" t="n">
        <f aca="false">MIN(M52+1,L53+1,L52+IF($A53=M$4,0,1))</f>
        <v>45</v>
      </c>
      <c r="N53" s="2" t="n">
        <f aca="false">MIN(N52+1,M53+1,M52+IF($A53=N$4,0,1))</f>
        <v>44</v>
      </c>
      <c r="O53" s="2" t="n">
        <f aca="false">MIN(O52+1,N53+1,N52+IF($A53=O$4,0,1))</f>
        <v>44</v>
      </c>
      <c r="P53" s="2" t="n">
        <f aca="false">MIN(P52+1,O53+1,O52+IF($A53=P$4,0,1))</f>
        <v>44</v>
      </c>
      <c r="Q53" s="2" t="n">
        <f aca="false">MIN(Q52+1,P53+1,P52+IF($A53=Q$4,0,1))</f>
        <v>44</v>
      </c>
      <c r="R53" s="2" t="n">
        <f aca="false">MIN(R52+1,Q53+1,Q52+IF($A53=R$4,0,1))</f>
        <v>44</v>
      </c>
      <c r="S53" s="2" t="n">
        <f aca="false">MIN(S52+1,R53+1,R52+IF($A53=S$4,0,1))</f>
        <v>44</v>
      </c>
      <c r="T53" s="2" t="n">
        <f aca="false">MIN(T52+1,S53+1,S52+IF($A53=T$4,0,1))</f>
        <v>44</v>
      </c>
      <c r="U53" s="2" t="n">
        <f aca="false">MIN(U52+1,T53+1,T52+IF($A53=U$4,0,1))</f>
        <v>44</v>
      </c>
      <c r="V53" s="2" t="n">
        <f aca="false">MIN(V52+1,U53+1,U52+IF($A53=V$4,0,1))</f>
        <v>44</v>
      </c>
      <c r="W53" s="2" t="n">
        <f aca="false">MIN(W52+1,V53+1,V52+IF($A53=W$4,0,1))</f>
        <v>44</v>
      </c>
      <c r="X53" s="2" t="n">
        <f aca="false">MIN(X52+1,W53+1,W52+IF($A53=X$4,0,1))</f>
        <v>44</v>
      </c>
      <c r="Y53" s="2" t="n">
        <f aca="false">MIN(Y52+1,X53+1,X52+IF($A53=Y$4,0,1))</f>
        <v>44</v>
      </c>
      <c r="Z53" s="2" t="n">
        <f aca="false">MIN(Z52+1,Y53+1,Y52+IF($A53=Z$4,0,1))</f>
        <v>44</v>
      </c>
      <c r="AA53" s="2" t="n">
        <f aca="false">MIN(AA52+1,Z53+1,Z52+IF($A53=AA$4,0,1))</f>
        <v>44</v>
      </c>
      <c r="AB53" s="2" t="n">
        <f aca="false">MIN(AB52+1,AA53+1,AA52+IF($A53=AB$4,0,1))</f>
        <v>44</v>
      </c>
      <c r="AC53" s="2" t="n">
        <f aca="false">MIN(AC52+1,AB53+1,AB52+IF($A53=AC$4,0,1))</f>
        <v>44</v>
      </c>
      <c r="AD53" s="2" t="n">
        <f aca="false">MIN(AD52+1,AC53+1,AC52+IF($A53=AD$4,0,1))</f>
        <v>44</v>
      </c>
      <c r="AE53" s="2" t="n">
        <f aca="false">MIN(AE52+1,AD53+1,AD52+IF($A53=AE$4,0,1))</f>
        <v>44</v>
      </c>
      <c r="AF53" s="2" t="n">
        <f aca="false">MIN(AF52+1,AE53+1,AE52+IF($A53=AF$4,0,1))</f>
        <v>44</v>
      </c>
      <c r="AG53" s="2" t="n">
        <f aca="false">MIN(AG52+1,AF53+1,AF52+IF($A53=AG$4,0,1))</f>
        <v>44</v>
      </c>
      <c r="AH53" s="2" t="n">
        <f aca="false">MIN(AH52+1,AG53+1,AG52+IF($A53=AH$4,0,1))</f>
        <v>44</v>
      </c>
      <c r="AI53" s="2" t="n">
        <f aca="false">MIN(AI52+1,AH53+1,AH52+IF($A53=AI$4,0,1))</f>
        <v>44</v>
      </c>
      <c r="AJ53" s="2" t="n">
        <f aca="false">MIN(AJ52+1,AI53+1,AI52+IF($A53=AJ$4,0,1))</f>
        <v>44</v>
      </c>
      <c r="AK53" s="2" t="n">
        <f aca="false">MIN(AK52+1,AJ53+1,AJ52+IF($A53=AK$4,0,1))</f>
        <v>44</v>
      </c>
      <c r="AL53" s="2" t="n">
        <f aca="false">MIN(AL52+1,AK53+1,AK52+IF($A53=AL$4,0,1))</f>
        <v>44</v>
      </c>
      <c r="AM53" s="2" t="n">
        <f aca="false">MIN(AM52+1,AL53+1,AL52+IF($A53=AM$4,0,1))</f>
        <v>44</v>
      </c>
      <c r="AN53" s="2" t="n">
        <f aca="false">MIN(AN52+1,AM53+1,AM52+IF($A53=AN$4,0,1))</f>
        <v>45</v>
      </c>
      <c r="AO53" s="2" t="n">
        <f aca="false">MIN(AO52+1,AN53+1,AN52+IF($A53=AO$4,0,1))</f>
        <v>45</v>
      </c>
      <c r="AP53" s="2" t="n">
        <f aca="false">MIN(AP52+1,AO53+1,AO52+IF($A53=AP$4,0,1))</f>
        <v>45</v>
      </c>
      <c r="AQ53" s="2" t="n">
        <f aca="false">MIN(AQ52+1,AP53+1,AP52+IF($A53=AQ$4,0,1))</f>
        <v>45</v>
      </c>
      <c r="AR53" s="2" t="n">
        <f aca="false">MIN(AR52+1,AQ53+1,AQ52+IF($A53=AR$4,0,1))</f>
        <v>45</v>
      </c>
      <c r="AS53" s="2" t="n">
        <f aca="false">MIN(AS52+1,AR53+1,AR52+IF($A53=AS$4,0,1))</f>
        <v>45</v>
      </c>
      <c r="AT53" s="2" t="n">
        <f aca="false">MIN(AT52+1,AS53+1,AS52+IF($A53=AT$4,0,1))</f>
        <v>45</v>
      </c>
      <c r="AU53" s="2" t="n">
        <f aca="false">MIN(AU52+1,AT53+1,AT52+IF($A53=AU$4,0,1))</f>
        <v>45</v>
      </c>
      <c r="AV53" s="2" t="n">
        <f aca="false">MIN(AV52+1,AU53+1,AU52+IF($A53=AV$4,0,1))</f>
        <v>45</v>
      </c>
      <c r="AW53" s="2" t="n">
        <f aca="false">MIN(AW52+1,AV53+1,AV52+IF($A53=AW$4,0,1))</f>
        <v>46</v>
      </c>
      <c r="AX53" s="2" t="n">
        <f aca="false">MIN(AX52+1,AW53+1,AW52+IF($A53=AX$4,0,1))</f>
        <v>46</v>
      </c>
      <c r="AY53" s="2" t="n">
        <f aca="false">MIN(AY52+1,AX53+1,AX52+IF($A53=AY$4,0,1))</f>
        <v>46</v>
      </c>
      <c r="AZ53" s="2" t="n">
        <f aca="false">MIN(AZ52+1,AY53+1,AY52+IF($A53=AZ$4,0,1))</f>
        <v>46</v>
      </c>
      <c r="BA53" s="2" t="n">
        <f aca="false">MIN(BA52+1,AZ53+1,AZ52+IF($A53=BA$4,0,1))</f>
        <v>47</v>
      </c>
      <c r="BB53" s="2" t="n">
        <f aca="false">MIN(BB52+1,BA53+1,BA52+IF($A53=BB$4,0,1))</f>
        <v>48</v>
      </c>
      <c r="BC53" s="2" t="n">
        <f aca="false">MIN(BC52+1,BB53+1,BB52+IF($A53=BC$4,0,1))</f>
        <v>49</v>
      </c>
      <c r="BD53" s="2" t="n">
        <f aca="false">MIN(BD52+1,BC53+1,BC52+IF($A53=BD$4,0,1))</f>
        <v>50</v>
      </c>
      <c r="BE53" s="2" t="n">
        <f aca="false">MIN(BE52+1,BD53+1,BD52+IF($A53=BE$4,0,1))</f>
        <v>51</v>
      </c>
      <c r="BF53" s="2" t="n">
        <f aca="false">MIN(BF52+1,BE53+1,BE52+IF($A53=BF$4,0,1))</f>
        <v>52</v>
      </c>
      <c r="BG53" s="2" t="n">
        <f aca="false">MIN(BG52+1,BF53+1,BF52+IF($A53=BG$4,0,1))</f>
        <v>53</v>
      </c>
      <c r="BH53" s="2" t="n">
        <f aca="false">MIN(BH52+1,BG53+1,BG52+IF($A53=BH$4,0,1))</f>
        <v>54</v>
      </c>
      <c r="BI53" s="2" t="n">
        <f aca="false">MIN(BI52+1,BH53+1,BH52+IF($A53=BI$4,0,1))</f>
        <v>55</v>
      </c>
      <c r="BJ53" s="2" t="n">
        <f aca="false">MIN(BJ52+1,BI53+1,BI52+IF($A53=BJ$4,0,1))</f>
        <v>56</v>
      </c>
      <c r="BK53" s="2" t="n">
        <f aca="false">MIN(BK52+1,BJ53+1,BJ52+IF($A53=BK$4,0,1))</f>
        <v>57</v>
      </c>
      <c r="BL53" s="2" t="n">
        <f aca="false">MIN(BL52+1,BK53+1,BK52+IF($A53=BL$4,0,1))</f>
        <v>58</v>
      </c>
      <c r="BM53" s="2" t="n">
        <f aca="false">MIN(BM52+1,BL53+1,BL52+IF($A53=BM$4,0,1))</f>
        <v>59</v>
      </c>
      <c r="BN53" s="2" t="n">
        <f aca="false">MIN(BN52+1,BM53+1,BM52+IF($A53=BN$4,0,1))</f>
        <v>60</v>
      </c>
      <c r="BO53" s="2" t="n">
        <f aca="false">MIN(BO52+1,BN53+1,BN52+IF($A53=BO$4,0,1))</f>
        <v>61</v>
      </c>
      <c r="BP53" s="2" t="n">
        <f aca="false">MIN(BP52+1,BO53+1,BO52+IF($A53=BP$4,0,1))</f>
        <v>61</v>
      </c>
      <c r="BQ53" s="2" t="n">
        <f aca="false">MIN(BQ52+1,BP53+1,BP52+IF($A53=BQ$4,0,1))</f>
        <v>62</v>
      </c>
      <c r="BR53" s="2" t="n">
        <f aca="false">MIN(BR52+1,BQ53+1,BQ52+IF($A53=BR$4,0,1))</f>
        <v>63</v>
      </c>
      <c r="BS53" s="2" t="n">
        <f aca="false">MIN(BS52+1,BR53+1,BR52+IF($A53=BS$4,0,1))</f>
        <v>64</v>
      </c>
      <c r="BT53" s="2" t="n">
        <f aca="false">MIN(BT52+1,BS53+1,BS52+IF($A53=BT$4,0,1))</f>
        <v>65</v>
      </c>
      <c r="BU53" s="2" t="n">
        <f aca="false">MIN(BU52+1,BT53+1,BT52+IF($A53=BU$4,0,1))</f>
        <v>66</v>
      </c>
      <c r="BV53" s="2" t="n">
        <f aca="false">MIN(BV52+1,BU53+1,BU52+IF($A53=BV$4,0,1))</f>
        <v>67</v>
      </c>
      <c r="BW53" s="2" t="n">
        <f aca="false">MIN(BW52+1,BV53+1,BV52+IF($A53=BW$4,0,1))</f>
        <v>68</v>
      </c>
      <c r="BX53" s="2" t="n">
        <f aca="false">MIN(BX52+1,BW53+1,BW52+IF($A53=BX$4,0,1))</f>
        <v>69</v>
      </c>
      <c r="BY53" s="2" t="n">
        <f aca="false">MIN(BY52+1,BX53+1,BX52+IF($A53=BY$4,0,1))</f>
        <v>70</v>
      </c>
      <c r="BZ53" s="2" t="n">
        <f aca="false">MIN(BZ52+1,BY53+1,BY52+IF($A53=BZ$4,0,1))</f>
        <v>70</v>
      </c>
      <c r="CA53" s="2" t="n">
        <f aca="false">MIN(CA52+1,BZ53+1,BZ52+IF($A53=CA$4,0,1))</f>
        <v>71</v>
      </c>
      <c r="CB53" s="2" t="n">
        <f aca="false">MIN(CB52+1,CA53+1,CA52+IF($A53=CB$4,0,1))</f>
        <v>72</v>
      </c>
      <c r="CC53" s="2" t="n">
        <f aca="false">MIN(CC52+1,CB53+1,CB52+IF($A53=CC$4,0,1))</f>
        <v>73</v>
      </c>
      <c r="CD53" s="2" t="n">
        <f aca="false">MIN(CD52+1,CC53+1,CC52+IF($A53=CD$4,0,1))</f>
        <v>74</v>
      </c>
      <c r="CE53" s="2" t="n">
        <f aca="false">MIN(CE52+1,CD53+1,CD52+IF($A53=CE$4,0,1))</f>
        <v>75</v>
      </c>
      <c r="CF53" s="2" t="n">
        <f aca="false">MIN(CF52+1,CE53+1,CE52+IF($A53=CF$4,0,1))</f>
        <v>76</v>
      </c>
      <c r="CG53" s="2" t="n">
        <f aca="false">MIN(CG52+1,CF53+1,CF52+IF($A53=CG$4,0,1))</f>
        <v>77</v>
      </c>
      <c r="CH53" s="2" t="n">
        <f aca="false">MIN(CH52+1,CG53+1,CG52+IF($A53=CH$4,0,1))</f>
        <v>78</v>
      </c>
      <c r="CI53" s="2" t="n">
        <f aca="false">MIN(CI52+1,CH53+1,CH52+IF($A53=CI$4,0,1))</f>
        <v>79</v>
      </c>
      <c r="CJ53" s="2" t="n">
        <f aca="false">MIN(CJ52+1,CI53+1,CI52+IF($A53=CJ$4,0,1))</f>
        <v>80</v>
      </c>
      <c r="CK53" s="2" t="n">
        <f aca="false">MIN(CK52+1,CJ53+1,CJ52+IF($A53=CK$4,0,1))</f>
        <v>81</v>
      </c>
      <c r="CL53" s="2" t="n">
        <f aca="false">MIN(CL52+1,CK53+1,CK52+IF($A53=CL$4,0,1))</f>
        <v>82</v>
      </c>
      <c r="CM53" s="2" t="n">
        <f aca="false">MIN(CM52+1,CL53+1,CL52+IF($A53=CM$4,0,1))</f>
        <v>83</v>
      </c>
      <c r="CN53" s="2" t="n">
        <f aca="false">MIN(CN52+1,CM53+1,CM52+IF($A53=CN$4,0,1))</f>
        <v>84</v>
      </c>
      <c r="CO53" s="2" t="n">
        <f aca="false">MIN(CO52+1,CN53+1,CN52+IF($A53=CO$4,0,1))</f>
        <v>85</v>
      </c>
      <c r="CP53" s="2" t="n">
        <f aca="false">MIN(CP52+1,CO53+1,CO52+IF($A53=CP$4,0,1))</f>
        <v>86</v>
      </c>
      <c r="CQ53" s="2" t="n">
        <f aca="false">MIN(CQ52+1,CP53+1,CP52+IF($A53=CQ$4,0,1))</f>
        <v>87</v>
      </c>
    </row>
    <row r="54" customFormat="false" ht="15" hidden="false" customHeight="false" outlineLevel="0" collapsed="false">
      <c r="A54" s="4" t="s">
        <v>168</v>
      </c>
      <c r="B54" s="12" t="n">
        <v>49</v>
      </c>
      <c r="C54" s="2" t="n">
        <f aca="false">MIN(C53+1,B54+1,B53+IF($A54=C$4,0,1))</f>
        <v>49</v>
      </c>
      <c r="D54" s="2" t="n">
        <f aca="false">MIN(D53+1,C54+1,C53+IF($A54=D$4,0,1))</f>
        <v>48</v>
      </c>
      <c r="E54" s="2" t="n">
        <f aca="false">MIN(E53+1,D54+1,D53+IF($A54=E$4,0,1))</f>
        <v>47</v>
      </c>
      <c r="F54" s="2" t="n">
        <f aca="false">MIN(F53+1,E54+1,E53+IF($A54=F$4,0,1))</f>
        <v>46</v>
      </c>
      <c r="G54" s="2" t="n">
        <f aca="false">MIN(G53+1,F54+1,F53+IF($A54=G$4,0,1))</f>
        <v>46</v>
      </c>
      <c r="H54" s="2" t="n">
        <f aca="false">MIN(H53+1,G54+1,G53+IF($A54=H$4,0,1))</f>
        <v>46</v>
      </c>
      <c r="I54" s="2" t="n">
        <f aca="false">MIN(I53+1,H54+1,H53+IF($A54=I$4,0,1))</f>
        <v>46</v>
      </c>
      <c r="J54" s="2" t="n">
        <f aca="false">MIN(J53+1,I54+1,I53+IF($A54=J$4,0,1))</f>
        <v>46</v>
      </c>
      <c r="K54" s="2" t="n">
        <f aca="false">MIN(K53+1,J54+1,J53+IF($A54=K$4,0,1))</f>
        <v>46</v>
      </c>
      <c r="L54" s="2" t="n">
        <f aca="false">MIN(L53+1,K54+1,K53+IF($A54=L$4,0,1))</f>
        <v>46</v>
      </c>
      <c r="M54" s="2" t="n">
        <f aca="false">MIN(M53+1,L54+1,L53+IF($A54=M$4,0,1))</f>
        <v>46</v>
      </c>
      <c r="N54" s="2" t="n">
        <f aca="false">MIN(N53+1,M54+1,M53+IF($A54=N$4,0,1))</f>
        <v>45</v>
      </c>
      <c r="O54" s="2" t="n">
        <f aca="false">MIN(O53+1,N54+1,N53+IF($A54=O$4,0,1))</f>
        <v>45</v>
      </c>
      <c r="P54" s="2" t="n">
        <f aca="false">MIN(P53+1,O54+1,O53+IF($A54=P$4,0,1))</f>
        <v>45</v>
      </c>
      <c r="Q54" s="2" t="n">
        <f aca="false">MIN(Q53+1,P54+1,P53+IF($A54=Q$4,0,1))</f>
        <v>45</v>
      </c>
      <c r="R54" s="2" t="n">
        <f aca="false">MIN(R53+1,Q54+1,Q53+IF($A54=R$4,0,1))</f>
        <v>45</v>
      </c>
      <c r="S54" s="2" t="n">
        <f aca="false">MIN(S53+1,R54+1,R53+IF($A54=S$4,0,1))</f>
        <v>45</v>
      </c>
      <c r="T54" s="2" t="n">
        <f aca="false">MIN(T53+1,S54+1,S53+IF($A54=T$4,0,1))</f>
        <v>45</v>
      </c>
      <c r="U54" s="2" t="n">
        <f aca="false">MIN(U53+1,T54+1,T53+IF($A54=U$4,0,1))</f>
        <v>45</v>
      </c>
      <c r="V54" s="2" t="n">
        <f aca="false">MIN(V53+1,U54+1,U53+IF($A54=V$4,0,1))</f>
        <v>45</v>
      </c>
      <c r="W54" s="2" t="n">
        <f aca="false">MIN(W53+1,V54+1,V53+IF($A54=W$4,0,1))</f>
        <v>45</v>
      </c>
      <c r="X54" s="2" t="n">
        <f aca="false">MIN(X53+1,W54+1,W53+IF($A54=X$4,0,1))</f>
        <v>45</v>
      </c>
      <c r="Y54" s="2" t="n">
        <f aca="false">MIN(Y53+1,X54+1,X53+IF($A54=Y$4,0,1))</f>
        <v>45</v>
      </c>
      <c r="Z54" s="2" t="n">
        <f aca="false">MIN(Z53+1,Y54+1,Y53+IF($A54=Z$4,0,1))</f>
        <v>45</v>
      </c>
      <c r="AA54" s="2" t="n">
        <f aca="false">MIN(AA53+1,Z54+1,Z53+IF($A54=AA$4,0,1))</f>
        <v>45</v>
      </c>
      <c r="AB54" s="2" t="n">
        <f aca="false">MIN(AB53+1,AA54+1,AA53+IF($A54=AB$4,0,1))</f>
        <v>45</v>
      </c>
      <c r="AC54" s="2" t="n">
        <f aca="false">MIN(AC53+1,AB54+1,AB53+IF($A54=AC$4,0,1))</f>
        <v>45</v>
      </c>
      <c r="AD54" s="2" t="n">
        <f aca="false">MIN(AD53+1,AC54+1,AC53+IF($A54=AD$4,0,1))</f>
        <v>45</v>
      </c>
      <c r="AE54" s="2" t="n">
        <f aca="false">MIN(AE53+1,AD54+1,AD53+IF($A54=AE$4,0,1))</f>
        <v>45</v>
      </c>
      <c r="AF54" s="2" t="n">
        <f aca="false">MIN(AF53+1,AE54+1,AE53+IF($A54=AF$4,0,1))</f>
        <v>45</v>
      </c>
      <c r="AG54" s="2" t="n">
        <f aca="false">MIN(AG53+1,AF54+1,AF53+IF($A54=AG$4,0,1))</f>
        <v>45</v>
      </c>
      <c r="AH54" s="2" t="n">
        <f aca="false">MIN(AH53+1,AG54+1,AG53+IF($A54=AH$4,0,1))</f>
        <v>45</v>
      </c>
      <c r="AI54" s="2" t="n">
        <f aca="false">MIN(AI53+1,AH54+1,AH53+IF($A54=AI$4,0,1))</f>
        <v>45</v>
      </c>
      <c r="AJ54" s="2" t="n">
        <f aca="false">MIN(AJ53+1,AI54+1,AI53+IF($A54=AJ$4,0,1))</f>
        <v>45</v>
      </c>
      <c r="AK54" s="2" t="n">
        <f aca="false">MIN(AK53+1,AJ54+1,AJ53+IF($A54=AK$4,0,1))</f>
        <v>45</v>
      </c>
      <c r="AL54" s="2" t="n">
        <f aca="false">MIN(AL53+1,AK54+1,AK53+IF($A54=AL$4,0,1))</f>
        <v>45</v>
      </c>
      <c r="AM54" s="2" t="n">
        <f aca="false">MIN(AM53+1,AL54+1,AL53+IF($A54=AM$4,0,1))</f>
        <v>45</v>
      </c>
      <c r="AN54" s="2" t="n">
        <f aca="false">MIN(AN53+1,AM54+1,AM53+IF($A54=AN$4,0,1))</f>
        <v>45</v>
      </c>
      <c r="AO54" s="2" t="n">
        <f aca="false">MIN(AO53+1,AN54+1,AN53+IF($A54=AO$4,0,1))</f>
        <v>46</v>
      </c>
      <c r="AP54" s="2" t="n">
        <f aca="false">MIN(AP53+1,AO54+1,AO53+IF($A54=AP$4,0,1))</f>
        <v>46</v>
      </c>
      <c r="AQ54" s="2" t="n">
        <f aca="false">MIN(AQ53+1,AP54+1,AP53+IF($A54=AQ$4,0,1))</f>
        <v>46</v>
      </c>
      <c r="AR54" s="2" t="n">
        <f aca="false">MIN(AR53+1,AQ54+1,AQ53+IF($A54=AR$4,0,1))</f>
        <v>46</v>
      </c>
      <c r="AS54" s="2" t="n">
        <f aca="false">MIN(AS53+1,AR54+1,AR53+IF($A54=AS$4,0,1))</f>
        <v>46</v>
      </c>
      <c r="AT54" s="2" t="n">
        <f aca="false">MIN(AT53+1,AS54+1,AS53+IF($A54=AT$4,0,1))</f>
        <v>46</v>
      </c>
      <c r="AU54" s="2" t="n">
        <f aca="false">MIN(AU53+1,AT54+1,AT53+IF($A54=AU$4,0,1))</f>
        <v>46</v>
      </c>
      <c r="AV54" s="2" t="n">
        <f aca="false">MIN(AV53+1,AU54+1,AU53+IF($A54=AV$4,0,1))</f>
        <v>46</v>
      </c>
      <c r="AW54" s="2" t="n">
        <f aca="false">MIN(AW53+1,AV54+1,AV53+IF($A54=AW$4,0,1))</f>
        <v>46</v>
      </c>
      <c r="AX54" s="2" t="n">
        <f aca="false">MIN(AX53+1,AW54+1,AW53+IF($A54=AX$4,0,1))</f>
        <v>47</v>
      </c>
      <c r="AY54" s="2" t="n">
        <f aca="false">MIN(AY53+1,AX54+1,AX53+IF($A54=AY$4,0,1))</f>
        <v>47</v>
      </c>
      <c r="AZ54" s="2" t="n">
        <f aca="false">MIN(AZ53+1,AY54+1,AY53+IF($A54=AZ$4,0,1))</f>
        <v>47</v>
      </c>
      <c r="BA54" s="2" t="n">
        <f aca="false">MIN(BA53+1,AZ54+1,AZ53+IF($A54=BA$4,0,1))</f>
        <v>47</v>
      </c>
      <c r="BB54" s="2" t="n">
        <f aca="false">MIN(BB53+1,BA54+1,BA53+IF($A54=BB$4,0,1))</f>
        <v>48</v>
      </c>
      <c r="BC54" s="2" t="n">
        <f aca="false">MIN(BC53+1,BB54+1,BB53+IF($A54=BC$4,0,1))</f>
        <v>49</v>
      </c>
      <c r="BD54" s="2" t="n">
        <f aca="false">MIN(BD53+1,BC54+1,BC53+IF($A54=BD$4,0,1))</f>
        <v>50</v>
      </c>
      <c r="BE54" s="2" t="n">
        <f aca="false">MIN(BE53+1,BD54+1,BD53+IF($A54=BE$4,0,1))</f>
        <v>51</v>
      </c>
      <c r="BF54" s="2" t="n">
        <f aca="false">MIN(BF53+1,BE54+1,BE53+IF($A54=BF$4,0,1))</f>
        <v>52</v>
      </c>
      <c r="BG54" s="2" t="n">
        <f aca="false">MIN(BG53+1,BF54+1,BF53+IF($A54=BG$4,0,1))</f>
        <v>53</v>
      </c>
      <c r="BH54" s="2" t="n">
        <f aca="false">MIN(BH53+1,BG54+1,BG53+IF($A54=BH$4,0,1))</f>
        <v>54</v>
      </c>
      <c r="BI54" s="2" t="n">
        <f aca="false">MIN(BI53+1,BH54+1,BH53+IF($A54=BI$4,0,1))</f>
        <v>55</v>
      </c>
      <c r="BJ54" s="2" t="n">
        <f aca="false">MIN(BJ53+1,BI54+1,BI53+IF($A54=BJ$4,0,1))</f>
        <v>56</v>
      </c>
      <c r="BK54" s="2" t="n">
        <f aca="false">MIN(BK53+1,BJ54+1,BJ53+IF($A54=BK$4,0,1))</f>
        <v>57</v>
      </c>
      <c r="BL54" s="2" t="n">
        <f aca="false">MIN(BL53+1,BK54+1,BK53+IF($A54=BL$4,0,1))</f>
        <v>58</v>
      </c>
      <c r="BM54" s="2" t="n">
        <f aca="false">MIN(BM53+1,BL54+1,BL53+IF($A54=BM$4,0,1))</f>
        <v>59</v>
      </c>
      <c r="BN54" s="2" t="n">
        <f aca="false">MIN(BN53+1,BM54+1,BM53+IF($A54=BN$4,0,1))</f>
        <v>60</v>
      </c>
      <c r="BO54" s="2" t="n">
        <f aca="false">MIN(BO53+1,BN54+1,BN53+IF($A54=BO$4,0,1))</f>
        <v>61</v>
      </c>
      <c r="BP54" s="2" t="n">
        <f aca="false">MIN(BP53+1,BO54+1,BO53+IF($A54=BP$4,0,1))</f>
        <v>62</v>
      </c>
      <c r="BQ54" s="2" t="n">
        <f aca="false">MIN(BQ53+1,BP54+1,BP53+IF($A54=BQ$4,0,1))</f>
        <v>62</v>
      </c>
      <c r="BR54" s="2" t="n">
        <f aca="false">MIN(BR53+1,BQ54+1,BQ53+IF($A54=BR$4,0,1))</f>
        <v>63</v>
      </c>
      <c r="BS54" s="2" t="n">
        <f aca="false">MIN(BS53+1,BR54+1,BR53+IF($A54=BS$4,0,1))</f>
        <v>64</v>
      </c>
      <c r="BT54" s="2" t="n">
        <f aca="false">MIN(BT53+1,BS54+1,BS53+IF($A54=BT$4,0,1))</f>
        <v>65</v>
      </c>
      <c r="BU54" s="2" t="n">
        <f aca="false">MIN(BU53+1,BT54+1,BT53+IF($A54=BU$4,0,1))</f>
        <v>66</v>
      </c>
      <c r="BV54" s="2" t="n">
        <f aca="false">MIN(BV53+1,BU54+1,BU53+IF($A54=BV$4,0,1))</f>
        <v>67</v>
      </c>
      <c r="BW54" s="2" t="n">
        <f aca="false">MIN(BW53+1,BV54+1,BV53+IF($A54=BW$4,0,1))</f>
        <v>68</v>
      </c>
      <c r="BX54" s="2" t="n">
        <f aca="false">MIN(BX53+1,BW54+1,BW53+IF($A54=BX$4,0,1))</f>
        <v>69</v>
      </c>
      <c r="BY54" s="2" t="n">
        <f aca="false">MIN(BY53+1,BX54+1,BX53+IF($A54=BY$4,0,1))</f>
        <v>70</v>
      </c>
      <c r="BZ54" s="2" t="n">
        <f aca="false">MIN(BZ53+1,BY54+1,BY53+IF($A54=BZ$4,0,1))</f>
        <v>71</v>
      </c>
      <c r="CA54" s="2" t="n">
        <f aca="false">MIN(CA53+1,BZ54+1,BZ53+IF($A54=CA$4,0,1))</f>
        <v>71</v>
      </c>
      <c r="CB54" s="2" t="n">
        <f aca="false">MIN(CB53+1,CA54+1,CA53+IF($A54=CB$4,0,1))</f>
        <v>72</v>
      </c>
      <c r="CC54" s="2" t="n">
        <f aca="false">MIN(CC53+1,CB54+1,CB53+IF($A54=CC$4,0,1))</f>
        <v>73</v>
      </c>
      <c r="CD54" s="2" t="n">
        <f aca="false">MIN(CD53+1,CC54+1,CC53+IF($A54=CD$4,0,1))</f>
        <v>74</v>
      </c>
      <c r="CE54" s="2" t="n">
        <f aca="false">MIN(CE53+1,CD54+1,CD53+IF($A54=CE$4,0,1))</f>
        <v>75</v>
      </c>
      <c r="CF54" s="2" t="n">
        <f aca="false">MIN(CF53+1,CE54+1,CE53+IF($A54=CF$4,0,1))</f>
        <v>76</v>
      </c>
      <c r="CG54" s="2" t="n">
        <f aca="false">MIN(CG53+1,CF54+1,CF53+IF($A54=CG$4,0,1))</f>
        <v>77</v>
      </c>
      <c r="CH54" s="2" t="n">
        <f aca="false">MIN(CH53+1,CG54+1,CG53+IF($A54=CH$4,0,1))</f>
        <v>78</v>
      </c>
      <c r="CI54" s="2" t="n">
        <f aca="false">MIN(CI53+1,CH54+1,CH53+IF($A54=CI$4,0,1))</f>
        <v>79</v>
      </c>
      <c r="CJ54" s="2" t="n">
        <f aca="false">MIN(CJ53+1,CI54+1,CI53+IF($A54=CJ$4,0,1))</f>
        <v>80</v>
      </c>
      <c r="CK54" s="2" t="n">
        <f aca="false">MIN(CK53+1,CJ54+1,CJ53+IF($A54=CK$4,0,1))</f>
        <v>81</v>
      </c>
      <c r="CL54" s="2" t="n">
        <f aca="false">MIN(CL53+1,CK54+1,CK53+IF($A54=CL$4,0,1))</f>
        <v>82</v>
      </c>
      <c r="CM54" s="2" t="n">
        <f aca="false">MIN(CM53+1,CL54+1,CL53+IF($A54=CM$4,0,1))</f>
        <v>83</v>
      </c>
      <c r="CN54" s="2" t="n">
        <f aca="false">MIN(CN53+1,CM54+1,CM53+IF($A54=CN$4,0,1))</f>
        <v>84</v>
      </c>
      <c r="CO54" s="2" t="n">
        <f aca="false">MIN(CO53+1,CN54+1,CN53+IF($A54=CO$4,0,1))</f>
        <v>85</v>
      </c>
      <c r="CP54" s="2" t="n">
        <f aca="false">MIN(CP53+1,CO54+1,CO53+IF($A54=CP$4,0,1))</f>
        <v>86</v>
      </c>
      <c r="CQ54" s="2" t="n">
        <f aca="false">MIN(CQ53+1,CP54+1,CP53+IF($A54=CQ$4,0,1))</f>
        <v>87</v>
      </c>
    </row>
    <row r="55" customFormat="false" ht="15" hidden="false" customHeight="false" outlineLevel="0" collapsed="false">
      <c r="A55" s="4" t="s">
        <v>176</v>
      </c>
      <c r="B55" s="12" t="n">
        <v>50</v>
      </c>
      <c r="C55" s="2" t="n">
        <f aca="false">MIN(C54+1,B55+1,B54+IF($A55=C$4,0,1))</f>
        <v>50</v>
      </c>
      <c r="D55" s="2" t="n">
        <f aca="false">MIN(D54+1,C55+1,C54+IF($A55=D$4,0,1))</f>
        <v>49</v>
      </c>
      <c r="E55" s="2" t="n">
        <f aca="false">MIN(E54+1,D55+1,D54+IF($A55=E$4,0,1))</f>
        <v>48</v>
      </c>
      <c r="F55" s="2" t="n">
        <f aca="false">MIN(F54+1,E55+1,E54+IF($A55=F$4,0,1))</f>
        <v>47</v>
      </c>
      <c r="G55" s="2" t="n">
        <f aca="false">MIN(G54+1,F55+1,F54+IF($A55=G$4,0,1))</f>
        <v>47</v>
      </c>
      <c r="H55" s="2" t="n">
        <f aca="false">MIN(H54+1,G55+1,G54+IF($A55=H$4,0,1))</f>
        <v>47</v>
      </c>
      <c r="I55" s="2" t="n">
        <f aca="false">MIN(I54+1,H55+1,H54+IF($A55=I$4,0,1))</f>
        <v>47</v>
      </c>
      <c r="J55" s="2" t="n">
        <f aca="false">MIN(J54+1,I55+1,I54+IF($A55=J$4,0,1))</f>
        <v>47</v>
      </c>
      <c r="K55" s="2" t="n">
        <f aca="false">MIN(K54+1,J55+1,J54+IF($A55=K$4,0,1))</f>
        <v>47</v>
      </c>
      <c r="L55" s="2" t="n">
        <f aca="false">MIN(L54+1,K55+1,K54+IF($A55=L$4,0,1))</f>
        <v>47</v>
      </c>
      <c r="M55" s="2" t="n">
        <f aca="false">MIN(M54+1,L55+1,L54+IF($A55=M$4,0,1))</f>
        <v>47</v>
      </c>
      <c r="N55" s="2" t="n">
        <f aca="false">MIN(N54+1,M55+1,M54+IF($A55=N$4,0,1))</f>
        <v>46</v>
      </c>
      <c r="O55" s="2" t="n">
        <f aca="false">MIN(O54+1,N55+1,N54+IF($A55=O$4,0,1))</f>
        <v>46</v>
      </c>
      <c r="P55" s="2" t="n">
        <f aca="false">MIN(P54+1,O55+1,O54+IF($A55=P$4,0,1))</f>
        <v>46</v>
      </c>
      <c r="Q55" s="2" t="n">
        <f aca="false">MIN(Q54+1,P55+1,P54+IF($A55=Q$4,0,1))</f>
        <v>46</v>
      </c>
      <c r="R55" s="2" t="n">
        <f aca="false">MIN(R54+1,Q55+1,Q54+IF($A55=R$4,0,1))</f>
        <v>46</v>
      </c>
      <c r="S55" s="2" t="n">
        <f aca="false">MIN(S54+1,R55+1,R54+IF($A55=S$4,0,1))</f>
        <v>46</v>
      </c>
      <c r="T55" s="2" t="n">
        <f aca="false">MIN(T54+1,S55+1,S54+IF($A55=T$4,0,1))</f>
        <v>46</v>
      </c>
      <c r="U55" s="2" t="n">
        <f aca="false">MIN(U54+1,T55+1,T54+IF($A55=U$4,0,1))</f>
        <v>46</v>
      </c>
      <c r="V55" s="2" t="n">
        <f aca="false">MIN(V54+1,U55+1,U54+IF($A55=V$4,0,1))</f>
        <v>46</v>
      </c>
      <c r="W55" s="2" t="n">
        <f aca="false">MIN(W54+1,V55+1,V54+IF($A55=W$4,0,1))</f>
        <v>46</v>
      </c>
      <c r="X55" s="2" t="n">
        <f aca="false">MIN(X54+1,W55+1,W54+IF($A55=X$4,0,1))</f>
        <v>46</v>
      </c>
      <c r="Y55" s="2" t="n">
        <f aca="false">MIN(Y54+1,X55+1,X54+IF($A55=Y$4,0,1))</f>
        <v>46</v>
      </c>
      <c r="Z55" s="2" t="n">
        <f aca="false">MIN(Z54+1,Y55+1,Y54+IF($A55=Z$4,0,1))</f>
        <v>46</v>
      </c>
      <c r="AA55" s="2" t="n">
        <f aca="false">MIN(AA54+1,Z55+1,Z54+IF($A55=AA$4,0,1))</f>
        <v>46</v>
      </c>
      <c r="AB55" s="2" t="n">
        <f aca="false">MIN(AB54+1,AA55+1,AA54+IF($A55=AB$4,0,1))</f>
        <v>46</v>
      </c>
      <c r="AC55" s="2" t="n">
        <f aca="false">MIN(AC54+1,AB55+1,AB54+IF($A55=AC$4,0,1))</f>
        <v>46</v>
      </c>
      <c r="AD55" s="2" t="n">
        <f aca="false">MIN(AD54+1,AC55+1,AC54+IF($A55=AD$4,0,1))</f>
        <v>46</v>
      </c>
      <c r="AE55" s="2" t="n">
        <f aca="false">MIN(AE54+1,AD55+1,AD54+IF($A55=AE$4,0,1))</f>
        <v>46</v>
      </c>
      <c r="AF55" s="2" t="n">
        <f aca="false">MIN(AF54+1,AE55+1,AE54+IF($A55=AF$4,0,1))</f>
        <v>46</v>
      </c>
      <c r="AG55" s="2" t="n">
        <f aca="false">MIN(AG54+1,AF55+1,AF54+IF($A55=AG$4,0,1))</f>
        <v>46</v>
      </c>
      <c r="AH55" s="2" t="n">
        <f aca="false">MIN(AH54+1,AG55+1,AG54+IF($A55=AH$4,0,1))</f>
        <v>46</v>
      </c>
      <c r="AI55" s="2" t="n">
        <f aca="false">MIN(AI54+1,AH55+1,AH54+IF($A55=AI$4,0,1))</f>
        <v>46</v>
      </c>
      <c r="AJ55" s="2" t="n">
        <f aca="false">MIN(AJ54+1,AI55+1,AI54+IF($A55=AJ$4,0,1))</f>
        <v>46</v>
      </c>
      <c r="AK55" s="2" t="n">
        <f aca="false">MIN(AK54+1,AJ55+1,AJ54+IF($A55=AK$4,0,1))</f>
        <v>46</v>
      </c>
      <c r="AL55" s="2" t="n">
        <f aca="false">MIN(AL54+1,AK55+1,AK54+IF($A55=AL$4,0,1))</f>
        <v>46</v>
      </c>
      <c r="AM55" s="2" t="n">
        <f aca="false">MIN(AM54+1,AL55+1,AL54+IF($A55=AM$4,0,1))</f>
        <v>46</v>
      </c>
      <c r="AN55" s="2" t="n">
        <f aca="false">MIN(AN54+1,AM55+1,AM54+IF($A55=AN$4,0,1))</f>
        <v>46</v>
      </c>
      <c r="AO55" s="2" t="n">
        <f aca="false">MIN(AO54+1,AN55+1,AN54+IF($A55=AO$4,0,1))</f>
        <v>46</v>
      </c>
      <c r="AP55" s="2" t="n">
        <f aca="false">MIN(AP54+1,AO55+1,AO54+IF($A55=AP$4,0,1))</f>
        <v>47</v>
      </c>
      <c r="AQ55" s="2" t="n">
        <f aca="false">MIN(AQ54+1,AP55+1,AP54+IF($A55=AQ$4,0,1))</f>
        <v>47</v>
      </c>
      <c r="AR55" s="2" t="n">
        <f aca="false">MIN(AR54+1,AQ55+1,AQ54+IF($A55=AR$4,0,1))</f>
        <v>47</v>
      </c>
      <c r="AS55" s="2" t="n">
        <f aca="false">MIN(AS54+1,AR55+1,AR54+IF($A55=AS$4,0,1))</f>
        <v>47</v>
      </c>
      <c r="AT55" s="2" t="n">
        <f aca="false">MIN(AT54+1,AS55+1,AS54+IF($A55=AT$4,0,1))</f>
        <v>47</v>
      </c>
      <c r="AU55" s="2" t="n">
        <f aca="false">MIN(AU54+1,AT55+1,AT54+IF($A55=AU$4,0,1))</f>
        <v>47</v>
      </c>
      <c r="AV55" s="2" t="n">
        <f aca="false">MIN(AV54+1,AU55+1,AU54+IF($A55=AV$4,0,1))</f>
        <v>47</v>
      </c>
      <c r="AW55" s="2" t="n">
        <f aca="false">MIN(AW54+1,AV55+1,AV54+IF($A55=AW$4,0,1))</f>
        <v>47</v>
      </c>
      <c r="AX55" s="2" t="n">
        <f aca="false">MIN(AX54+1,AW55+1,AW54+IF($A55=AX$4,0,1))</f>
        <v>47</v>
      </c>
      <c r="AY55" s="2" t="n">
        <f aca="false">MIN(AY54+1,AX55+1,AX54+IF($A55=AY$4,0,1))</f>
        <v>48</v>
      </c>
      <c r="AZ55" s="2" t="n">
        <f aca="false">MIN(AZ54+1,AY55+1,AY54+IF($A55=AZ$4,0,1))</f>
        <v>48</v>
      </c>
      <c r="BA55" s="2" t="n">
        <f aca="false">MIN(BA54+1,AZ55+1,AZ54+IF($A55=BA$4,0,1))</f>
        <v>48</v>
      </c>
      <c r="BB55" s="2" t="n">
        <f aca="false">MIN(BB54+1,BA55+1,BA54+IF($A55=BB$4,0,1))</f>
        <v>48</v>
      </c>
      <c r="BC55" s="2" t="n">
        <f aca="false">MIN(BC54+1,BB55+1,BB54+IF($A55=BC$4,0,1))</f>
        <v>49</v>
      </c>
      <c r="BD55" s="2" t="n">
        <f aca="false">MIN(BD54+1,BC55+1,BC54+IF($A55=BD$4,0,1))</f>
        <v>50</v>
      </c>
      <c r="BE55" s="2" t="n">
        <f aca="false">MIN(BE54+1,BD55+1,BD54+IF($A55=BE$4,0,1))</f>
        <v>51</v>
      </c>
      <c r="BF55" s="2" t="n">
        <f aca="false">MIN(BF54+1,BE55+1,BE54+IF($A55=BF$4,0,1))</f>
        <v>52</v>
      </c>
      <c r="BG55" s="2" t="n">
        <f aca="false">MIN(BG54+1,BF55+1,BF54+IF($A55=BG$4,0,1))</f>
        <v>53</v>
      </c>
      <c r="BH55" s="2" t="n">
        <f aca="false">MIN(BH54+1,BG55+1,BG54+IF($A55=BH$4,0,1))</f>
        <v>54</v>
      </c>
      <c r="BI55" s="2" t="n">
        <f aca="false">MIN(BI54+1,BH55+1,BH54+IF($A55=BI$4,0,1))</f>
        <v>55</v>
      </c>
      <c r="BJ55" s="2" t="n">
        <f aca="false">MIN(BJ54+1,BI55+1,BI54+IF($A55=BJ$4,0,1))</f>
        <v>56</v>
      </c>
      <c r="BK55" s="2" t="n">
        <f aca="false">MIN(BK54+1,BJ55+1,BJ54+IF($A55=BK$4,0,1))</f>
        <v>57</v>
      </c>
      <c r="BL55" s="2" t="n">
        <f aca="false">MIN(BL54+1,BK55+1,BK54+IF($A55=BL$4,0,1))</f>
        <v>58</v>
      </c>
      <c r="BM55" s="2" t="n">
        <f aca="false">MIN(BM54+1,BL55+1,BL54+IF($A55=BM$4,0,1))</f>
        <v>59</v>
      </c>
      <c r="BN55" s="2" t="n">
        <f aca="false">MIN(BN54+1,BM55+1,BM54+IF($A55=BN$4,0,1))</f>
        <v>60</v>
      </c>
      <c r="BO55" s="2" t="n">
        <f aca="false">MIN(BO54+1,BN55+1,BN54+IF($A55=BO$4,0,1))</f>
        <v>61</v>
      </c>
      <c r="BP55" s="2" t="n">
        <f aca="false">MIN(BP54+1,BO55+1,BO54+IF($A55=BP$4,0,1))</f>
        <v>62</v>
      </c>
      <c r="BQ55" s="2" t="n">
        <f aca="false">MIN(BQ54+1,BP55+1,BP54+IF($A55=BQ$4,0,1))</f>
        <v>63</v>
      </c>
      <c r="BR55" s="2" t="n">
        <f aca="false">MIN(BR54+1,BQ55+1,BQ54+IF($A55=BR$4,0,1))</f>
        <v>63</v>
      </c>
      <c r="BS55" s="2" t="n">
        <f aca="false">MIN(BS54+1,BR55+1,BR54+IF($A55=BS$4,0,1))</f>
        <v>64</v>
      </c>
      <c r="BT55" s="2" t="n">
        <f aca="false">MIN(BT54+1,BS55+1,BS54+IF($A55=BT$4,0,1))</f>
        <v>65</v>
      </c>
      <c r="BU55" s="2" t="n">
        <f aca="false">MIN(BU54+1,BT55+1,BT54+IF($A55=BU$4,0,1))</f>
        <v>66</v>
      </c>
      <c r="BV55" s="2" t="n">
        <f aca="false">MIN(BV54+1,BU55+1,BU54+IF($A55=BV$4,0,1))</f>
        <v>67</v>
      </c>
      <c r="BW55" s="2" t="n">
        <f aca="false">MIN(BW54+1,BV55+1,BV54+IF($A55=BW$4,0,1))</f>
        <v>68</v>
      </c>
      <c r="BX55" s="2" t="n">
        <f aca="false">MIN(BX54+1,BW55+1,BW54+IF($A55=BX$4,0,1))</f>
        <v>69</v>
      </c>
      <c r="BY55" s="2" t="n">
        <f aca="false">MIN(BY54+1,BX55+1,BX54+IF($A55=BY$4,0,1))</f>
        <v>70</v>
      </c>
      <c r="BZ55" s="2" t="n">
        <f aca="false">MIN(BZ54+1,BY55+1,BY54+IF($A55=BZ$4,0,1))</f>
        <v>71</v>
      </c>
      <c r="CA55" s="2" t="n">
        <f aca="false">MIN(CA54+1,BZ55+1,BZ54+IF($A55=CA$4,0,1))</f>
        <v>72</v>
      </c>
      <c r="CB55" s="2" t="n">
        <f aca="false">MIN(CB54+1,CA55+1,CA54+IF($A55=CB$4,0,1))</f>
        <v>72</v>
      </c>
      <c r="CC55" s="2" t="n">
        <f aca="false">MIN(CC54+1,CB55+1,CB54+IF($A55=CC$4,0,1))</f>
        <v>73</v>
      </c>
      <c r="CD55" s="2" t="n">
        <f aca="false">MIN(CD54+1,CC55+1,CC54+IF($A55=CD$4,0,1))</f>
        <v>74</v>
      </c>
      <c r="CE55" s="2" t="n">
        <f aca="false">MIN(CE54+1,CD55+1,CD54+IF($A55=CE$4,0,1))</f>
        <v>75</v>
      </c>
      <c r="CF55" s="2" t="n">
        <f aca="false">MIN(CF54+1,CE55+1,CE54+IF($A55=CF$4,0,1))</f>
        <v>76</v>
      </c>
      <c r="CG55" s="2" t="n">
        <f aca="false">MIN(CG54+1,CF55+1,CF54+IF($A55=CG$4,0,1))</f>
        <v>77</v>
      </c>
      <c r="CH55" s="2" t="n">
        <f aca="false">MIN(CH54+1,CG55+1,CG54+IF($A55=CH$4,0,1))</f>
        <v>78</v>
      </c>
      <c r="CI55" s="2" t="n">
        <f aca="false">MIN(CI54+1,CH55+1,CH54+IF($A55=CI$4,0,1))</f>
        <v>79</v>
      </c>
      <c r="CJ55" s="2" t="n">
        <f aca="false">MIN(CJ54+1,CI55+1,CI54+IF($A55=CJ$4,0,1))</f>
        <v>80</v>
      </c>
      <c r="CK55" s="2" t="n">
        <f aca="false">MIN(CK54+1,CJ55+1,CJ54+IF($A55=CK$4,0,1))</f>
        <v>81</v>
      </c>
      <c r="CL55" s="2" t="n">
        <f aca="false">MIN(CL54+1,CK55+1,CK54+IF($A55=CL$4,0,1))</f>
        <v>82</v>
      </c>
      <c r="CM55" s="2" t="n">
        <f aca="false">MIN(CM54+1,CL55+1,CL54+IF($A55=CM$4,0,1))</f>
        <v>83</v>
      </c>
      <c r="CN55" s="2" t="n">
        <f aca="false">MIN(CN54+1,CM55+1,CM54+IF($A55=CN$4,0,1))</f>
        <v>84</v>
      </c>
      <c r="CO55" s="2" t="n">
        <f aca="false">MIN(CO54+1,CN55+1,CN54+IF($A55=CO$4,0,1))</f>
        <v>85</v>
      </c>
      <c r="CP55" s="2" t="n">
        <f aca="false">MIN(CP54+1,CO55+1,CO54+IF($A55=CP$4,0,1))</f>
        <v>86</v>
      </c>
      <c r="CQ55" s="2" t="n">
        <f aca="false">MIN(CQ54+1,CP55+1,CP54+IF($A55=CQ$4,0,1))</f>
        <v>87</v>
      </c>
    </row>
    <row r="56" customFormat="false" ht="15" hidden="false" customHeight="false" outlineLevel="0" collapsed="false">
      <c r="A56" s="4" t="s">
        <v>163</v>
      </c>
      <c r="B56" s="12" t="n">
        <v>51</v>
      </c>
      <c r="C56" s="2" t="n">
        <f aca="false">MIN(C55+1,B56+1,B55+IF($A56=C$4,0,1))</f>
        <v>51</v>
      </c>
      <c r="D56" s="2" t="n">
        <f aca="false">MIN(D55+1,C56+1,C55+IF($A56=D$4,0,1))</f>
        <v>50</v>
      </c>
      <c r="E56" s="2" t="n">
        <f aca="false">MIN(E55+1,D56+1,D55+IF($A56=E$4,0,1))</f>
        <v>49</v>
      </c>
      <c r="F56" s="2" t="n">
        <f aca="false">MIN(F55+1,E56+1,E55+IF($A56=F$4,0,1))</f>
        <v>48</v>
      </c>
      <c r="G56" s="2" t="n">
        <f aca="false">MIN(G55+1,F56+1,F55+IF($A56=G$4,0,1))</f>
        <v>48</v>
      </c>
      <c r="H56" s="2" t="n">
        <f aca="false">MIN(H55+1,G56+1,G55+IF($A56=H$4,0,1))</f>
        <v>48</v>
      </c>
      <c r="I56" s="2" t="n">
        <f aca="false">MIN(I55+1,H56+1,H55+IF($A56=I$4,0,1))</f>
        <v>48</v>
      </c>
      <c r="J56" s="2" t="n">
        <f aca="false">MIN(J55+1,I56+1,I55+IF($A56=J$4,0,1))</f>
        <v>48</v>
      </c>
      <c r="K56" s="2" t="n">
        <f aca="false">MIN(K55+1,J56+1,J55+IF($A56=K$4,0,1))</f>
        <v>48</v>
      </c>
      <c r="L56" s="2" t="n">
        <f aca="false">MIN(L55+1,K56+1,K55+IF($A56=L$4,0,1))</f>
        <v>48</v>
      </c>
      <c r="M56" s="2" t="n">
        <f aca="false">MIN(M55+1,L56+1,L55+IF($A56=M$4,0,1))</f>
        <v>48</v>
      </c>
      <c r="N56" s="2" t="n">
        <f aca="false">MIN(N55+1,M56+1,M55+IF($A56=N$4,0,1))</f>
        <v>47</v>
      </c>
      <c r="O56" s="2" t="n">
        <f aca="false">MIN(O55+1,N56+1,N55+IF($A56=O$4,0,1))</f>
        <v>47</v>
      </c>
      <c r="P56" s="2" t="n">
        <f aca="false">MIN(P55+1,O56+1,O55+IF($A56=P$4,0,1))</f>
        <v>47</v>
      </c>
      <c r="Q56" s="2" t="n">
        <f aca="false">MIN(Q55+1,P56+1,P55+IF($A56=Q$4,0,1))</f>
        <v>47</v>
      </c>
      <c r="R56" s="2" t="n">
        <f aca="false">MIN(R55+1,Q56+1,Q55+IF($A56=R$4,0,1))</f>
        <v>47</v>
      </c>
      <c r="S56" s="2" t="n">
        <f aca="false">MIN(S55+1,R56+1,R55+IF($A56=S$4,0,1))</f>
        <v>47</v>
      </c>
      <c r="T56" s="2" t="n">
        <f aca="false">MIN(T55+1,S56+1,S55+IF($A56=T$4,0,1))</f>
        <v>47</v>
      </c>
      <c r="U56" s="2" t="n">
        <f aca="false">MIN(U55+1,T56+1,T55+IF($A56=U$4,0,1))</f>
        <v>47</v>
      </c>
      <c r="V56" s="2" t="n">
        <f aca="false">MIN(V55+1,U56+1,U55+IF($A56=V$4,0,1))</f>
        <v>47</v>
      </c>
      <c r="W56" s="2" t="n">
        <f aca="false">MIN(W55+1,V56+1,V55+IF($A56=W$4,0,1))</f>
        <v>47</v>
      </c>
      <c r="X56" s="2" t="n">
        <f aca="false">MIN(X55+1,W56+1,W55+IF($A56=X$4,0,1))</f>
        <v>47</v>
      </c>
      <c r="Y56" s="2" t="n">
        <f aca="false">MIN(Y55+1,X56+1,X55+IF($A56=Y$4,0,1))</f>
        <v>47</v>
      </c>
      <c r="Z56" s="2" t="n">
        <f aca="false">MIN(Z55+1,Y56+1,Y55+IF($A56=Z$4,0,1))</f>
        <v>47</v>
      </c>
      <c r="AA56" s="2" t="n">
        <f aca="false">MIN(AA55+1,Z56+1,Z55+IF($A56=AA$4,0,1))</f>
        <v>47</v>
      </c>
      <c r="AB56" s="2" t="n">
        <f aca="false">MIN(AB55+1,AA56+1,AA55+IF($A56=AB$4,0,1))</f>
        <v>47</v>
      </c>
      <c r="AC56" s="2" t="n">
        <f aca="false">MIN(AC55+1,AB56+1,AB55+IF($A56=AC$4,0,1))</f>
        <v>47</v>
      </c>
      <c r="AD56" s="2" t="n">
        <f aca="false">MIN(AD55+1,AC56+1,AC55+IF($A56=AD$4,0,1))</f>
        <v>47</v>
      </c>
      <c r="AE56" s="2" t="n">
        <f aca="false">MIN(AE55+1,AD56+1,AD55+IF($A56=AE$4,0,1))</f>
        <v>47</v>
      </c>
      <c r="AF56" s="2" t="n">
        <f aca="false">MIN(AF55+1,AE56+1,AE55+IF($A56=AF$4,0,1))</f>
        <v>47</v>
      </c>
      <c r="AG56" s="2" t="n">
        <f aca="false">MIN(AG55+1,AF56+1,AF55+IF($A56=AG$4,0,1))</f>
        <v>47</v>
      </c>
      <c r="AH56" s="2" t="n">
        <f aca="false">MIN(AH55+1,AG56+1,AG55+IF($A56=AH$4,0,1))</f>
        <v>47</v>
      </c>
      <c r="AI56" s="2" t="n">
        <f aca="false">MIN(AI55+1,AH56+1,AH55+IF($A56=AI$4,0,1))</f>
        <v>47</v>
      </c>
      <c r="AJ56" s="2" t="n">
        <f aca="false">MIN(AJ55+1,AI56+1,AI55+IF($A56=AJ$4,0,1))</f>
        <v>47</v>
      </c>
      <c r="AK56" s="2" t="n">
        <f aca="false">MIN(AK55+1,AJ56+1,AJ55+IF($A56=AK$4,0,1))</f>
        <v>47</v>
      </c>
      <c r="AL56" s="2" t="n">
        <f aca="false">MIN(AL55+1,AK56+1,AK55+IF($A56=AL$4,0,1))</f>
        <v>47</v>
      </c>
      <c r="AM56" s="2" t="n">
        <f aca="false">MIN(AM55+1,AL56+1,AL55+IF($A56=AM$4,0,1))</f>
        <v>47</v>
      </c>
      <c r="AN56" s="2" t="n">
        <f aca="false">MIN(AN55+1,AM56+1,AM55+IF($A56=AN$4,0,1))</f>
        <v>47</v>
      </c>
      <c r="AO56" s="2" t="n">
        <f aca="false">MIN(AO55+1,AN56+1,AN55+IF($A56=AO$4,0,1))</f>
        <v>47</v>
      </c>
      <c r="AP56" s="2" t="n">
        <f aca="false">MIN(AP55+1,AO56+1,AO55+IF($A56=AP$4,0,1))</f>
        <v>47</v>
      </c>
      <c r="AQ56" s="2" t="n">
        <f aca="false">MIN(AQ55+1,AP56+1,AP55+IF($A56=AQ$4,0,1))</f>
        <v>48</v>
      </c>
      <c r="AR56" s="2" t="n">
        <f aca="false">MIN(AR55+1,AQ56+1,AQ55+IF($A56=AR$4,0,1))</f>
        <v>48</v>
      </c>
      <c r="AS56" s="2" t="n">
        <f aca="false">MIN(AS55+1,AR56+1,AR55+IF($A56=AS$4,0,1))</f>
        <v>48</v>
      </c>
      <c r="AT56" s="2" t="n">
        <f aca="false">MIN(AT55+1,AS56+1,AS55+IF($A56=AT$4,0,1))</f>
        <v>48</v>
      </c>
      <c r="AU56" s="2" t="n">
        <f aca="false">MIN(AU55+1,AT56+1,AT55+IF($A56=AU$4,0,1))</f>
        <v>48</v>
      </c>
      <c r="AV56" s="2" t="n">
        <f aca="false">MIN(AV55+1,AU56+1,AU55+IF($A56=AV$4,0,1))</f>
        <v>48</v>
      </c>
      <c r="AW56" s="2" t="n">
        <f aca="false">MIN(AW55+1,AV56+1,AV55+IF($A56=AW$4,0,1))</f>
        <v>48</v>
      </c>
      <c r="AX56" s="2" t="n">
        <f aca="false">MIN(AX55+1,AW56+1,AW55+IF($A56=AX$4,0,1))</f>
        <v>48</v>
      </c>
      <c r="AY56" s="2" t="n">
        <f aca="false">MIN(AY55+1,AX56+1,AX55+IF($A56=AY$4,0,1))</f>
        <v>48</v>
      </c>
      <c r="AZ56" s="2" t="n">
        <f aca="false">MIN(AZ55+1,AY56+1,AY55+IF($A56=AZ$4,0,1))</f>
        <v>49</v>
      </c>
      <c r="BA56" s="2" t="n">
        <f aca="false">MIN(BA55+1,AZ56+1,AZ55+IF($A56=BA$4,0,1))</f>
        <v>49</v>
      </c>
      <c r="BB56" s="2" t="n">
        <f aca="false">MIN(BB55+1,BA56+1,BA55+IF($A56=BB$4,0,1))</f>
        <v>49</v>
      </c>
      <c r="BC56" s="2" t="n">
        <f aca="false">MIN(BC55+1,BB56+1,BB55+IF($A56=BC$4,0,1))</f>
        <v>49</v>
      </c>
      <c r="BD56" s="2" t="n">
        <f aca="false">MIN(BD55+1,BC56+1,BC55+IF($A56=BD$4,0,1))</f>
        <v>50</v>
      </c>
      <c r="BE56" s="2" t="n">
        <f aca="false">MIN(BE55+1,BD56+1,BD55+IF($A56=BE$4,0,1))</f>
        <v>51</v>
      </c>
      <c r="BF56" s="2" t="n">
        <f aca="false">MIN(BF55+1,BE56+1,BE55+IF($A56=BF$4,0,1))</f>
        <v>52</v>
      </c>
      <c r="BG56" s="2" t="n">
        <f aca="false">MIN(BG55+1,BF56+1,BF55+IF($A56=BG$4,0,1))</f>
        <v>53</v>
      </c>
      <c r="BH56" s="2" t="n">
        <f aca="false">MIN(BH55+1,BG56+1,BG55+IF($A56=BH$4,0,1))</f>
        <v>54</v>
      </c>
      <c r="BI56" s="2" t="n">
        <f aca="false">MIN(BI55+1,BH56+1,BH55+IF($A56=BI$4,0,1))</f>
        <v>55</v>
      </c>
      <c r="BJ56" s="2" t="n">
        <f aca="false">MIN(BJ55+1,BI56+1,BI55+IF($A56=BJ$4,0,1))</f>
        <v>56</v>
      </c>
      <c r="BK56" s="2" t="n">
        <f aca="false">MIN(BK55+1,BJ56+1,BJ55+IF($A56=BK$4,0,1))</f>
        <v>57</v>
      </c>
      <c r="BL56" s="2" t="n">
        <f aca="false">MIN(BL55+1,BK56+1,BK55+IF($A56=BL$4,0,1))</f>
        <v>58</v>
      </c>
      <c r="BM56" s="2" t="n">
        <f aca="false">MIN(BM55+1,BL56+1,BL55+IF($A56=BM$4,0,1))</f>
        <v>59</v>
      </c>
      <c r="BN56" s="2" t="n">
        <f aca="false">MIN(BN55+1,BM56+1,BM55+IF($A56=BN$4,0,1))</f>
        <v>60</v>
      </c>
      <c r="BO56" s="2" t="n">
        <f aca="false">MIN(BO55+1,BN56+1,BN55+IF($A56=BO$4,0,1))</f>
        <v>61</v>
      </c>
      <c r="BP56" s="2" t="n">
        <f aca="false">MIN(BP55+1,BO56+1,BO55+IF($A56=BP$4,0,1))</f>
        <v>62</v>
      </c>
      <c r="BQ56" s="2" t="n">
        <f aca="false">MIN(BQ55+1,BP56+1,BP55+IF($A56=BQ$4,0,1))</f>
        <v>63</v>
      </c>
      <c r="BR56" s="2" t="n">
        <f aca="false">MIN(BR55+1,BQ56+1,BQ55+IF($A56=BR$4,0,1))</f>
        <v>64</v>
      </c>
      <c r="BS56" s="2" t="n">
        <f aca="false">MIN(BS55+1,BR56+1,BR55+IF($A56=BS$4,0,1))</f>
        <v>64</v>
      </c>
      <c r="BT56" s="2" t="n">
        <f aca="false">MIN(BT55+1,BS56+1,BS55+IF($A56=BT$4,0,1))</f>
        <v>65</v>
      </c>
      <c r="BU56" s="2" t="n">
        <f aca="false">MIN(BU55+1,BT56+1,BT55+IF($A56=BU$4,0,1))</f>
        <v>66</v>
      </c>
      <c r="BV56" s="2" t="n">
        <f aca="false">MIN(BV55+1,BU56+1,BU55+IF($A56=BV$4,0,1))</f>
        <v>67</v>
      </c>
      <c r="BW56" s="2" t="n">
        <f aca="false">MIN(BW55+1,BV56+1,BV55+IF($A56=BW$4,0,1))</f>
        <v>68</v>
      </c>
      <c r="BX56" s="2" t="n">
        <f aca="false">MIN(BX55+1,BW56+1,BW55+IF($A56=BX$4,0,1))</f>
        <v>69</v>
      </c>
      <c r="BY56" s="2" t="n">
        <f aca="false">MIN(BY55+1,BX56+1,BX55+IF($A56=BY$4,0,1))</f>
        <v>70</v>
      </c>
      <c r="BZ56" s="2" t="n">
        <f aca="false">MIN(BZ55+1,BY56+1,BY55+IF($A56=BZ$4,0,1))</f>
        <v>71</v>
      </c>
      <c r="CA56" s="2" t="n">
        <f aca="false">MIN(CA55+1,BZ56+1,BZ55+IF($A56=CA$4,0,1))</f>
        <v>72</v>
      </c>
      <c r="CB56" s="2" t="n">
        <f aca="false">MIN(CB55+1,CA56+1,CA55+IF($A56=CB$4,0,1))</f>
        <v>73</v>
      </c>
      <c r="CC56" s="2" t="n">
        <f aca="false">MIN(CC55+1,CB56+1,CB55+IF($A56=CC$4,0,1))</f>
        <v>73</v>
      </c>
      <c r="CD56" s="2" t="n">
        <f aca="false">MIN(CD55+1,CC56+1,CC55+IF($A56=CD$4,0,1))</f>
        <v>74</v>
      </c>
      <c r="CE56" s="2" t="n">
        <f aca="false">MIN(CE55+1,CD56+1,CD55+IF($A56=CE$4,0,1))</f>
        <v>75</v>
      </c>
      <c r="CF56" s="2" t="n">
        <f aca="false">MIN(CF55+1,CE56+1,CE55+IF($A56=CF$4,0,1))</f>
        <v>76</v>
      </c>
      <c r="CG56" s="2" t="n">
        <f aca="false">MIN(CG55+1,CF56+1,CF55+IF($A56=CG$4,0,1))</f>
        <v>77</v>
      </c>
      <c r="CH56" s="2" t="n">
        <f aca="false">MIN(CH55+1,CG56+1,CG55+IF($A56=CH$4,0,1))</f>
        <v>78</v>
      </c>
      <c r="CI56" s="2" t="n">
        <f aca="false">MIN(CI55+1,CH56+1,CH55+IF($A56=CI$4,0,1))</f>
        <v>79</v>
      </c>
      <c r="CJ56" s="2" t="n">
        <f aca="false">MIN(CJ55+1,CI56+1,CI55+IF($A56=CJ$4,0,1))</f>
        <v>80</v>
      </c>
      <c r="CK56" s="2" t="n">
        <f aca="false">MIN(CK55+1,CJ56+1,CJ55+IF($A56=CK$4,0,1))</f>
        <v>81</v>
      </c>
      <c r="CL56" s="2" t="n">
        <f aca="false">MIN(CL55+1,CK56+1,CK55+IF($A56=CL$4,0,1))</f>
        <v>82</v>
      </c>
      <c r="CM56" s="2" t="n">
        <f aca="false">MIN(CM55+1,CL56+1,CL55+IF($A56=CM$4,0,1))</f>
        <v>83</v>
      </c>
      <c r="CN56" s="2" t="n">
        <f aca="false">MIN(CN55+1,CM56+1,CM55+IF($A56=CN$4,0,1))</f>
        <v>84</v>
      </c>
      <c r="CO56" s="2" t="n">
        <f aca="false">MIN(CO55+1,CN56+1,CN55+IF($A56=CO$4,0,1))</f>
        <v>85</v>
      </c>
      <c r="CP56" s="2" t="n">
        <f aca="false">MIN(CP55+1,CO56+1,CO55+IF($A56=CP$4,0,1))</f>
        <v>86</v>
      </c>
      <c r="CQ56" s="2" t="n">
        <f aca="false">MIN(CQ55+1,CP56+1,CP55+IF($A56=CQ$4,0,1))</f>
        <v>87</v>
      </c>
    </row>
    <row r="57" customFormat="false" ht="15" hidden="false" customHeight="false" outlineLevel="0" collapsed="false">
      <c r="A57" s="4" t="s">
        <v>177</v>
      </c>
      <c r="B57" s="12" t="n">
        <v>52</v>
      </c>
      <c r="C57" s="2" t="n">
        <f aca="false">MIN(C56+1,B57+1,B56+IF($A57=C$4,0,1))</f>
        <v>52</v>
      </c>
      <c r="D57" s="2" t="n">
        <f aca="false">MIN(D56+1,C57+1,C56+IF($A57=D$4,0,1))</f>
        <v>51</v>
      </c>
      <c r="E57" s="2" t="n">
        <f aca="false">MIN(E56+1,D57+1,D56+IF($A57=E$4,0,1))</f>
        <v>50</v>
      </c>
      <c r="F57" s="2" t="n">
        <f aca="false">MIN(F56+1,E57+1,E56+IF($A57=F$4,0,1))</f>
        <v>49</v>
      </c>
      <c r="G57" s="2" t="n">
        <f aca="false">MIN(G56+1,F57+1,F56+IF($A57=G$4,0,1))</f>
        <v>49</v>
      </c>
      <c r="H57" s="2" t="n">
        <f aca="false">MIN(H56+1,G57+1,G56+IF($A57=H$4,0,1))</f>
        <v>49</v>
      </c>
      <c r="I57" s="2" t="n">
        <f aca="false">MIN(I56+1,H57+1,H56+IF($A57=I$4,0,1))</f>
        <v>49</v>
      </c>
      <c r="J57" s="2" t="n">
        <f aca="false">MIN(J56+1,I57+1,I56+IF($A57=J$4,0,1))</f>
        <v>49</v>
      </c>
      <c r="K57" s="2" t="n">
        <f aca="false">MIN(K56+1,J57+1,J56+IF($A57=K$4,0,1))</f>
        <v>49</v>
      </c>
      <c r="L57" s="2" t="n">
        <f aca="false">MIN(L56+1,K57+1,K56+IF($A57=L$4,0,1))</f>
        <v>49</v>
      </c>
      <c r="M57" s="2" t="n">
        <f aca="false">MIN(M56+1,L57+1,L56+IF($A57=M$4,0,1))</f>
        <v>49</v>
      </c>
      <c r="N57" s="2" t="n">
        <f aca="false">MIN(N56+1,M57+1,M56+IF($A57=N$4,0,1))</f>
        <v>48</v>
      </c>
      <c r="O57" s="2" t="n">
        <f aca="false">MIN(O56+1,N57+1,N56+IF($A57=O$4,0,1))</f>
        <v>48</v>
      </c>
      <c r="P57" s="2" t="n">
        <f aca="false">MIN(P56+1,O57+1,O56+IF($A57=P$4,0,1))</f>
        <v>48</v>
      </c>
      <c r="Q57" s="2" t="n">
        <f aca="false">MIN(Q56+1,P57+1,P56+IF($A57=Q$4,0,1))</f>
        <v>48</v>
      </c>
      <c r="R57" s="2" t="n">
        <f aca="false">MIN(R56+1,Q57+1,Q56+IF($A57=R$4,0,1))</f>
        <v>48</v>
      </c>
      <c r="S57" s="2" t="n">
        <f aca="false">MIN(S56+1,R57+1,R56+IF($A57=S$4,0,1))</f>
        <v>48</v>
      </c>
      <c r="T57" s="2" t="n">
        <f aca="false">MIN(T56+1,S57+1,S56+IF($A57=T$4,0,1))</f>
        <v>48</v>
      </c>
      <c r="U57" s="2" t="n">
        <f aca="false">MIN(U56+1,T57+1,T56+IF($A57=U$4,0,1))</f>
        <v>48</v>
      </c>
      <c r="V57" s="2" t="n">
        <f aca="false">MIN(V56+1,U57+1,U56+IF($A57=V$4,0,1))</f>
        <v>48</v>
      </c>
      <c r="W57" s="2" t="n">
        <f aca="false">MIN(W56+1,V57+1,V56+IF($A57=W$4,0,1))</f>
        <v>48</v>
      </c>
      <c r="X57" s="2" t="n">
        <f aca="false">MIN(X56+1,W57+1,W56+IF($A57=X$4,0,1))</f>
        <v>48</v>
      </c>
      <c r="Y57" s="2" t="n">
        <f aca="false">MIN(Y56+1,X57+1,X56+IF($A57=Y$4,0,1))</f>
        <v>48</v>
      </c>
      <c r="Z57" s="2" t="n">
        <f aca="false">MIN(Z56+1,Y57+1,Y56+IF($A57=Z$4,0,1))</f>
        <v>48</v>
      </c>
      <c r="AA57" s="2" t="n">
        <f aca="false">MIN(AA56+1,Z57+1,Z56+IF($A57=AA$4,0,1))</f>
        <v>48</v>
      </c>
      <c r="AB57" s="2" t="n">
        <f aca="false">MIN(AB56+1,AA57+1,AA56+IF($A57=AB$4,0,1))</f>
        <v>48</v>
      </c>
      <c r="AC57" s="2" t="n">
        <f aca="false">MIN(AC56+1,AB57+1,AB56+IF($A57=AC$4,0,1))</f>
        <v>48</v>
      </c>
      <c r="AD57" s="2" t="n">
        <f aca="false">MIN(AD56+1,AC57+1,AC56+IF($A57=AD$4,0,1))</f>
        <v>48</v>
      </c>
      <c r="AE57" s="2" t="n">
        <f aca="false">MIN(AE56+1,AD57+1,AD56+IF($A57=AE$4,0,1))</f>
        <v>48</v>
      </c>
      <c r="AF57" s="2" t="n">
        <f aca="false">MIN(AF56+1,AE57+1,AE56+IF($A57=AF$4,0,1))</f>
        <v>48</v>
      </c>
      <c r="AG57" s="2" t="n">
        <f aca="false">MIN(AG56+1,AF57+1,AF56+IF($A57=AG$4,0,1))</f>
        <v>48</v>
      </c>
      <c r="AH57" s="2" t="n">
        <f aca="false">MIN(AH56+1,AG57+1,AG56+IF($A57=AH$4,0,1))</f>
        <v>48</v>
      </c>
      <c r="AI57" s="2" t="n">
        <f aca="false">MIN(AI56+1,AH57+1,AH56+IF($A57=AI$4,0,1))</f>
        <v>48</v>
      </c>
      <c r="AJ57" s="2" t="n">
        <f aca="false">MIN(AJ56+1,AI57+1,AI56+IF($A57=AJ$4,0,1))</f>
        <v>48</v>
      </c>
      <c r="AK57" s="2" t="n">
        <f aca="false">MIN(AK56+1,AJ57+1,AJ56+IF($A57=AK$4,0,1))</f>
        <v>48</v>
      </c>
      <c r="AL57" s="2" t="n">
        <f aca="false">MIN(AL56+1,AK57+1,AK56+IF($A57=AL$4,0,1))</f>
        <v>48</v>
      </c>
      <c r="AM57" s="2" t="n">
        <f aca="false">MIN(AM56+1,AL57+1,AL56+IF($A57=AM$4,0,1))</f>
        <v>48</v>
      </c>
      <c r="AN57" s="2" t="n">
        <f aca="false">MIN(AN56+1,AM57+1,AM56+IF($A57=AN$4,0,1))</f>
        <v>48</v>
      </c>
      <c r="AO57" s="2" t="n">
        <f aca="false">MIN(AO56+1,AN57+1,AN56+IF($A57=AO$4,0,1))</f>
        <v>48</v>
      </c>
      <c r="AP57" s="2" t="n">
        <f aca="false">MIN(AP56+1,AO57+1,AO56+IF($A57=AP$4,0,1))</f>
        <v>48</v>
      </c>
      <c r="AQ57" s="2" t="n">
        <f aca="false">MIN(AQ56+1,AP57+1,AP56+IF($A57=AQ$4,0,1))</f>
        <v>48</v>
      </c>
      <c r="AR57" s="2" t="n">
        <f aca="false">MIN(AR56+1,AQ57+1,AQ56+IF($A57=AR$4,0,1))</f>
        <v>49</v>
      </c>
      <c r="AS57" s="2" t="n">
        <f aca="false">MIN(AS56+1,AR57+1,AR56+IF($A57=AS$4,0,1))</f>
        <v>49</v>
      </c>
      <c r="AT57" s="2" t="n">
        <f aca="false">MIN(AT56+1,AS57+1,AS56+IF($A57=AT$4,0,1))</f>
        <v>49</v>
      </c>
      <c r="AU57" s="2" t="n">
        <f aca="false">MIN(AU56+1,AT57+1,AT56+IF($A57=AU$4,0,1))</f>
        <v>49</v>
      </c>
      <c r="AV57" s="2" t="n">
        <f aca="false">MIN(AV56+1,AU57+1,AU56+IF($A57=AV$4,0,1))</f>
        <v>49</v>
      </c>
      <c r="AW57" s="2" t="n">
        <f aca="false">MIN(AW56+1,AV57+1,AV56+IF($A57=AW$4,0,1))</f>
        <v>49</v>
      </c>
      <c r="AX57" s="2" t="n">
        <f aca="false">MIN(AX56+1,AW57+1,AW56+IF($A57=AX$4,0,1))</f>
        <v>49</v>
      </c>
      <c r="AY57" s="2" t="n">
        <f aca="false">MIN(AY56+1,AX57+1,AX56+IF($A57=AY$4,0,1))</f>
        <v>49</v>
      </c>
      <c r="AZ57" s="2" t="n">
        <f aca="false">MIN(AZ56+1,AY57+1,AY56+IF($A57=AZ$4,0,1))</f>
        <v>49</v>
      </c>
      <c r="BA57" s="2" t="n">
        <f aca="false">MIN(BA56+1,AZ57+1,AZ56+IF($A57=BA$4,0,1))</f>
        <v>50</v>
      </c>
      <c r="BB57" s="2" t="n">
        <f aca="false">MIN(BB56+1,BA57+1,BA56+IF($A57=BB$4,0,1))</f>
        <v>50</v>
      </c>
      <c r="BC57" s="2" t="n">
        <f aca="false">MIN(BC56+1,BB57+1,BB56+IF($A57=BC$4,0,1))</f>
        <v>50</v>
      </c>
      <c r="BD57" s="2" t="n">
        <f aca="false">MIN(BD56+1,BC57+1,BC56+IF($A57=BD$4,0,1))</f>
        <v>50</v>
      </c>
      <c r="BE57" s="2" t="n">
        <f aca="false">MIN(BE56+1,BD57+1,BD56+IF($A57=BE$4,0,1))</f>
        <v>51</v>
      </c>
      <c r="BF57" s="2" t="n">
        <f aca="false">MIN(BF56+1,BE57+1,BE56+IF($A57=BF$4,0,1))</f>
        <v>52</v>
      </c>
      <c r="BG57" s="2" t="n">
        <f aca="false">MIN(BG56+1,BF57+1,BF56+IF($A57=BG$4,0,1))</f>
        <v>53</v>
      </c>
      <c r="BH57" s="2" t="n">
        <f aca="false">MIN(BH56+1,BG57+1,BG56+IF($A57=BH$4,0,1))</f>
        <v>54</v>
      </c>
      <c r="BI57" s="2" t="n">
        <f aca="false">MIN(BI56+1,BH57+1,BH56+IF($A57=BI$4,0,1))</f>
        <v>55</v>
      </c>
      <c r="BJ57" s="2" t="n">
        <f aca="false">MIN(BJ56+1,BI57+1,BI56+IF($A57=BJ$4,0,1))</f>
        <v>56</v>
      </c>
      <c r="BK57" s="2" t="n">
        <f aca="false">MIN(BK56+1,BJ57+1,BJ56+IF($A57=BK$4,0,1))</f>
        <v>57</v>
      </c>
      <c r="BL57" s="2" t="n">
        <f aca="false">MIN(BL56+1,BK57+1,BK56+IF($A57=BL$4,0,1))</f>
        <v>58</v>
      </c>
      <c r="BM57" s="2" t="n">
        <f aca="false">MIN(BM56+1,BL57+1,BL56+IF($A57=BM$4,0,1))</f>
        <v>59</v>
      </c>
      <c r="BN57" s="2" t="n">
        <f aca="false">MIN(BN56+1,BM57+1,BM56+IF($A57=BN$4,0,1))</f>
        <v>60</v>
      </c>
      <c r="BO57" s="2" t="n">
        <f aca="false">MIN(BO56+1,BN57+1,BN56+IF($A57=BO$4,0,1))</f>
        <v>61</v>
      </c>
      <c r="BP57" s="2" t="n">
        <f aca="false">MIN(BP56+1,BO57+1,BO56+IF($A57=BP$4,0,1))</f>
        <v>62</v>
      </c>
      <c r="BQ57" s="2" t="n">
        <f aca="false">MIN(BQ56+1,BP57+1,BP56+IF($A57=BQ$4,0,1))</f>
        <v>63</v>
      </c>
      <c r="BR57" s="2" t="n">
        <f aca="false">MIN(BR56+1,BQ57+1,BQ56+IF($A57=BR$4,0,1))</f>
        <v>64</v>
      </c>
      <c r="BS57" s="2" t="n">
        <f aca="false">MIN(BS56+1,BR57+1,BR56+IF($A57=BS$4,0,1))</f>
        <v>65</v>
      </c>
      <c r="BT57" s="2" t="n">
        <f aca="false">MIN(BT56+1,BS57+1,BS56+IF($A57=BT$4,0,1))</f>
        <v>65</v>
      </c>
      <c r="BU57" s="2" t="n">
        <f aca="false">MIN(BU56+1,BT57+1,BT56+IF($A57=BU$4,0,1))</f>
        <v>66</v>
      </c>
      <c r="BV57" s="2" t="n">
        <f aca="false">MIN(BV56+1,BU57+1,BU56+IF($A57=BV$4,0,1))</f>
        <v>67</v>
      </c>
      <c r="BW57" s="2" t="n">
        <f aca="false">MIN(BW56+1,BV57+1,BV56+IF($A57=BW$4,0,1))</f>
        <v>68</v>
      </c>
      <c r="BX57" s="2" t="n">
        <f aca="false">MIN(BX56+1,BW57+1,BW56+IF($A57=BX$4,0,1))</f>
        <v>69</v>
      </c>
      <c r="BY57" s="2" t="n">
        <f aca="false">MIN(BY56+1,BX57+1,BX56+IF($A57=BY$4,0,1))</f>
        <v>70</v>
      </c>
      <c r="BZ57" s="2" t="n">
        <f aca="false">MIN(BZ56+1,BY57+1,BY56+IF($A57=BZ$4,0,1))</f>
        <v>71</v>
      </c>
      <c r="CA57" s="2" t="n">
        <f aca="false">MIN(CA56+1,BZ57+1,BZ56+IF($A57=CA$4,0,1))</f>
        <v>72</v>
      </c>
      <c r="CB57" s="2" t="n">
        <f aca="false">MIN(CB56+1,CA57+1,CA56+IF($A57=CB$4,0,1))</f>
        <v>73</v>
      </c>
      <c r="CC57" s="2" t="n">
        <f aca="false">MIN(CC56+1,CB57+1,CB56+IF($A57=CC$4,0,1))</f>
        <v>74</v>
      </c>
      <c r="CD57" s="2" t="n">
        <f aca="false">MIN(CD56+1,CC57+1,CC56+IF($A57=CD$4,0,1))</f>
        <v>74</v>
      </c>
      <c r="CE57" s="2" t="n">
        <f aca="false">MIN(CE56+1,CD57+1,CD56+IF($A57=CE$4,0,1))</f>
        <v>75</v>
      </c>
      <c r="CF57" s="2" t="n">
        <f aca="false">MIN(CF56+1,CE57+1,CE56+IF($A57=CF$4,0,1))</f>
        <v>76</v>
      </c>
      <c r="CG57" s="2" t="n">
        <f aca="false">MIN(CG56+1,CF57+1,CF56+IF($A57=CG$4,0,1))</f>
        <v>77</v>
      </c>
      <c r="CH57" s="2" t="n">
        <f aca="false">MIN(CH56+1,CG57+1,CG56+IF($A57=CH$4,0,1))</f>
        <v>78</v>
      </c>
      <c r="CI57" s="2" t="n">
        <f aca="false">MIN(CI56+1,CH57+1,CH56+IF($A57=CI$4,0,1))</f>
        <v>79</v>
      </c>
      <c r="CJ57" s="2" t="n">
        <f aca="false">MIN(CJ56+1,CI57+1,CI56+IF($A57=CJ$4,0,1))</f>
        <v>80</v>
      </c>
      <c r="CK57" s="2" t="n">
        <f aca="false">MIN(CK56+1,CJ57+1,CJ56+IF($A57=CK$4,0,1))</f>
        <v>81</v>
      </c>
      <c r="CL57" s="2" t="n">
        <f aca="false">MIN(CL56+1,CK57+1,CK56+IF($A57=CL$4,0,1))</f>
        <v>82</v>
      </c>
      <c r="CM57" s="2" t="n">
        <f aca="false">MIN(CM56+1,CL57+1,CL56+IF($A57=CM$4,0,1))</f>
        <v>83</v>
      </c>
      <c r="CN57" s="2" t="n">
        <f aca="false">MIN(CN56+1,CM57+1,CM56+IF($A57=CN$4,0,1))</f>
        <v>84</v>
      </c>
      <c r="CO57" s="2" t="n">
        <f aca="false">MIN(CO56+1,CN57+1,CN56+IF($A57=CO$4,0,1))</f>
        <v>85</v>
      </c>
      <c r="CP57" s="2" t="n">
        <f aca="false">MIN(CP56+1,CO57+1,CO56+IF($A57=CP$4,0,1))</f>
        <v>86</v>
      </c>
      <c r="CQ57" s="2" t="n">
        <f aca="false">MIN(CQ56+1,CP57+1,CP56+IF($A57=CQ$4,0,1))</f>
        <v>87</v>
      </c>
    </row>
    <row r="58" customFormat="false" ht="15" hidden="false" customHeight="false" outlineLevel="0" collapsed="false">
      <c r="A58" s="4" t="s">
        <v>178</v>
      </c>
      <c r="B58" s="12" t="n">
        <v>53</v>
      </c>
      <c r="C58" s="2" t="n">
        <f aca="false">MIN(C57+1,B58+1,B57+IF($A58=C$4,0,1))</f>
        <v>53</v>
      </c>
      <c r="D58" s="2" t="n">
        <f aca="false">MIN(D57+1,C58+1,C57+IF($A58=D$4,0,1))</f>
        <v>52</v>
      </c>
      <c r="E58" s="2" t="n">
        <f aca="false">MIN(E57+1,D58+1,D57+IF($A58=E$4,0,1))</f>
        <v>51</v>
      </c>
      <c r="F58" s="2" t="n">
        <f aca="false">MIN(F57+1,E58+1,E57+IF($A58=F$4,0,1))</f>
        <v>50</v>
      </c>
      <c r="G58" s="2" t="n">
        <f aca="false">MIN(G57+1,F58+1,F57+IF($A58=G$4,0,1))</f>
        <v>50</v>
      </c>
      <c r="H58" s="2" t="n">
        <f aca="false">MIN(H57+1,G58+1,G57+IF($A58=H$4,0,1))</f>
        <v>50</v>
      </c>
      <c r="I58" s="2" t="n">
        <f aca="false">MIN(I57+1,H58+1,H57+IF($A58=I$4,0,1))</f>
        <v>50</v>
      </c>
      <c r="J58" s="2" t="n">
        <f aca="false">MIN(J57+1,I58+1,I57+IF($A58=J$4,0,1))</f>
        <v>50</v>
      </c>
      <c r="K58" s="2" t="n">
        <f aca="false">MIN(K57+1,J58+1,J57+IF($A58=K$4,0,1))</f>
        <v>50</v>
      </c>
      <c r="L58" s="2" t="n">
        <f aca="false">MIN(L57+1,K58+1,K57+IF($A58=L$4,0,1))</f>
        <v>50</v>
      </c>
      <c r="M58" s="2" t="n">
        <f aca="false">MIN(M57+1,L58+1,L57+IF($A58=M$4,0,1))</f>
        <v>50</v>
      </c>
      <c r="N58" s="2" t="n">
        <f aca="false">MIN(N57+1,M58+1,M57+IF($A58=N$4,0,1))</f>
        <v>49</v>
      </c>
      <c r="O58" s="2" t="n">
        <f aca="false">MIN(O57+1,N58+1,N57+IF($A58=O$4,0,1))</f>
        <v>49</v>
      </c>
      <c r="P58" s="2" t="n">
        <f aca="false">MIN(P57+1,O58+1,O57+IF($A58=P$4,0,1))</f>
        <v>49</v>
      </c>
      <c r="Q58" s="2" t="n">
        <f aca="false">MIN(Q57+1,P58+1,P57+IF($A58=Q$4,0,1))</f>
        <v>49</v>
      </c>
      <c r="R58" s="2" t="n">
        <f aca="false">MIN(R57+1,Q58+1,Q57+IF($A58=R$4,0,1))</f>
        <v>49</v>
      </c>
      <c r="S58" s="2" t="n">
        <f aca="false">MIN(S57+1,R58+1,R57+IF($A58=S$4,0,1))</f>
        <v>49</v>
      </c>
      <c r="T58" s="2" t="n">
        <f aca="false">MIN(T57+1,S58+1,S57+IF($A58=T$4,0,1))</f>
        <v>49</v>
      </c>
      <c r="U58" s="2" t="n">
        <f aca="false">MIN(U57+1,T58+1,T57+IF($A58=U$4,0,1))</f>
        <v>49</v>
      </c>
      <c r="V58" s="2" t="n">
        <f aca="false">MIN(V57+1,U58+1,U57+IF($A58=V$4,0,1))</f>
        <v>49</v>
      </c>
      <c r="W58" s="2" t="n">
        <f aca="false">MIN(W57+1,V58+1,V57+IF($A58=W$4,0,1))</f>
        <v>49</v>
      </c>
      <c r="X58" s="2" t="n">
        <f aca="false">MIN(X57+1,W58+1,W57+IF($A58=X$4,0,1))</f>
        <v>49</v>
      </c>
      <c r="Y58" s="2" t="n">
        <f aca="false">MIN(Y57+1,X58+1,X57+IF($A58=Y$4,0,1))</f>
        <v>49</v>
      </c>
      <c r="Z58" s="2" t="n">
        <f aca="false">MIN(Z57+1,Y58+1,Y57+IF($A58=Z$4,0,1))</f>
        <v>49</v>
      </c>
      <c r="AA58" s="2" t="n">
        <f aca="false">MIN(AA57+1,Z58+1,Z57+IF($A58=AA$4,0,1))</f>
        <v>49</v>
      </c>
      <c r="AB58" s="2" t="n">
        <f aca="false">MIN(AB57+1,AA58+1,AA57+IF($A58=AB$4,0,1))</f>
        <v>49</v>
      </c>
      <c r="AC58" s="2" t="n">
        <f aca="false">MIN(AC57+1,AB58+1,AB57+IF($A58=AC$4,0,1))</f>
        <v>49</v>
      </c>
      <c r="AD58" s="2" t="n">
        <f aca="false">MIN(AD57+1,AC58+1,AC57+IF($A58=AD$4,0,1))</f>
        <v>49</v>
      </c>
      <c r="AE58" s="2" t="n">
        <f aca="false">MIN(AE57+1,AD58+1,AD57+IF($A58=AE$4,0,1))</f>
        <v>49</v>
      </c>
      <c r="AF58" s="2" t="n">
        <f aca="false">MIN(AF57+1,AE58+1,AE57+IF($A58=AF$4,0,1))</f>
        <v>49</v>
      </c>
      <c r="AG58" s="2" t="n">
        <f aca="false">MIN(AG57+1,AF58+1,AF57+IF($A58=AG$4,0,1))</f>
        <v>49</v>
      </c>
      <c r="AH58" s="2" t="n">
        <f aca="false">MIN(AH57+1,AG58+1,AG57+IF($A58=AH$4,0,1))</f>
        <v>49</v>
      </c>
      <c r="AI58" s="2" t="n">
        <f aca="false">MIN(AI57+1,AH58+1,AH57+IF($A58=AI$4,0,1))</f>
        <v>49</v>
      </c>
      <c r="AJ58" s="2" t="n">
        <f aca="false">MIN(AJ57+1,AI58+1,AI57+IF($A58=AJ$4,0,1))</f>
        <v>49</v>
      </c>
      <c r="AK58" s="2" t="n">
        <f aca="false">MIN(AK57+1,AJ58+1,AJ57+IF($A58=AK$4,0,1))</f>
        <v>49</v>
      </c>
      <c r="AL58" s="2" t="n">
        <f aca="false">MIN(AL57+1,AK58+1,AK57+IF($A58=AL$4,0,1))</f>
        <v>49</v>
      </c>
      <c r="AM58" s="2" t="n">
        <f aca="false">MIN(AM57+1,AL58+1,AL57+IF($A58=AM$4,0,1))</f>
        <v>49</v>
      </c>
      <c r="AN58" s="2" t="n">
        <f aca="false">MIN(AN57+1,AM58+1,AM57+IF($A58=AN$4,0,1))</f>
        <v>49</v>
      </c>
      <c r="AO58" s="2" t="n">
        <f aca="false">MIN(AO57+1,AN58+1,AN57+IF($A58=AO$4,0,1))</f>
        <v>49</v>
      </c>
      <c r="AP58" s="2" t="n">
        <f aca="false">MIN(AP57+1,AO58+1,AO57+IF($A58=AP$4,0,1))</f>
        <v>49</v>
      </c>
      <c r="AQ58" s="2" t="n">
        <f aca="false">MIN(AQ57+1,AP58+1,AP57+IF($A58=AQ$4,0,1))</f>
        <v>49</v>
      </c>
      <c r="AR58" s="2" t="n">
        <f aca="false">MIN(AR57+1,AQ58+1,AQ57+IF($A58=AR$4,0,1))</f>
        <v>49</v>
      </c>
      <c r="AS58" s="2" t="n">
        <f aca="false">MIN(AS57+1,AR58+1,AR57+IF($A58=AS$4,0,1))</f>
        <v>50</v>
      </c>
      <c r="AT58" s="2" t="n">
        <f aca="false">MIN(AT57+1,AS58+1,AS57+IF($A58=AT$4,0,1))</f>
        <v>50</v>
      </c>
      <c r="AU58" s="2" t="n">
        <f aca="false">MIN(AU57+1,AT58+1,AT57+IF($A58=AU$4,0,1))</f>
        <v>50</v>
      </c>
      <c r="AV58" s="2" t="n">
        <f aca="false">MIN(AV57+1,AU58+1,AU57+IF($A58=AV$4,0,1))</f>
        <v>50</v>
      </c>
      <c r="AW58" s="2" t="n">
        <f aca="false">MIN(AW57+1,AV58+1,AV57+IF($A58=AW$4,0,1))</f>
        <v>50</v>
      </c>
      <c r="AX58" s="2" t="n">
        <f aca="false">MIN(AX57+1,AW58+1,AW57+IF($A58=AX$4,0,1))</f>
        <v>50</v>
      </c>
      <c r="AY58" s="2" t="n">
        <f aca="false">MIN(AY57+1,AX58+1,AX57+IF($A58=AY$4,0,1))</f>
        <v>50</v>
      </c>
      <c r="AZ58" s="2" t="n">
        <f aca="false">MIN(AZ57+1,AY58+1,AY57+IF($A58=AZ$4,0,1))</f>
        <v>50</v>
      </c>
      <c r="BA58" s="2" t="n">
        <f aca="false">MIN(BA57+1,AZ58+1,AZ57+IF($A58=BA$4,0,1))</f>
        <v>50</v>
      </c>
      <c r="BB58" s="2" t="n">
        <f aca="false">MIN(BB57+1,BA58+1,BA57+IF($A58=BB$4,0,1))</f>
        <v>51</v>
      </c>
      <c r="BC58" s="2" t="n">
        <f aca="false">MIN(BC57+1,BB58+1,BB57+IF($A58=BC$4,0,1))</f>
        <v>51</v>
      </c>
      <c r="BD58" s="2" t="n">
        <f aca="false">MIN(BD57+1,BC58+1,BC57+IF($A58=BD$4,0,1))</f>
        <v>51</v>
      </c>
      <c r="BE58" s="2" t="n">
        <f aca="false">MIN(BE57+1,BD58+1,BD57+IF($A58=BE$4,0,1))</f>
        <v>51</v>
      </c>
      <c r="BF58" s="2" t="n">
        <f aca="false">MIN(BF57+1,BE58+1,BE57+IF($A58=BF$4,0,1))</f>
        <v>52</v>
      </c>
      <c r="BG58" s="2" t="n">
        <f aca="false">MIN(BG57+1,BF58+1,BF57+IF($A58=BG$4,0,1))</f>
        <v>53</v>
      </c>
      <c r="BH58" s="2" t="n">
        <f aca="false">MIN(BH57+1,BG58+1,BG57+IF($A58=BH$4,0,1))</f>
        <v>54</v>
      </c>
      <c r="BI58" s="2" t="n">
        <f aca="false">MIN(BI57+1,BH58+1,BH57+IF($A58=BI$4,0,1))</f>
        <v>55</v>
      </c>
      <c r="BJ58" s="2" t="n">
        <f aca="false">MIN(BJ57+1,BI58+1,BI57+IF($A58=BJ$4,0,1))</f>
        <v>56</v>
      </c>
      <c r="BK58" s="2" t="n">
        <f aca="false">MIN(BK57+1,BJ58+1,BJ57+IF($A58=BK$4,0,1))</f>
        <v>57</v>
      </c>
      <c r="BL58" s="2" t="n">
        <f aca="false">MIN(BL57+1,BK58+1,BK57+IF($A58=BL$4,0,1))</f>
        <v>58</v>
      </c>
      <c r="BM58" s="2" t="n">
        <f aca="false">MIN(BM57+1,BL58+1,BL57+IF($A58=BM$4,0,1))</f>
        <v>59</v>
      </c>
      <c r="BN58" s="2" t="n">
        <f aca="false">MIN(BN57+1,BM58+1,BM57+IF($A58=BN$4,0,1))</f>
        <v>60</v>
      </c>
      <c r="BO58" s="2" t="n">
        <f aca="false">MIN(BO57+1,BN58+1,BN57+IF($A58=BO$4,0,1))</f>
        <v>61</v>
      </c>
      <c r="BP58" s="2" t="n">
        <f aca="false">MIN(BP57+1,BO58+1,BO57+IF($A58=BP$4,0,1))</f>
        <v>62</v>
      </c>
      <c r="BQ58" s="2" t="n">
        <f aca="false">MIN(BQ57+1,BP58+1,BP57+IF($A58=BQ$4,0,1))</f>
        <v>63</v>
      </c>
      <c r="BR58" s="2" t="n">
        <f aca="false">MIN(BR57+1,BQ58+1,BQ57+IF($A58=BR$4,0,1))</f>
        <v>64</v>
      </c>
      <c r="BS58" s="2" t="n">
        <f aca="false">MIN(BS57+1,BR58+1,BR57+IF($A58=BS$4,0,1))</f>
        <v>65</v>
      </c>
      <c r="BT58" s="2" t="n">
        <f aca="false">MIN(BT57+1,BS58+1,BS57+IF($A58=BT$4,0,1))</f>
        <v>66</v>
      </c>
      <c r="BU58" s="2" t="n">
        <f aca="false">MIN(BU57+1,BT58+1,BT57+IF($A58=BU$4,0,1))</f>
        <v>66</v>
      </c>
      <c r="BV58" s="2" t="n">
        <f aca="false">MIN(BV57+1,BU58+1,BU57+IF($A58=BV$4,0,1))</f>
        <v>67</v>
      </c>
      <c r="BW58" s="2" t="n">
        <f aca="false">MIN(BW57+1,BV58+1,BV57+IF($A58=BW$4,0,1))</f>
        <v>68</v>
      </c>
      <c r="BX58" s="2" t="n">
        <f aca="false">MIN(BX57+1,BW58+1,BW57+IF($A58=BX$4,0,1))</f>
        <v>69</v>
      </c>
      <c r="BY58" s="2" t="n">
        <f aca="false">MIN(BY57+1,BX58+1,BX57+IF($A58=BY$4,0,1))</f>
        <v>70</v>
      </c>
      <c r="BZ58" s="2" t="n">
        <f aca="false">MIN(BZ57+1,BY58+1,BY57+IF($A58=BZ$4,0,1))</f>
        <v>71</v>
      </c>
      <c r="CA58" s="2" t="n">
        <f aca="false">MIN(CA57+1,BZ58+1,BZ57+IF($A58=CA$4,0,1))</f>
        <v>72</v>
      </c>
      <c r="CB58" s="2" t="n">
        <f aca="false">MIN(CB57+1,CA58+1,CA57+IF($A58=CB$4,0,1))</f>
        <v>73</v>
      </c>
      <c r="CC58" s="2" t="n">
        <f aca="false">MIN(CC57+1,CB58+1,CB57+IF($A58=CC$4,0,1))</f>
        <v>74</v>
      </c>
      <c r="CD58" s="2" t="n">
        <f aca="false">MIN(CD57+1,CC58+1,CC57+IF($A58=CD$4,0,1))</f>
        <v>75</v>
      </c>
      <c r="CE58" s="2" t="n">
        <f aca="false">MIN(CE57+1,CD58+1,CD57+IF($A58=CE$4,0,1))</f>
        <v>75</v>
      </c>
      <c r="CF58" s="2" t="n">
        <f aca="false">MIN(CF57+1,CE58+1,CE57+IF($A58=CF$4,0,1))</f>
        <v>76</v>
      </c>
      <c r="CG58" s="2" t="n">
        <f aca="false">MIN(CG57+1,CF58+1,CF57+IF($A58=CG$4,0,1))</f>
        <v>77</v>
      </c>
      <c r="CH58" s="2" t="n">
        <f aca="false">MIN(CH57+1,CG58+1,CG57+IF($A58=CH$4,0,1))</f>
        <v>78</v>
      </c>
      <c r="CI58" s="2" t="n">
        <f aca="false">MIN(CI57+1,CH58+1,CH57+IF($A58=CI$4,0,1))</f>
        <v>79</v>
      </c>
      <c r="CJ58" s="2" t="n">
        <f aca="false">MIN(CJ57+1,CI58+1,CI57+IF($A58=CJ$4,0,1))</f>
        <v>80</v>
      </c>
      <c r="CK58" s="2" t="n">
        <f aca="false">MIN(CK57+1,CJ58+1,CJ57+IF($A58=CK$4,0,1))</f>
        <v>81</v>
      </c>
      <c r="CL58" s="2" t="n">
        <f aca="false">MIN(CL57+1,CK58+1,CK57+IF($A58=CL$4,0,1))</f>
        <v>82</v>
      </c>
      <c r="CM58" s="2" t="n">
        <f aca="false">MIN(CM57+1,CL58+1,CL57+IF($A58=CM$4,0,1))</f>
        <v>83</v>
      </c>
      <c r="CN58" s="2" t="n">
        <f aca="false">MIN(CN57+1,CM58+1,CM57+IF($A58=CN$4,0,1))</f>
        <v>84</v>
      </c>
      <c r="CO58" s="2" t="n">
        <f aca="false">MIN(CO57+1,CN58+1,CN57+IF($A58=CO$4,0,1))</f>
        <v>85</v>
      </c>
      <c r="CP58" s="2" t="n">
        <f aca="false">MIN(CP57+1,CO58+1,CO57+IF($A58=CP$4,0,1))</f>
        <v>86</v>
      </c>
      <c r="CQ58" s="2" t="n">
        <f aca="false">MIN(CQ57+1,CP58+1,CP57+IF($A58=CQ$4,0,1))</f>
        <v>87</v>
      </c>
    </row>
    <row r="59" customFormat="false" ht="15" hidden="false" customHeight="false" outlineLevel="0" collapsed="false">
      <c r="A59" s="4" t="s">
        <v>99</v>
      </c>
      <c r="B59" s="12" t="n">
        <v>54</v>
      </c>
      <c r="C59" s="2" t="n">
        <f aca="false">MIN(C58+1,B59+1,B58+IF($A59=C$4,0,1))</f>
        <v>54</v>
      </c>
      <c r="D59" s="2" t="n">
        <f aca="false">MIN(D58+1,C59+1,C58+IF($A59=D$4,0,1))</f>
        <v>53</v>
      </c>
      <c r="E59" s="2" t="n">
        <f aca="false">MIN(E58+1,D59+1,D58+IF($A59=E$4,0,1))</f>
        <v>52</v>
      </c>
      <c r="F59" s="2" t="n">
        <f aca="false">MIN(F58+1,E59+1,E58+IF($A59=F$4,0,1))</f>
        <v>51</v>
      </c>
      <c r="G59" s="2" t="n">
        <f aca="false">MIN(G58+1,F59+1,F58+IF($A59=G$4,0,1))</f>
        <v>51</v>
      </c>
      <c r="H59" s="2" t="n">
        <f aca="false">MIN(H58+1,G59+1,G58+IF($A59=H$4,0,1))</f>
        <v>51</v>
      </c>
      <c r="I59" s="2" t="n">
        <f aca="false">MIN(I58+1,H59+1,H58+IF($A59=I$4,0,1))</f>
        <v>51</v>
      </c>
      <c r="J59" s="2" t="n">
        <f aca="false">MIN(J58+1,I59+1,I58+IF($A59=J$4,0,1))</f>
        <v>51</v>
      </c>
      <c r="K59" s="2" t="n">
        <f aca="false">MIN(K58+1,J59+1,J58+IF($A59=K$4,0,1))</f>
        <v>51</v>
      </c>
      <c r="L59" s="2" t="n">
        <f aca="false">MIN(L58+1,K59+1,K58+IF($A59=L$4,0,1))</f>
        <v>51</v>
      </c>
      <c r="M59" s="2" t="n">
        <f aca="false">MIN(M58+1,L59+1,L58+IF($A59=M$4,0,1))</f>
        <v>51</v>
      </c>
      <c r="N59" s="2" t="n">
        <f aca="false">MIN(N58+1,M59+1,M58+IF($A59=N$4,0,1))</f>
        <v>50</v>
      </c>
      <c r="O59" s="2" t="n">
        <f aca="false">MIN(O58+1,N59+1,N58+IF($A59=O$4,0,1))</f>
        <v>50</v>
      </c>
      <c r="P59" s="2" t="n">
        <f aca="false">MIN(P58+1,O59+1,O58+IF($A59=P$4,0,1))</f>
        <v>50</v>
      </c>
      <c r="Q59" s="2" t="n">
        <f aca="false">MIN(Q58+1,P59+1,P58+IF($A59=Q$4,0,1))</f>
        <v>50</v>
      </c>
      <c r="R59" s="2" t="n">
        <f aca="false">MIN(R58+1,Q59+1,Q58+IF($A59=R$4,0,1))</f>
        <v>50</v>
      </c>
      <c r="S59" s="2" t="n">
        <f aca="false">MIN(S58+1,R59+1,R58+IF($A59=S$4,0,1))</f>
        <v>50</v>
      </c>
      <c r="T59" s="2" t="n">
        <f aca="false">MIN(T58+1,S59+1,S58+IF($A59=T$4,0,1))</f>
        <v>50</v>
      </c>
      <c r="U59" s="2" t="n">
        <f aca="false">MIN(U58+1,T59+1,T58+IF($A59=U$4,0,1))</f>
        <v>50</v>
      </c>
      <c r="V59" s="2" t="n">
        <f aca="false">MIN(V58+1,U59+1,U58+IF($A59=V$4,0,1))</f>
        <v>50</v>
      </c>
      <c r="W59" s="2" t="n">
        <f aca="false">MIN(W58+1,V59+1,V58+IF($A59=W$4,0,1))</f>
        <v>49</v>
      </c>
      <c r="X59" s="2" t="n">
        <f aca="false">MIN(X58+1,W59+1,W58+IF($A59=X$4,0,1))</f>
        <v>50</v>
      </c>
      <c r="Y59" s="2" t="n">
        <f aca="false">MIN(Y58+1,X59+1,X58+IF($A59=Y$4,0,1))</f>
        <v>50</v>
      </c>
      <c r="Z59" s="2" t="n">
        <f aca="false">MIN(Z58+1,Y59+1,Y58+IF($A59=Z$4,0,1))</f>
        <v>50</v>
      </c>
      <c r="AA59" s="2" t="n">
        <f aca="false">MIN(AA58+1,Z59+1,Z58+IF($A59=AA$4,0,1))</f>
        <v>50</v>
      </c>
      <c r="AB59" s="2" t="n">
        <f aca="false">MIN(AB58+1,AA59+1,AA58+IF($A59=AB$4,0,1))</f>
        <v>50</v>
      </c>
      <c r="AC59" s="2" t="n">
        <f aca="false">MIN(AC58+1,AB59+1,AB58+IF($A59=AC$4,0,1))</f>
        <v>50</v>
      </c>
      <c r="AD59" s="2" t="n">
        <f aca="false">MIN(AD58+1,AC59+1,AC58+IF($A59=AD$4,0,1))</f>
        <v>50</v>
      </c>
      <c r="AE59" s="2" t="n">
        <f aca="false">MIN(AE58+1,AD59+1,AD58+IF($A59=AE$4,0,1))</f>
        <v>50</v>
      </c>
      <c r="AF59" s="2" t="n">
        <f aca="false">MIN(AF58+1,AE59+1,AE58+IF($A59=AF$4,0,1))</f>
        <v>50</v>
      </c>
      <c r="AG59" s="2" t="n">
        <f aca="false">MIN(AG58+1,AF59+1,AF58+IF($A59=AG$4,0,1))</f>
        <v>50</v>
      </c>
      <c r="AH59" s="2" t="n">
        <f aca="false">MIN(AH58+1,AG59+1,AG58+IF($A59=AH$4,0,1))</f>
        <v>50</v>
      </c>
      <c r="AI59" s="2" t="n">
        <f aca="false">MIN(AI58+1,AH59+1,AH58+IF($A59=AI$4,0,1))</f>
        <v>50</v>
      </c>
      <c r="AJ59" s="2" t="n">
        <f aca="false">MIN(AJ58+1,AI59+1,AI58+IF($A59=AJ$4,0,1))</f>
        <v>50</v>
      </c>
      <c r="AK59" s="2" t="n">
        <f aca="false">MIN(AK58+1,AJ59+1,AJ58+IF($A59=AK$4,0,1))</f>
        <v>50</v>
      </c>
      <c r="AL59" s="2" t="n">
        <f aca="false">MIN(AL58+1,AK59+1,AK58+IF($A59=AL$4,0,1))</f>
        <v>50</v>
      </c>
      <c r="AM59" s="2" t="n">
        <f aca="false">MIN(AM58+1,AL59+1,AL58+IF($A59=AM$4,0,1))</f>
        <v>50</v>
      </c>
      <c r="AN59" s="2" t="n">
        <f aca="false">MIN(AN58+1,AM59+1,AM58+IF($A59=AN$4,0,1))</f>
        <v>50</v>
      </c>
      <c r="AO59" s="2" t="n">
        <f aca="false">MIN(AO58+1,AN59+1,AN58+IF($A59=AO$4,0,1))</f>
        <v>50</v>
      </c>
      <c r="AP59" s="2" t="n">
        <f aca="false">MIN(AP58+1,AO59+1,AO58+IF($A59=AP$4,0,1))</f>
        <v>50</v>
      </c>
      <c r="AQ59" s="2" t="n">
        <f aca="false">MIN(AQ58+1,AP59+1,AP58+IF($A59=AQ$4,0,1))</f>
        <v>50</v>
      </c>
      <c r="AR59" s="2" t="n">
        <f aca="false">MIN(AR58+1,AQ59+1,AQ58+IF($A59=AR$4,0,1))</f>
        <v>50</v>
      </c>
      <c r="AS59" s="2" t="n">
        <f aca="false">MIN(AS58+1,AR59+1,AR58+IF($A59=AS$4,0,1))</f>
        <v>50</v>
      </c>
      <c r="AT59" s="2" t="n">
        <f aca="false">MIN(AT58+1,AS59+1,AS58+IF($A59=AT$4,0,1))</f>
        <v>51</v>
      </c>
      <c r="AU59" s="2" t="n">
        <f aca="false">MIN(AU58+1,AT59+1,AT58+IF($A59=AU$4,0,1))</f>
        <v>51</v>
      </c>
      <c r="AV59" s="2" t="n">
        <f aca="false">MIN(AV58+1,AU59+1,AU58+IF($A59=AV$4,0,1))</f>
        <v>51</v>
      </c>
      <c r="AW59" s="2" t="n">
        <f aca="false">MIN(AW58+1,AV59+1,AV58+IF($A59=AW$4,0,1))</f>
        <v>51</v>
      </c>
      <c r="AX59" s="2" t="n">
        <f aca="false">MIN(AX58+1,AW59+1,AW58+IF($A59=AX$4,0,1))</f>
        <v>51</v>
      </c>
      <c r="AY59" s="2" t="n">
        <f aca="false">MIN(AY58+1,AX59+1,AX58+IF($A59=AY$4,0,1))</f>
        <v>51</v>
      </c>
      <c r="AZ59" s="2" t="n">
        <f aca="false">MIN(AZ58+1,AY59+1,AY58+IF($A59=AZ$4,0,1))</f>
        <v>51</v>
      </c>
      <c r="BA59" s="2" t="n">
        <f aca="false">MIN(BA58+1,AZ59+1,AZ58+IF($A59=BA$4,0,1))</f>
        <v>51</v>
      </c>
      <c r="BB59" s="2" t="n">
        <f aca="false">MIN(BB58+1,BA59+1,BA58+IF($A59=BB$4,0,1))</f>
        <v>51</v>
      </c>
      <c r="BC59" s="2" t="n">
        <f aca="false">MIN(BC58+1,BB59+1,BB58+IF($A59=BC$4,0,1))</f>
        <v>52</v>
      </c>
      <c r="BD59" s="2" t="n">
        <f aca="false">MIN(BD58+1,BC59+1,BC58+IF($A59=BD$4,0,1))</f>
        <v>52</v>
      </c>
      <c r="BE59" s="2" t="n">
        <f aca="false">MIN(BE58+1,BD59+1,BD58+IF($A59=BE$4,0,1))</f>
        <v>52</v>
      </c>
      <c r="BF59" s="2" t="n">
        <f aca="false">MIN(BF58+1,BE59+1,BE58+IF($A59=BF$4,0,1))</f>
        <v>52</v>
      </c>
      <c r="BG59" s="2" t="n">
        <f aca="false">MIN(BG58+1,BF59+1,BF58+IF($A59=BG$4,0,1))</f>
        <v>53</v>
      </c>
      <c r="BH59" s="2" t="n">
        <f aca="false">MIN(BH58+1,BG59+1,BG58+IF($A59=BH$4,0,1))</f>
        <v>54</v>
      </c>
      <c r="BI59" s="2" t="n">
        <f aca="false">MIN(BI58+1,BH59+1,BH58+IF($A59=BI$4,0,1))</f>
        <v>55</v>
      </c>
      <c r="BJ59" s="2" t="n">
        <f aca="false">MIN(BJ58+1,BI59+1,BI58+IF($A59=BJ$4,0,1))</f>
        <v>56</v>
      </c>
      <c r="BK59" s="2" t="n">
        <f aca="false">MIN(BK58+1,BJ59+1,BJ58+IF($A59=BK$4,0,1))</f>
        <v>57</v>
      </c>
      <c r="BL59" s="2" t="n">
        <f aca="false">MIN(BL58+1,BK59+1,BK58+IF($A59=BL$4,0,1))</f>
        <v>58</v>
      </c>
      <c r="BM59" s="2" t="n">
        <f aca="false">MIN(BM58+1,BL59+1,BL58+IF($A59=BM$4,0,1))</f>
        <v>59</v>
      </c>
      <c r="BN59" s="2" t="n">
        <f aca="false">MIN(BN58+1,BM59+1,BM58+IF($A59=BN$4,0,1))</f>
        <v>60</v>
      </c>
      <c r="BO59" s="2" t="n">
        <f aca="false">MIN(BO58+1,BN59+1,BN58+IF($A59=BO$4,0,1))</f>
        <v>61</v>
      </c>
      <c r="BP59" s="2" t="n">
        <f aca="false">MIN(BP58+1,BO59+1,BO58+IF($A59=BP$4,0,1))</f>
        <v>62</v>
      </c>
      <c r="BQ59" s="2" t="n">
        <f aca="false">MIN(BQ58+1,BP59+1,BP58+IF($A59=BQ$4,0,1))</f>
        <v>63</v>
      </c>
      <c r="BR59" s="2" t="n">
        <f aca="false">MIN(BR58+1,BQ59+1,BQ58+IF($A59=BR$4,0,1))</f>
        <v>64</v>
      </c>
      <c r="BS59" s="2" t="n">
        <f aca="false">MIN(BS58+1,BR59+1,BR58+IF($A59=BS$4,0,1))</f>
        <v>65</v>
      </c>
      <c r="BT59" s="2" t="n">
        <f aca="false">MIN(BT58+1,BS59+1,BS58+IF($A59=BT$4,0,1))</f>
        <v>66</v>
      </c>
      <c r="BU59" s="2" t="n">
        <f aca="false">MIN(BU58+1,BT59+1,BT58+IF($A59=BU$4,0,1))</f>
        <v>67</v>
      </c>
      <c r="BV59" s="2" t="n">
        <f aca="false">MIN(BV58+1,BU59+1,BU58+IF($A59=BV$4,0,1))</f>
        <v>67</v>
      </c>
      <c r="BW59" s="2" t="n">
        <f aca="false">MIN(BW58+1,BV59+1,BV58+IF($A59=BW$4,0,1))</f>
        <v>68</v>
      </c>
      <c r="BX59" s="2" t="n">
        <f aca="false">MIN(BX58+1,BW59+1,BW58+IF($A59=BX$4,0,1))</f>
        <v>69</v>
      </c>
      <c r="BY59" s="2" t="n">
        <f aca="false">MIN(BY58+1,BX59+1,BX58+IF($A59=BY$4,0,1))</f>
        <v>70</v>
      </c>
      <c r="BZ59" s="2" t="n">
        <f aca="false">MIN(BZ58+1,BY59+1,BY58+IF($A59=BZ$4,0,1))</f>
        <v>71</v>
      </c>
      <c r="CA59" s="2" t="n">
        <f aca="false">MIN(CA58+1,BZ59+1,BZ58+IF($A59=CA$4,0,1))</f>
        <v>72</v>
      </c>
      <c r="CB59" s="2" t="n">
        <f aca="false">MIN(CB58+1,CA59+1,CA58+IF($A59=CB$4,0,1))</f>
        <v>73</v>
      </c>
      <c r="CC59" s="2" t="n">
        <f aca="false">MIN(CC58+1,CB59+1,CB58+IF($A59=CC$4,0,1))</f>
        <v>74</v>
      </c>
      <c r="CD59" s="2" t="n">
        <f aca="false">MIN(CD58+1,CC59+1,CC58+IF($A59=CD$4,0,1))</f>
        <v>75</v>
      </c>
      <c r="CE59" s="2" t="n">
        <f aca="false">MIN(CE58+1,CD59+1,CD58+IF($A59=CE$4,0,1))</f>
        <v>76</v>
      </c>
      <c r="CF59" s="2" t="n">
        <f aca="false">MIN(CF58+1,CE59+1,CE58+IF($A59=CF$4,0,1))</f>
        <v>76</v>
      </c>
      <c r="CG59" s="2" t="n">
        <f aca="false">MIN(CG58+1,CF59+1,CF58+IF($A59=CG$4,0,1))</f>
        <v>77</v>
      </c>
      <c r="CH59" s="2" t="n">
        <f aca="false">MIN(CH58+1,CG59+1,CG58+IF($A59=CH$4,0,1))</f>
        <v>78</v>
      </c>
      <c r="CI59" s="2" t="n">
        <f aca="false">MIN(CI58+1,CH59+1,CH58+IF($A59=CI$4,0,1))</f>
        <v>79</v>
      </c>
      <c r="CJ59" s="2" t="n">
        <f aca="false">MIN(CJ58+1,CI59+1,CI58+IF($A59=CJ$4,0,1))</f>
        <v>80</v>
      </c>
      <c r="CK59" s="2" t="n">
        <f aca="false">MIN(CK58+1,CJ59+1,CJ58+IF($A59=CK$4,0,1))</f>
        <v>81</v>
      </c>
      <c r="CL59" s="2" t="n">
        <f aca="false">MIN(CL58+1,CK59+1,CK58+IF($A59=CL$4,0,1))</f>
        <v>82</v>
      </c>
      <c r="CM59" s="2" t="n">
        <f aca="false">MIN(CM58+1,CL59+1,CL58+IF($A59=CM$4,0,1))</f>
        <v>83</v>
      </c>
      <c r="CN59" s="2" t="n">
        <f aca="false">MIN(CN58+1,CM59+1,CM58+IF($A59=CN$4,0,1))</f>
        <v>84</v>
      </c>
      <c r="CO59" s="2" t="n">
        <f aca="false">MIN(CO58+1,CN59+1,CN58+IF($A59=CO$4,0,1))</f>
        <v>85</v>
      </c>
      <c r="CP59" s="2" t="n">
        <f aca="false">MIN(CP58+1,CO59+1,CO58+IF($A59=CP$4,0,1))</f>
        <v>86</v>
      </c>
      <c r="CQ59" s="2" t="n">
        <f aca="false">MIN(CQ58+1,CP59+1,CP58+IF($A59=CQ$4,0,1))</f>
        <v>87</v>
      </c>
    </row>
    <row r="60" customFormat="false" ht="15" hidden="false" customHeight="false" outlineLevel="0" collapsed="false">
      <c r="A60" s="4" t="s">
        <v>179</v>
      </c>
      <c r="B60" s="12" t="n">
        <v>55</v>
      </c>
      <c r="C60" s="2" t="n">
        <f aca="false">MIN(C59+1,B60+1,B59+IF($A60=C$4,0,1))</f>
        <v>55</v>
      </c>
      <c r="D60" s="2" t="n">
        <f aca="false">MIN(D59+1,C60+1,C59+IF($A60=D$4,0,1))</f>
        <v>54</v>
      </c>
      <c r="E60" s="2" t="n">
        <f aca="false">MIN(E59+1,D60+1,D59+IF($A60=E$4,0,1))</f>
        <v>53</v>
      </c>
      <c r="F60" s="2" t="n">
        <f aca="false">MIN(F59+1,E60+1,E59+IF($A60=F$4,0,1))</f>
        <v>52</v>
      </c>
      <c r="G60" s="2" t="n">
        <f aca="false">MIN(G59+1,F60+1,F59+IF($A60=G$4,0,1))</f>
        <v>52</v>
      </c>
      <c r="H60" s="2" t="n">
        <f aca="false">MIN(H59+1,G60+1,G59+IF($A60=H$4,0,1))</f>
        <v>52</v>
      </c>
      <c r="I60" s="2" t="n">
        <f aca="false">MIN(I59+1,H60+1,H59+IF($A60=I$4,0,1))</f>
        <v>52</v>
      </c>
      <c r="J60" s="2" t="n">
        <f aca="false">MIN(J59+1,I60+1,I59+IF($A60=J$4,0,1))</f>
        <v>52</v>
      </c>
      <c r="K60" s="2" t="n">
        <f aca="false">MIN(K59+1,J60+1,J59+IF($A60=K$4,0,1))</f>
        <v>52</v>
      </c>
      <c r="L60" s="2" t="n">
        <f aca="false">MIN(L59+1,K60+1,K59+IF($A60=L$4,0,1))</f>
        <v>52</v>
      </c>
      <c r="M60" s="2" t="n">
        <f aca="false">MIN(M59+1,L60+1,L59+IF($A60=M$4,0,1))</f>
        <v>52</v>
      </c>
      <c r="N60" s="2" t="n">
        <f aca="false">MIN(N59+1,M60+1,M59+IF($A60=N$4,0,1))</f>
        <v>51</v>
      </c>
      <c r="O60" s="2" t="n">
        <f aca="false">MIN(O59+1,N60+1,N59+IF($A60=O$4,0,1))</f>
        <v>51</v>
      </c>
      <c r="P60" s="2" t="n">
        <f aca="false">MIN(P59+1,O60+1,O59+IF($A60=P$4,0,1))</f>
        <v>51</v>
      </c>
      <c r="Q60" s="2" t="n">
        <f aca="false">MIN(Q59+1,P60+1,P59+IF($A60=Q$4,0,1))</f>
        <v>51</v>
      </c>
      <c r="R60" s="2" t="n">
        <f aca="false">MIN(R59+1,Q60+1,Q59+IF($A60=R$4,0,1))</f>
        <v>51</v>
      </c>
      <c r="S60" s="2" t="n">
        <f aca="false">MIN(S59+1,R60+1,R59+IF($A60=S$4,0,1))</f>
        <v>51</v>
      </c>
      <c r="T60" s="2" t="n">
        <f aca="false">MIN(T59+1,S60+1,S59+IF($A60=T$4,0,1))</f>
        <v>51</v>
      </c>
      <c r="U60" s="2" t="n">
        <f aca="false">MIN(U59+1,T60+1,T59+IF($A60=U$4,0,1))</f>
        <v>51</v>
      </c>
      <c r="V60" s="2" t="n">
        <f aca="false">MIN(V59+1,U60+1,U59+IF($A60=V$4,0,1))</f>
        <v>51</v>
      </c>
      <c r="W60" s="2" t="n">
        <f aca="false">MIN(W59+1,V60+1,V59+IF($A60=W$4,0,1))</f>
        <v>50</v>
      </c>
      <c r="X60" s="2" t="n">
        <f aca="false">MIN(X59+1,W60+1,W59+IF($A60=X$4,0,1))</f>
        <v>50</v>
      </c>
      <c r="Y60" s="2" t="n">
        <f aca="false">MIN(Y59+1,X60+1,X59+IF($A60=Y$4,0,1))</f>
        <v>51</v>
      </c>
      <c r="Z60" s="2" t="n">
        <f aca="false">MIN(Z59+1,Y60+1,Y59+IF($A60=Z$4,0,1))</f>
        <v>51</v>
      </c>
      <c r="AA60" s="2" t="n">
        <f aca="false">MIN(AA59+1,Z60+1,Z59+IF($A60=AA$4,0,1))</f>
        <v>51</v>
      </c>
      <c r="AB60" s="2" t="n">
        <f aca="false">MIN(AB59+1,AA60+1,AA59+IF($A60=AB$4,0,1))</f>
        <v>51</v>
      </c>
      <c r="AC60" s="2" t="n">
        <f aca="false">MIN(AC59+1,AB60+1,AB59+IF($A60=AC$4,0,1))</f>
        <v>51</v>
      </c>
      <c r="AD60" s="2" t="n">
        <f aca="false">MIN(AD59+1,AC60+1,AC59+IF($A60=AD$4,0,1))</f>
        <v>51</v>
      </c>
      <c r="AE60" s="2" t="n">
        <f aca="false">MIN(AE59+1,AD60+1,AD59+IF($A60=AE$4,0,1))</f>
        <v>51</v>
      </c>
      <c r="AF60" s="2" t="n">
        <f aca="false">MIN(AF59+1,AE60+1,AE59+IF($A60=AF$4,0,1))</f>
        <v>51</v>
      </c>
      <c r="AG60" s="2" t="n">
        <f aca="false">MIN(AG59+1,AF60+1,AF59+IF($A60=AG$4,0,1))</f>
        <v>51</v>
      </c>
      <c r="AH60" s="2" t="n">
        <f aca="false">MIN(AH59+1,AG60+1,AG59+IF($A60=AH$4,0,1))</f>
        <v>51</v>
      </c>
      <c r="AI60" s="2" t="n">
        <f aca="false">MIN(AI59+1,AH60+1,AH59+IF($A60=AI$4,0,1))</f>
        <v>51</v>
      </c>
      <c r="AJ60" s="2" t="n">
        <f aca="false">MIN(AJ59+1,AI60+1,AI59+IF($A60=AJ$4,0,1))</f>
        <v>51</v>
      </c>
      <c r="AK60" s="2" t="n">
        <f aca="false">MIN(AK59+1,AJ60+1,AJ59+IF($A60=AK$4,0,1))</f>
        <v>51</v>
      </c>
      <c r="AL60" s="2" t="n">
        <f aca="false">MIN(AL59+1,AK60+1,AK59+IF($A60=AL$4,0,1))</f>
        <v>51</v>
      </c>
      <c r="AM60" s="2" t="n">
        <f aca="false">MIN(AM59+1,AL60+1,AL59+IF($A60=AM$4,0,1))</f>
        <v>51</v>
      </c>
      <c r="AN60" s="2" t="n">
        <f aca="false">MIN(AN59+1,AM60+1,AM59+IF($A60=AN$4,0,1))</f>
        <v>51</v>
      </c>
      <c r="AO60" s="2" t="n">
        <f aca="false">MIN(AO59+1,AN60+1,AN59+IF($A60=AO$4,0,1))</f>
        <v>51</v>
      </c>
      <c r="AP60" s="2" t="n">
        <f aca="false">MIN(AP59+1,AO60+1,AO59+IF($A60=AP$4,0,1))</f>
        <v>51</v>
      </c>
      <c r="AQ60" s="2" t="n">
        <f aca="false">MIN(AQ59+1,AP60+1,AP59+IF($A60=AQ$4,0,1))</f>
        <v>51</v>
      </c>
      <c r="AR60" s="2" t="n">
        <f aca="false">MIN(AR59+1,AQ60+1,AQ59+IF($A60=AR$4,0,1))</f>
        <v>51</v>
      </c>
      <c r="AS60" s="2" t="n">
        <f aca="false">MIN(AS59+1,AR60+1,AR59+IF($A60=AS$4,0,1))</f>
        <v>51</v>
      </c>
      <c r="AT60" s="2" t="n">
        <f aca="false">MIN(AT59+1,AS60+1,AS59+IF($A60=AT$4,0,1))</f>
        <v>51</v>
      </c>
      <c r="AU60" s="2" t="n">
        <f aca="false">MIN(AU59+1,AT60+1,AT59+IF($A60=AU$4,0,1))</f>
        <v>52</v>
      </c>
      <c r="AV60" s="2" t="n">
        <f aca="false">MIN(AV59+1,AU60+1,AU59+IF($A60=AV$4,0,1))</f>
        <v>52</v>
      </c>
      <c r="AW60" s="2" t="n">
        <f aca="false">MIN(AW59+1,AV60+1,AV59+IF($A60=AW$4,0,1))</f>
        <v>52</v>
      </c>
      <c r="AX60" s="2" t="n">
        <f aca="false">MIN(AX59+1,AW60+1,AW59+IF($A60=AX$4,0,1))</f>
        <v>52</v>
      </c>
      <c r="AY60" s="2" t="n">
        <f aca="false">MIN(AY59+1,AX60+1,AX59+IF($A60=AY$4,0,1))</f>
        <v>52</v>
      </c>
      <c r="AZ60" s="2" t="n">
        <f aca="false">MIN(AZ59+1,AY60+1,AY59+IF($A60=AZ$4,0,1))</f>
        <v>52</v>
      </c>
      <c r="BA60" s="2" t="n">
        <f aca="false">MIN(BA59+1,AZ60+1,AZ59+IF($A60=BA$4,0,1))</f>
        <v>52</v>
      </c>
      <c r="BB60" s="2" t="n">
        <f aca="false">MIN(BB59+1,BA60+1,BA59+IF($A60=BB$4,0,1))</f>
        <v>52</v>
      </c>
      <c r="BC60" s="2" t="n">
        <f aca="false">MIN(BC59+1,BB60+1,BB59+IF($A60=BC$4,0,1))</f>
        <v>52</v>
      </c>
      <c r="BD60" s="2" t="n">
        <f aca="false">MIN(BD59+1,BC60+1,BC59+IF($A60=BD$4,0,1))</f>
        <v>53</v>
      </c>
      <c r="BE60" s="2" t="n">
        <f aca="false">MIN(BE59+1,BD60+1,BD59+IF($A60=BE$4,0,1))</f>
        <v>53</v>
      </c>
      <c r="BF60" s="2" t="n">
        <f aca="false">MIN(BF59+1,BE60+1,BE59+IF($A60=BF$4,0,1))</f>
        <v>53</v>
      </c>
      <c r="BG60" s="2" t="n">
        <f aca="false">MIN(BG59+1,BF60+1,BF59+IF($A60=BG$4,0,1))</f>
        <v>53</v>
      </c>
      <c r="BH60" s="2" t="n">
        <f aca="false">MIN(BH59+1,BG60+1,BG59+IF($A60=BH$4,0,1))</f>
        <v>54</v>
      </c>
      <c r="BI60" s="2" t="n">
        <f aca="false">MIN(BI59+1,BH60+1,BH59+IF($A60=BI$4,0,1))</f>
        <v>55</v>
      </c>
      <c r="BJ60" s="2" t="n">
        <f aca="false">MIN(BJ59+1,BI60+1,BI59+IF($A60=BJ$4,0,1))</f>
        <v>56</v>
      </c>
      <c r="BK60" s="2" t="n">
        <f aca="false">MIN(BK59+1,BJ60+1,BJ59+IF($A60=BK$4,0,1))</f>
        <v>57</v>
      </c>
      <c r="BL60" s="2" t="n">
        <f aca="false">MIN(BL59+1,BK60+1,BK59+IF($A60=BL$4,0,1))</f>
        <v>58</v>
      </c>
      <c r="BM60" s="2" t="n">
        <f aca="false">MIN(BM59+1,BL60+1,BL59+IF($A60=BM$4,0,1))</f>
        <v>59</v>
      </c>
      <c r="BN60" s="2" t="n">
        <f aca="false">MIN(BN59+1,BM60+1,BM59+IF($A60=BN$4,0,1))</f>
        <v>60</v>
      </c>
      <c r="BO60" s="2" t="n">
        <f aca="false">MIN(BO59+1,BN60+1,BN59+IF($A60=BO$4,0,1))</f>
        <v>61</v>
      </c>
      <c r="BP60" s="2" t="n">
        <f aca="false">MIN(BP59+1,BO60+1,BO59+IF($A60=BP$4,0,1))</f>
        <v>62</v>
      </c>
      <c r="BQ60" s="2" t="n">
        <f aca="false">MIN(BQ59+1,BP60+1,BP59+IF($A60=BQ$4,0,1))</f>
        <v>63</v>
      </c>
      <c r="BR60" s="2" t="n">
        <f aca="false">MIN(BR59+1,BQ60+1,BQ59+IF($A60=BR$4,0,1))</f>
        <v>64</v>
      </c>
      <c r="BS60" s="2" t="n">
        <f aca="false">MIN(BS59+1,BR60+1,BR59+IF($A60=BS$4,0,1))</f>
        <v>65</v>
      </c>
      <c r="BT60" s="2" t="n">
        <f aca="false">MIN(BT59+1,BS60+1,BS59+IF($A60=BT$4,0,1))</f>
        <v>66</v>
      </c>
      <c r="BU60" s="2" t="n">
        <f aca="false">MIN(BU59+1,BT60+1,BT59+IF($A60=BU$4,0,1))</f>
        <v>67</v>
      </c>
      <c r="BV60" s="2" t="n">
        <f aca="false">MIN(BV59+1,BU60+1,BU59+IF($A60=BV$4,0,1))</f>
        <v>68</v>
      </c>
      <c r="BW60" s="2" t="n">
        <f aca="false">MIN(BW59+1,BV60+1,BV59+IF($A60=BW$4,0,1))</f>
        <v>68</v>
      </c>
      <c r="BX60" s="2" t="n">
        <f aca="false">MIN(BX59+1,BW60+1,BW59+IF($A60=BX$4,0,1))</f>
        <v>69</v>
      </c>
      <c r="BY60" s="2" t="n">
        <f aca="false">MIN(BY59+1,BX60+1,BX59+IF($A60=BY$4,0,1))</f>
        <v>70</v>
      </c>
      <c r="BZ60" s="2" t="n">
        <f aca="false">MIN(BZ59+1,BY60+1,BY59+IF($A60=BZ$4,0,1))</f>
        <v>71</v>
      </c>
      <c r="CA60" s="2" t="n">
        <f aca="false">MIN(CA59+1,BZ60+1,BZ59+IF($A60=CA$4,0,1))</f>
        <v>72</v>
      </c>
      <c r="CB60" s="2" t="n">
        <f aca="false">MIN(CB59+1,CA60+1,CA59+IF($A60=CB$4,0,1))</f>
        <v>73</v>
      </c>
      <c r="CC60" s="2" t="n">
        <f aca="false">MIN(CC59+1,CB60+1,CB59+IF($A60=CC$4,0,1))</f>
        <v>74</v>
      </c>
      <c r="CD60" s="2" t="n">
        <f aca="false">MIN(CD59+1,CC60+1,CC59+IF($A60=CD$4,0,1))</f>
        <v>75</v>
      </c>
      <c r="CE60" s="2" t="n">
        <f aca="false">MIN(CE59+1,CD60+1,CD59+IF($A60=CE$4,0,1))</f>
        <v>76</v>
      </c>
      <c r="CF60" s="2" t="n">
        <f aca="false">MIN(CF59+1,CE60+1,CE59+IF($A60=CF$4,0,1))</f>
        <v>77</v>
      </c>
      <c r="CG60" s="2" t="n">
        <f aca="false">MIN(CG59+1,CF60+1,CF59+IF($A60=CG$4,0,1))</f>
        <v>77</v>
      </c>
      <c r="CH60" s="2" t="n">
        <f aca="false">MIN(CH59+1,CG60+1,CG59+IF($A60=CH$4,0,1))</f>
        <v>78</v>
      </c>
      <c r="CI60" s="2" t="n">
        <f aca="false">MIN(CI59+1,CH60+1,CH59+IF($A60=CI$4,0,1))</f>
        <v>79</v>
      </c>
      <c r="CJ60" s="2" t="n">
        <f aca="false">MIN(CJ59+1,CI60+1,CI59+IF($A60=CJ$4,0,1))</f>
        <v>80</v>
      </c>
      <c r="CK60" s="2" t="n">
        <f aca="false">MIN(CK59+1,CJ60+1,CJ59+IF($A60=CK$4,0,1))</f>
        <v>81</v>
      </c>
      <c r="CL60" s="2" t="n">
        <f aca="false">MIN(CL59+1,CK60+1,CK59+IF($A60=CL$4,0,1))</f>
        <v>82</v>
      </c>
      <c r="CM60" s="2" t="n">
        <f aca="false">MIN(CM59+1,CL60+1,CL59+IF($A60=CM$4,0,1))</f>
        <v>83</v>
      </c>
      <c r="CN60" s="2" t="n">
        <f aca="false">MIN(CN59+1,CM60+1,CM59+IF($A60=CN$4,0,1))</f>
        <v>84</v>
      </c>
      <c r="CO60" s="2" t="n">
        <f aca="false">MIN(CO59+1,CN60+1,CN59+IF($A60=CO$4,0,1))</f>
        <v>85</v>
      </c>
      <c r="CP60" s="2" t="n">
        <f aca="false">MIN(CP59+1,CO60+1,CO59+IF($A60=CP$4,0,1))</f>
        <v>86</v>
      </c>
      <c r="CQ60" s="2" t="n">
        <f aca="false">MIN(CQ59+1,CP60+1,CP59+IF($A60=CQ$4,0,1))</f>
        <v>87</v>
      </c>
    </row>
    <row r="61" customFormat="false" ht="15" hidden="false" customHeight="false" outlineLevel="0" collapsed="false">
      <c r="A61" s="4" t="s">
        <v>180</v>
      </c>
      <c r="B61" s="12" t="n">
        <v>56</v>
      </c>
      <c r="C61" s="2" t="n">
        <f aca="false">MIN(C60+1,B61+1,B60+IF($A61=C$4,0,1))</f>
        <v>56</v>
      </c>
      <c r="D61" s="2" t="n">
        <f aca="false">MIN(D60+1,C61+1,C60+IF($A61=D$4,0,1))</f>
        <v>55</v>
      </c>
      <c r="E61" s="2" t="n">
        <f aca="false">MIN(E60+1,D61+1,D60+IF($A61=E$4,0,1))</f>
        <v>54</v>
      </c>
      <c r="F61" s="2" t="n">
        <f aca="false">MIN(F60+1,E61+1,E60+IF($A61=F$4,0,1))</f>
        <v>53</v>
      </c>
      <c r="G61" s="2" t="n">
        <f aca="false">MIN(G60+1,F61+1,F60+IF($A61=G$4,0,1))</f>
        <v>53</v>
      </c>
      <c r="H61" s="2" t="n">
        <f aca="false">MIN(H60+1,G61+1,G60+IF($A61=H$4,0,1))</f>
        <v>53</v>
      </c>
      <c r="I61" s="2" t="n">
        <f aca="false">MIN(I60+1,H61+1,H60+IF($A61=I$4,0,1))</f>
        <v>53</v>
      </c>
      <c r="J61" s="2" t="n">
        <f aca="false">MIN(J60+1,I61+1,I60+IF($A61=J$4,0,1))</f>
        <v>53</v>
      </c>
      <c r="K61" s="2" t="n">
        <f aca="false">MIN(K60+1,J61+1,J60+IF($A61=K$4,0,1))</f>
        <v>53</v>
      </c>
      <c r="L61" s="2" t="n">
        <f aca="false">MIN(L60+1,K61+1,K60+IF($A61=L$4,0,1))</f>
        <v>53</v>
      </c>
      <c r="M61" s="2" t="n">
        <f aca="false">MIN(M60+1,L61+1,L60+IF($A61=M$4,0,1))</f>
        <v>53</v>
      </c>
      <c r="N61" s="2" t="n">
        <f aca="false">MIN(N60+1,M61+1,M60+IF($A61=N$4,0,1))</f>
        <v>52</v>
      </c>
      <c r="O61" s="2" t="n">
        <f aca="false">MIN(O60+1,N61+1,N60+IF($A61=O$4,0,1))</f>
        <v>52</v>
      </c>
      <c r="P61" s="2" t="n">
        <f aca="false">MIN(P60+1,O61+1,O60+IF($A61=P$4,0,1))</f>
        <v>52</v>
      </c>
      <c r="Q61" s="2" t="n">
        <f aca="false">MIN(Q60+1,P61+1,P60+IF($A61=Q$4,0,1))</f>
        <v>52</v>
      </c>
      <c r="R61" s="2" t="n">
        <f aca="false">MIN(R60+1,Q61+1,Q60+IF($A61=R$4,0,1))</f>
        <v>52</v>
      </c>
      <c r="S61" s="2" t="n">
        <f aca="false">MIN(S60+1,R61+1,R60+IF($A61=S$4,0,1))</f>
        <v>52</v>
      </c>
      <c r="T61" s="2" t="n">
        <f aca="false">MIN(T60+1,S61+1,S60+IF($A61=T$4,0,1))</f>
        <v>52</v>
      </c>
      <c r="U61" s="2" t="n">
        <f aca="false">MIN(U60+1,T61+1,T60+IF($A61=U$4,0,1))</f>
        <v>52</v>
      </c>
      <c r="V61" s="2" t="n">
        <f aca="false">MIN(V60+1,U61+1,U60+IF($A61=V$4,0,1))</f>
        <v>52</v>
      </c>
      <c r="W61" s="2" t="n">
        <f aca="false">MIN(W60+1,V61+1,V60+IF($A61=W$4,0,1))</f>
        <v>51</v>
      </c>
      <c r="X61" s="2" t="n">
        <f aca="false">MIN(X60+1,W61+1,W60+IF($A61=X$4,0,1))</f>
        <v>51</v>
      </c>
      <c r="Y61" s="2" t="n">
        <f aca="false">MIN(Y60+1,X61+1,X60+IF($A61=Y$4,0,1))</f>
        <v>51</v>
      </c>
      <c r="Z61" s="2" t="n">
        <f aca="false">MIN(Z60+1,Y61+1,Y60+IF($A61=Z$4,0,1))</f>
        <v>52</v>
      </c>
      <c r="AA61" s="2" t="n">
        <f aca="false">MIN(AA60+1,Z61+1,Z60+IF($A61=AA$4,0,1))</f>
        <v>52</v>
      </c>
      <c r="AB61" s="2" t="n">
        <f aca="false">MIN(AB60+1,AA61+1,AA60+IF($A61=AB$4,0,1))</f>
        <v>52</v>
      </c>
      <c r="AC61" s="2" t="n">
        <f aca="false">MIN(AC60+1,AB61+1,AB60+IF($A61=AC$4,0,1))</f>
        <v>52</v>
      </c>
      <c r="AD61" s="2" t="n">
        <f aca="false">MIN(AD60+1,AC61+1,AC60+IF($A61=AD$4,0,1))</f>
        <v>52</v>
      </c>
      <c r="AE61" s="2" t="n">
        <f aca="false">MIN(AE60+1,AD61+1,AD60+IF($A61=AE$4,0,1))</f>
        <v>52</v>
      </c>
      <c r="AF61" s="2" t="n">
        <f aca="false">MIN(AF60+1,AE61+1,AE60+IF($A61=AF$4,0,1))</f>
        <v>52</v>
      </c>
      <c r="AG61" s="2" t="n">
        <f aca="false">MIN(AG60+1,AF61+1,AF60+IF($A61=AG$4,0,1))</f>
        <v>52</v>
      </c>
      <c r="AH61" s="2" t="n">
        <f aca="false">MIN(AH60+1,AG61+1,AG60+IF($A61=AH$4,0,1))</f>
        <v>52</v>
      </c>
      <c r="AI61" s="2" t="n">
        <f aca="false">MIN(AI60+1,AH61+1,AH60+IF($A61=AI$4,0,1))</f>
        <v>52</v>
      </c>
      <c r="AJ61" s="2" t="n">
        <f aca="false">MIN(AJ60+1,AI61+1,AI60+IF($A61=AJ$4,0,1))</f>
        <v>52</v>
      </c>
      <c r="AK61" s="2" t="n">
        <f aca="false">MIN(AK60+1,AJ61+1,AJ60+IF($A61=AK$4,0,1))</f>
        <v>52</v>
      </c>
      <c r="AL61" s="2" t="n">
        <f aca="false">MIN(AL60+1,AK61+1,AK60+IF($A61=AL$4,0,1))</f>
        <v>52</v>
      </c>
      <c r="AM61" s="2" t="n">
        <f aca="false">MIN(AM60+1,AL61+1,AL60+IF($A61=AM$4,0,1))</f>
        <v>52</v>
      </c>
      <c r="AN61" s="2" t="n">
        <f aca="false">MIN(AN60+1,AM61+1,AM60+IF($A61=AN$4,0,1))</f>
        <v>52</v>
      </c>
      <c r="AO61" s="2" t="n">
        <f aca="false">MIN(AO60+1,AN61+1,AN60+IF($A61=AO$4,0,1))</f>
        <v>52</v>
      </c>
      <c r="AP61" s="2" t="n">
        <f aca="false">MIN(AP60+1,AO61+1,AO60+IF($A61=AP$4,0,1))</f>
        <v>52</v>
      </c>
      <c r="AQ61" s="2" t="n">
        <f aca="false">MIN(AQ60+1,AP61+1,AP60+IF($A61=AQ$4,0,1))</f>
        <v>52</v>
      </c>
      <c r="AR61" s="2" t="n">
        <f aca="false">MIN(AR60+1,AQ61+1,AQ60+IF($A61=AR$4,0,1))</f>
        <v>52</v>
      </c>
      <c r="AS61" s="2" t="n">
        <f aca="false">MIN(AS60+1,AR61+1,AR60+IF($A61=AS$4,0,1))</f>
        <v>52</v>
      </c>
      <c r="AT61" s="2" t="n">
        <f aca="false">MIN(AT60+1,AS61+1,AS60+IF($A61=AT$4,0,1))</f>
        <v>52</v>
      </c>
      <c r="AU61" s="2" t="n">
        <f aca="false">MIN(AU60+1,AT61+1,AT60+IF($A61=AU$4,0,1))</f>
        <v>52</v>
      </c>
      <c r="AV61" s="2" t="n">
        <f aca="false">MIN(AV60+1,AU61+1,AU60+IF($A61=AV$4,0,1))</f>
        <v>53</v>
      </c>
      <c r="AW61" s="2" t="n">
        <f aca="false">MIN(AW60+1,AV61+1,AV60+IF($A61=AW$4,0,1))</f>
        <v>53</v>
      </c>
      <c r="AX61" s="2" t="n">
        <f aca="false">MIN(AX60+1,AW61+1,AW60+IF($A61=AX$4,0,1))</f>
        <v>53</v>
      </c>
      <c r="AY61" s="2" t="n">
        <f aca="false">MIN(AY60+1,AX61+1,AX60+IF($A61=AY$4,0,1))</f>
        <v>53</v>
      </c>
      <c r="AZ61" s="2" t="n">
        <f aca="false">MIN(AZ60+1,AY61+1,AY60+IF($A61=AZ$4,0,1))</f>
        <v>53</v>
      </c>
      <c r="BA61" s="2" t="n">
        <f aca="false">MIN(BA60+1,AZ61+1,AZ60+IF($A61=BA$4,0,1))</f>
        <v>53</v>
      </c>
      <c r="BB61" s="2" t="n">
        <f aca="false">MIN(BB60+1,BA61+1,BA60+IF($A61=BB$4,0,1))</f>
        <v>53</v>
      </c>
      <c r="BC61" s="2" t="n">
        <f aca="false">MIN(BC60+1,BB61+1,BB60+IF($A61=BC$4,0,1))</f>
        <v>53</v>
      </c>
      <c r="BD61" s="2" t="n">
        <f aca="false">MIN(BD60+1,BC61+1,BC60+IF($A61=BD$4,0,1))</f>
        <v>53</v>
      </c>
      <c r="BE61" s="2" t="n">
        <f aca="false">MIN(BE60+1,BD61+1,BD60+IF($A61=BE$4,0,1))</f>
        <v>54</v>
      </c>
      <c r="BF61" s="2" t="n">
        <f aca="false">MIN(BF60+1,BE61+1,BE60+IF($A61=BF$4,0,1))</f>
        <v>54</v>
      </c>
      <c r="BG61" s="2" t="n">
        <f aca="false">MIN(BG60+1,BF61+1,BF60+IF($A61=BG$4,0,1))</f>
        <v>54</v>
      </c>
      <c r="BH61" s="2" t="n">
        <f aca="false">MIN(BH60+1,BG61+1,BG60+IF($A61=BH$4,0,1))</f>
        <v>54</v>
      </c>
      <c r="BI61" s="2" t="n">
        <f aca="false">MIN(BI60+1,BH61+1,BH60+IF($A61=BI$4,0,1))</f>
        <v>55</v>
      </c>
      <c r="BJ61" s="2" t="n">
        <f aca="false">MIN(BJ60+1,BI61+1,BI60+IF($A61=BJ$4,0,1))</f>
        <v>56</v>
      </c>
      <c r="BK61" s="2" t="n">
        <f aca="false">MIN(BK60+1,BJ61+1,BJ60+IF($A61=BK$4,0,1))</f>
        <v>57</v>
      </c>
      <c r="BL61" s="2" t="n">
        <f aca="false">MIN(BL60+1,BK61+1,BK60+IF($A61=BL$4,0,1))</f>
        <v>58</v>
      </c>
      <c r="BM61" s="2" t="n">
        <f aca="false">MIN(BM60+1,BL61+1,BL60+IF($A61=BM$4,0,1))</f>
        <v>59</v>
      </c>
      <c r="BN61" s="2" t="n">
        <f aca="false">MIN(BN60+1,BM61+1,BM60+IF($A61=BN$4,0,1))</f>
        <v>60</v>
      </c>
      <c r="BO61" s="2" t="n">
        <f aca="false">MIN(BO60+1,BN61+1,BN60+IF($A61=BO$4,0,1))</f>
        <v>61</v>
      </c>
      <c r="BP61" s="2" t="n">
        <f aca="false">MIN(BP60+1,BO61+1,BO60+IF($A61=BP$4,0,1))</f>
        <v>62</v>
      </c>
      <c r="BQ61" s="2" t="n">
        <f aca="false">MIN(BQ60+1,BP61+1,BP60+IF($A61=BQ$4,0,1))</f>
        <v>63</v>
      </c>
      <c r="BR61" s="2" t="n">
        <f aca="false">MIN(BR60+1,BQ61+1,BQ60+IF($A61=BR$4,0,1))</f>
        <v>64</v>
      </c>
      <c r="BS61" s="2" t="n">
        <f aca="false">MIN(BS60+1,BR61+1,BR60+IF($A61=BS$4,0,1))</f>
        <v>65</v>
      </c>
      <c r="BT61" s="2" t="n">
        <f aca="false">MIN(BT60+1,BS61+1,BS60+IF($A61=BT$4,0,1))</f>
        <v>66</v>
      </c>
      <c r="BU61" s="2" t="n">
        <f aca="false">MIN(BU60+1,BT61+1,BT60+IF($A61=BU$4,0,1))</f>
        <v>67</v>
      </c>
      <c r="BV61" s="2" t="n">
        <f aca="false">MIN(BV60+1,BU61+1,BU60+IF($A61=BV$4,0,1))</f>
        <v>68</v>
      </c>
      <c r="BW61" s="2" t="n">
        <f aca="false">MIN(BW60+1,BV61+1,BV60+IF($A61=BW$4,0,1))</f>
        <v>69</v>
      </c>
      <c r="BX61" s="2" t="n">
        <f aca="false">MIN(BX60+1,BW61+1,BW60+IF($A61=BX$4,0,1))</f>
        <v>69</v>
      </c>
      <c r="BY61" s="2" t="n">
        <f aca="false">MIN(BY60+1,BX61+1,BX60+IF($A61=BY$4,0,1))</f>
        <v>70</v>
      </c>
      <c r="BZ61" s="2" t="n">
        <f aca="false">MIN(BZ60+1,BY61+1,BY60+IF($A61=BZ$4,0,1))</f>
        <v>71</v>
      </c>
      <c r="CA61" s="2" t="n">
        <f aca="false">MIN(CA60+1,BZ61+1,BZ60+IF($A61=CA$4,0,1))</f>
        <v>72</v>
      </c>
      <c r="CB61" s="2" t="n">
        <f aca="false">MIN(CB60+1,CA61+1,CA60+IF($A61=CB$4,0,1))</f>
        <v>73</v>
      </c>
      <c r="CC61" s="2" t="n">
        <f aca="false">MIN(CC60+1,CB61+1,CB60+IF($A61=CC$4,0,1))</f>
        <v>74</v>
      </c>
      <c r="CD61" s="2" t="n">
        <f aca="false">MIN(CD60+1,CC61+1,CC60+IF($A61=CD$4,0,1))</f>
        <v>75</v>
      </c>
      <c r="CE61" s="2" t="n">
        <f aca="false">MIN(CE60+1,CD61+1,CD60+IF($A61=CE$4,0,1))</f>
        <v>76</v>
      </c>
      <c r="CF61" s="2" t="n">
        <f aca="false">MIN(CF60+1,CE61+1,CE60+IF($A61=CF$4,0,1))</f>
        <v>77</v>
      </c>
      <c r="CG61" s="2" t="n">
        <f aca="false">MIN(CG60+1,CF61+1,CF60+IF($A61=CG$4,0,1))</f>
        <v>78</v>
      </c>
      <c r="CH61" s="2" t="n">
        <f aca="false">MIN(CH60+1,CG61+1,CG60+IF($A61=CH$4,0,1))</f>
        <v>78</v>
      </c>
      <c r="CI61" s="2" t="n">
        <f aca="false">MIN(CI60+1,CH61+1,CH60+IF($A61=CI$4,0,1))</f>
        <v>79</v>
      </c>
      <c r="CJ61" s="2" t="n">
        <f aca="false">MIN(CJ60+1,CI61+1,CI60+IF($A61=CJ$4,0,1))</f>
        <v>80</v>
      </c>
      <c r="CK61" s="2" t="n">
        <f aca="false">MIN(CK60+1,CJ61+1,CJ60+IF($A61=CK$4,0,1))</f>
        <v>81</v>
      </c>
      <c r="CL61" s="2" t="n">
        <f aca="false">MIN(CL60+1,CK61+1,CK60+IF($A61=CL$4,0,1))</f>
        <v>82</v>
      </c>
      <c r="CM61" s="2" t="n">
        <f aca="false">MIN(CM60+1,CL61+1,CL60+IF($A61=CM$4,0,1))</f>
        <v>83</v>
      </c>
      <c r="CN61" s="2" t="n">
        <f aca="false">MIN(CN60+1,CM61+1,CM60+IF($A61=CN$4,0,1))</f>
        <v>84</v>
      </c>
      <c r="CO61" s="2" t="n">
        <f aca="false">MIN(CO60+1,CN61+1,CN60+IF($A61=CO$4,0,1))</f>
        <v>85</v>
      </c>
      <c r="CP61" s="2" t="n">
        <f aca="false">MIN(CP60+1,CO61+1,CO60+IF($A61=CP$4,0,1))</f>
        <v>86</v>
      </c>
      <c r="CQ61" s="2" t="n">
        <f aca="false">MIN(CQ60+1,CP61+1,CP60+IF($A61=CQ$4,0,1))</f>
        <v>87</v>
      </c>
    </row>
    <row r="62" customFormat="false" ht="15" hidden="false" customHeight="false" outlineLevel="0" collapsed="false">
      <c r="A62" s="4" t="s">
        <v>181</v>
      </c>
      <c r="B62" s="12" t="n">
        <v>57</v>
      </c>
      <c r="C62" s="2" t="n">
        <f aca="false">MIN(C61+1,B62+1,B61+IF($A62=C$4,0,1))</f>
        <v>57</v>
      </c>
      <c r="D62" s="2" t="n">
        <f aca="false">MIN(D61+1,C62+1,C61+IF($A62=D$4,0,1))</f>
        <v>56</v>
      </c>
      <c r="E62" s="2" t="n">
        <f aca="false">MIN(E61+1,D62+1,D61+IF($A62=E$4,0,1))</f>
        <v>55</v>
      </c>
      <c r="F62" s="2" t="n">
        <f aca="false">MIN(F61+1,E62+1,E61+IF($A62=F$4,0,1))</f>
        <v>54</v>
      </c>
      <c r="G62" s="2" t="n">
        <f aca="false">MIN(G61+1,F62+1,F61+IF($A62=G$4,0,1))</f>
        <v>54</v>
      </c>
      <c r="H62" s="2" t="n">
        <f aca="false">MIN(H61+1,G62+1,G61+IF($A62=H$4,0,1))</f>
        <v>54</v>
      </c>
      <c r="I62" s="2" t="n">
        <f aca="false">MIN(I61+1,H62+1,H61+IF($A62=I$4,0,1))</f>
        <v>54</v>
      </c>
      <c r="J62" s="2" t="n">
        <f aca="false">MIN(J61+1,I62+1,I61+IF($A62=J$4,0,1))</f>
        <v>54</v>
      </c>
      <c r="K62" s="2" t="n">
        <f aca="false">MIN(K61+1,J62+1,J61+IF($A62=K$4,0,1))</f>
        <v>54</v>
      </c>
      <c r="L62" s="2" t="n">
        <f aca="false">MIN(L61+1,K62+1,K61+IF($A62=L$4,0,1))</f>
        <v>54</v>
      </c>
      <c r="M62" s="2" t="n">
        <f aca="false">MIN(M61+1,L62+1,L61+IF($A62=M$4,0,1))</f>
        <v>54</v>
      </c>
      <c r="N62" s="2" t="n">
        <f aca="false">MIN(N61+1,M62+1,M61+IF($A62=N$4,0,1))</f>
        <v>53</v>
      </c>
      <c r="O62" s="2" t="n">
        <f aca="false">MIN(O61+1,N62+1,N61+IF($A62=O$4,0,1))</f>
        <v>53</v>
      </c>
      <c r="P62" s="2" t="n">
        <f aca="false">MIN(P61+1,O62+1,O61+IF($A62=P$4,0,1))</f>
        <v>53</v>
      </c>
      <c r="Q62" s="2" t="n">
        <f aca="false">MIN(Q61+1,P62+1,P61+IF($A62=Q$4,0,1))</f>
        <v>53</v>
      </c>
      <c r="R62" s="2" t="n">
        <f aca="false">MIN(R61+1,Q62+1,Q61+IF($A62=R$4,0,1))</f>
        <v>53</v>
      </c>
      <c r="S62" s="2" t="n">
        <f aca="false">MIN(S61+1,R62+1,R61+IF($A62=S$4,0,1))</f>
        <v>53</v>
      </c>
      <c r="T62" s="2" t="n">
        <f aca="false">MIN(T61+1,S62+1,S61+IF($A62=T$4,0,1))</f>
        <v>53</v>
      </c>
      <c r="U62" s="2" t="n">
        <f aca="false">MIN(U61+1,T62+1,T61+IF($A62=U$4,0,1))</f>
        <v>53</v>
      </c>
      <c r="V62" s="2" t="n">
        <f aca="false">MIN(V61+1,U62+1,U61+IF($A62=V$4,0,1))</f>
        <v>53</v>
      </c>
      <c r="W62" s="2" t="n">
        <f aca="false">MIN(W61+1,V62+1,V61+IF($A62=W$4,0,1))</f>
        <v>52</v>
      </c>
      <c r="X62" s="2" t="n">
        <f aca="false">MIN(X61+1,W62+1,W61+IF($A62=X$4,0,1))</f>
        <v>52</v>
      </c>
      <c r="Y62" s="2" t="n">
        <f aca="false">MIN(Y61+1,X62+1,X61+IF($A62=Y$4,0,1))</f>
        <v>52</v>
      </c>
      <c r="Z62" s="2" t="n">
        <f aca="false">MIN(Z61+1,Y62+1,Y61+IF($A62=Z$4,0,1))</f>
        <v>52</v>
      </c>
      <c r="AA62" s="2" t="n">
        <f aca="false">MIN(AA61+1,Z62+1,Z61+IF($A62=AA$4,0,1))</f>
        <v>53</v>
      </c>
      <c r="AB62" s="2" t="n">
        <f aca="false">MIN(AB61+1,AA62+1,AA61+IF($A62=AB$4,0,1))</f>
        <v>53</v>
      </c>
      <c r="AC62" s="2" t="n">
        <f aca="false">MIN(AC61+1,AB62+1,AB61+IF($A62=AC$4,0,1))</f>
        <v>53</v>
      </c>
      <c r="AD62" s="2" t="n">
        <f aca="false">MIN(AD61+1,AC62+1,AC61+IF($A62=AD$4,0,1))</f>
        <v>53</v>
      </c>
      <c r="AE62" s="2" t="n">
        <f aca="false">MIN(AE61+1,AD62+1,AD61+IF($A62=AE$4,0,1))</f>
        <v>53</v>
      </c>
      <c r="AF62" s="2" t="n">
        <f aca="false">MIN(AF61+1,AE62+1,AE61+IF($A62=AF$4,0,1))</f>
        <v>53</v>
      </c>
      <c r="AG62" s="2" t="n">
        <f aca="false">MIN(AG61+1,AF62+1,AF61+IF($A62=AG$4,0,1))</f>
        <v>53</v>
      </c>
      <c r="AH62" s="2" t="n">
        <f aca="false">MIN(AH61+1,AG62+1,AG61+IF($A62=AH$4,0,1))</f>
        <v>53</v>
      </c>
      <c r="AI62" s="2" t="n">
        <f aca="false">MIN(AI61+1,AH62+1,AH61+IF($A62=AI$4,0,1))</f>
        <v>53</v>
      </c>
      <c r="AJ62" s="2" t="n">
        <f aca="false">MIN(AJ61+1,AI62+1,AI61+IF($A62=AJ$4,0,1))</f>
        <v>53</v>
      </c>
      <c r="AK62" s="2" t="n">
        <f aca="false">MIN(AK61+1,AJ62+1,AJ61+IF($A62=AK$4,0,1))</f>
        <v>53</v>
      </c>
      <c r="AL62" s="2" t="n">
        <f aca="false">MIN(AL61+1,AK62+1,AK61+IF($A62=AL$4,0,1))</f>
        <v>53</v>
      </c>
      <c r="AM62" s="2" t="n">
        <f aca="false">MIN(AM61+1,AL62+1,AL61+IF($A62=AM$4,0,1))</f>
        <v>53</v>
      </c>
      <c r="AN62" s="2" t="n">
        <f aca="false">MIN(AN61+1,AM62+1,AM61+IF($A62=AN$4,0,1))</f>
        <v>53</v>
      </c>
      <c r="AO62" s="2" t="n">
        <f aca="false">MIN(AO61+1,AN62+1,AN61+IF($A62=AO$4,0,1))</f>
        <v>53</v>
      </c>
      <c r="AP62" s="2" t="n">
        <f aca="false">MIN(AP61+1,AO62+1,AO61+IF($A62=AP$4,0,1))</f>
        <v>53</v>
      </c>
      <c r="AQ62" s="2" t="n">
        <f aca="false">MIN(AQ61+1,AP62+1,AP61+IF($A62=AQ$4,0,1))</f>
        <v>53</v>
      </c>
      <c r="AR62" s="2" t="n">
        <f aca="false">MIN(AR61+1,AQ62+1,AQ61+IF($A62=AR$4,0,1))</f>
        <v>53</v>
      </c>
      <c r="AS62" s="2" t="n">
        <f aca="false">MIN(AS61+1,AR62+1,AR61+IF($A62=AS$4,0,1))</f>
        <v>53</v>
      </c>
      <c r="AT62" s="2" t="n">
        <f aca="false">MIN(AT61+1,AS62+1,AS61+IF($A62=AT$4,0,1))</f>
        <v>53</v>
      </c>
      <c r="AU62" s="2" t="n">
        <f aca="false">MIN(AU61+1,AT62+1,AT61+IF($A62=AU$4,0,1))</f>
        <v>53</v>
      </c>
      <c r="AV62" s="2" t="n">
        <f aca="false">MIN(AV61+1,AU62+1,AU61+IF($A62=AV$4,0,1))</f>
        <v>53</v>
      </c>
      <c r="AW62" s="2" t="n">
        <f aca="false">MIN(AW61+1,AV62+1,AV61+IF($A62=AW$4,0,1))</f>
        <v>54</v>
      </c>
      <c r="AX62" s="2" t="n">
        <f aca="false">MIN(AX61+1,AW62+1,AW61+IF($A62=AX$4,0,1))</f>
        <v>54</v>
      </c>
      <c r="AY62" s="2" t="n">
        <f aca="false">MIN(AY61+1,AX62+1,AX61+IF($A62=AY$4,0,1))</f>
        <v>54</v>
      </c>
      <c r="AZ62" s="2" t="n">
        <f aca="false">MIN(AZ61+1,AY62+1,AY61+IF($A62=AZ$4,0,1))</f>
        <v>54</v>
      </c>
      <c r="BA62" s="2" t="n">
        <f aca="false">MIN(BA61+1,AZ62+1,AZ61+IF($A62=BA$4,0,1))</f>
        <v>54</v>
      </c>
      <c r="BB62" s="2" t="n">
        <f aca="false">MIN(BB61+1,BA62+1,BA61+IF($A62=BB$4,0,1))</f>
        <v>54</v>
      </c>
      <c r="BC62" s="2" t="n">
        <f aca="false">MIN(BC61+1,BB62+1,BB61+IF($A62=BC$4,0,1))</f>
        <v>54</v>
      </c>
      <c r="BD62" s="2" t="n">
        <f aca="false">MIN(BD61+1,BC62+1,BC61+IF($A62=BD$4,0,1))</f>
        <v>54</v>
      </c>
      <c r="BE62" s="2" t="n">
        <f aca="false">MIN(BE61+1,BD62+1,BD61+IF($A62=BE$4,0,1))</f>
        <v>54</v>
      </c>
      <c r="BF62" s="2" t="n">
        <f aca="false">MIN(BF61+1,BE62+1,BE61+IF($A62=BF$4,0,1))</f>
        <v>55</v>
      </c>
      <c r="BG62" s="2" t="n">
        <f aca="false">MIN(BG61+1,BF62+1,BF61+IF($A62=BG$4,0,1))</f>
        <v>55</v>
      </c>
      <c r="BH62" s="2" t="n">
        <f aca="false">MIN(BH61+1,BG62+1,BG61+IF($A62=BH$4,0,1))</f>
        <v>55</v>
      </c>
      <c r="BI62" s="2" t="n">
        <f aca="false">MIN(BI61+1,BH62+1,BH61+IF($A62=BI$4,0,1))</f>
        <v>55</v>
      </c>
      <c r="BJ62" s="2" t="n">
        <f aca="false">MIN(BJ61+1,BI62+1,BI61+IF($A62=BJ$4,0,1))</f>
        <v>56</v>
      </c>
      <c r="BK62" s="2" t="n">
        <f aca="false">MIN(BK61+1,BJ62+1,BJ61+IF($A62=BK$4,0,1))</f>
        <v>57</v>
      </c>
      <c r="BL62" s="2" t="n">
        <f aca="false">MIN(BL61+1,BK62+1,BK61+IF($A62=BL$4,0,1))</f>
        <v>58</v>
      </c>
      <c r="BM62" s="2" t="n">
        <f aca="false">MIN(BM61+1,BL62+1,BL61+IF($A62=BM$4,0,1))</f>
        <v>59</v>
      </c>
      <c r="BN62" s="2" t="n">
        <f aca="false">MIN(BN61+1,BM62+1,BM61+IF($A62=BN$4,0,1))</f>
        <v>60</v>
      </c>
      <c r="BO62" s="2" t="n">
        <f aca="false">MIN(BO61+1,BN62+1,BN61+IF($A62=BO$4,0,1))</f>
        <v>61</v>
      </c>
      <c r="BP62" s="2" t="n">
        <f aca="false">MIN(BP61+1,BO62+1,BO61+IF($A62=BP$4,0,1))</f>
        <v>62</v>
      </c>
      <c r="BQ62" s="2" t="n">
        <f aca="false">MIN(BQ61+1,BP62+1,BP61+IF($A62=BQ$4,0,1))</f>
        <v>63</v>
      </c>
      <c r="BR62" s="2" t="n">
        <f aca="false">MIN(BR61+1,BQ62+1,BQ61+IF($A62=BR$4,0,1))</f>
        <v>64</v>
      </c>
      <c r="BS62" s="2" t="n">
        <f aca="false">MIN(BS61+1,BR62+1,BR61+IF($A62=BS$4,0,1))</f>
        <v>65</v>
      </c>
      <c r="BT62" s="2" t="n">
        <f aca="false">MIN(BT61+1,BS62+1,BS61+IF($A62=BT$4,0,1))</f>
        <v>66</v>
      </c>
      <c r="BU62" s="2" t="n">
        <f aca="false">MIN(BU61+1,BT62+1,BT61+IF($A62=BU$4,0,1))</f>
        <v>67</v>
      </c>
      <c r="BV62" s="2" t="n">
        <f aca="false">MIN(BV61+1,BU62+1,BU61+IF($A62=BV$4,0,1))</f>
        <v>68</v>
      </c>
      <c r="BW62" s="2" t="n">
        <f aca="false">MIN(BW61+1,BV62+1,BV61+IF($A62=BW$4,0,1))</f>
        <v>69</v>
      </c>
      <c r="BX62" s="2" t="n">
        <f aca="false">MIN(BX61+1,BW62+1,BW61+IF($A62=BX$4,0,1))</f>
        <v>70</v>
      </c>
      <c r="BY62" s="2" t="n">
        <f aca="false">MIN(BY61+1,BX62+1,BX61+IF($A62=BY$4,0,1))</f>
        <v>70</v>
      </c>
      <c r="BZ62" s="2" t="n">
        <f aca="false">MIN(BZ61+1,BY62+1,BY61+IF($A62=BZ$4,0,1))</f>
        <v>71</v>
      </c>
      <c r="CA62" s="2" t="n">
        <f aca="false">MIN(CA61+1,BZ62+1,BZ61+IF($A62=CA$4,0,1))</f>
        <v>72</v>
      </c>
      <c r="CB62" s="2" t="n">
        <f aca="false">MIN(CB61+1,CA62+1,CA61+IF($A62=CB$4,0,1))</f>
        <v>73</v>
      </c>
      <c r="CC62" s="2" t="n">
        <f aca="false">MIN(CC61+1,CB62+1,CB61+IF($A62=CC$4,0,1))</f>
        <v>74</v>
      </c>
      <c r="CD62" s="2" t="n">
        <f aca="false">MIN(CD61+1,CC62+1,CC61+IF($A62=CD$4,0,1))</f>
        <v>75</v>
      </c>
      <c r="CE62" s="2" t="n">
        <f aca="false">MIN(CE61+1,CD62+1,CD61+IF($A62=CE$4,0,1))</f>
        <v>76</v>
      </c>
      <c r="CF62" s="2" t="n">
        <f aca="false">MIN(CF61+1,CE62+1,CE61+IF($A62=CF$4,0,1))</f>
        <v>77</v>
      </c>
      <c r="CG62" s="2" t="n">
        <f aca="false">MIN(CG61+1,CF62+1,CF61+IF($A62=CG$4,0,1))</f>
        <v>78</v>
      </c>
      <c r="CH62" s="2" t="n">
        <f aca="false">MIN(CH61+1,CG62+1,CG61+IF($A62=CH$4,0,1))</f>
        <v>79</v>
      </c>
      <c r="CI62" s="2" t="n">
        <f aca="false">MIN(CI61+1,CH62+1,CH61+IF($A62=CI$4,0,1))</f>
        <v>79</v>
      </c>
      <c r="CJ62" s="2" t="n">
        <f aca="false">MIN(CJ61+1,CI62+1,CI61+IF($A62=CJ$4,0,1))</f>
        <v>80</v>
      </c>
      <c r="CK62" s="2" t="n">
        <f aca="false">MIN(CK61+1,CJ62+1,CJ61+IF($A62=CK$4,0,1))</f>
        <v>81</v>
      </c>
      <c r="CL62" s="2" t="n">
        <f aca="false">MIN(CL61+1,CK62+1,CK61+IF($A62=CL$4,0,1))</f>
        <v>82</v>
      </c>
      <c r="CM62" s="2" t="n">
        <f aca="false">MIN(CM61+1,CL62+1,CL61+IF($A62=CM$4,0,1))</f>
        <v>83</v>
      </c>
      <c r="CN62" s="2" t="n">
        <f aca="false">MIN(CN61+1,CM62+1,CM61+IF($A62=CN$4,0,1))</f>
        <v>84</v>
      </c>
      <c r="CO62" s="2" t="n">
        <f aca="false">MIN(CO61+1,CN62+1,CN61+IF($A62=CO$4,0,1))</f>
        <v>85</v>
      </c>
      <c r="CP62" s="2" t="n">
        <f aca="false">MIN(CP61+1,CO62+1,CO61+IF($A62=CP$4,0,1))</f>
        <v>86</v>
      </c>
      <c r="CQ62" s="2" t="n">
        <f aca="false">MIN(CQ61+1,CP62+1,CP61+IF($A62=CQ$4,0,1))</f>
        <v>87</v>
      </c>
    </row>
    <row r="63" customFormat="false" ht="15" hidden="false" customHeight="false" outlineLevel="0" collapsed="false">
      <c r="A63" s="4" t="s">
        <v>168</v>
      </c>
      <c r="B63" s="12" t="n">
        <v>58</v>
      </c>
      <c r="C63" s="2" t="n">
        <f aca="false">MIN(C62+1,B63+1,B62+IF($A63=C$4,0,1))</f>
        <v>58</v>
      </c>
      <c r="D63" s="2" t="n">
        <f aca="false">MIN(D62+1,C63+1,C62+IF($A63=D$4,0,1))</f>
        <v>57</v>
      </c>
      <c r="E63" s="2" t="n">
        <f aca="false">MIN(E62+1,D63+1,D62+IF($A63=E$4,0,1))</f>
        <v>56</v>
      </c>
      <c r="F63" s="2" t="n">
        <f aca="false">MIN(F62+1,E63+1,E62+IF($A63=F$4,0,1))</f>
        <v>55</v>
      </c>
      <c r="G63" s="2" t="n">
        <f aca="false">MIN(G62+1,F63+1,F62+IF($A63=G$4,0,1))</f>
        <v>55</v>
      </c>
      <c r="H63" s="2" t="n">
        <f aca="false">MIN(H62+1,G63+1,G62+IF($A63=H$4,0,1))</f>
        <v>55</v>
      </c>
      <c r="I63" s="2" t="n">
        <f aca="false">MIN(I62+1,H63+1,H62+IF($A63=I$4,0,1))</f>
        <v>55</v>
      </c>
      <c r="J63" s="2" t="n">
        <f aca="false">MIN(J62+1,I63+1,I62+IF($A63=J$4,0,1))</f>
        <v>55</v>
      </c>
      <c r="K63" s="2" t="n">
        <f aca="false">MIN(K62+1,J63+1,J62+IF($A63=K$4,0,1))</f>
        <v>55</v>
      </c>
      <c r="L63" s="2" t="n">
        <f aca="false">MIN(L62+1,K63+1,K62+IF($A63=L$4,0,1))</f>
        <v>55</v>
      </c>
      <c r="M63" s="2" t="n">
        <f aca="false">MIN(M62+1,L63+1,L62+IF($A63=M$4,0,1))</f>
        <v>55</v>
      </c>
      <c r="N63" s="2" t="n">
        <f aca="false">MIN(N62+1,M63+1,M62+IF($A63=N$4,0,1))</f>
        <v>54</v>
      </c>
      <c r="O63" s="2" t="n">
        <f aca="false">MIN(O62+1,N63+1,N62+IF($A63=O$4,0,1))</f>
        <v>54</v>
      </c>
      <c r="P63" s="2" t="n">
        <f aca="false">MIN(P62+1,O63+1,O62+IF($A63=P$4,0,1))</f>
        <v>54</v>
      </c>
      <c r="Q63" s="2" t="n">
        <f aca="false">MIN(Q62+1,P63+1,P62+IF($A63=Q$4,0,1))</f>
        <v>54</v>
      </c>
      <c r="R63" s="2" t="n">
        <f aca="false">MIN(R62+1,Q63+1,Q62+IF($A63=R$4,0,1))</f>
        <v>54</v>
      </c>
      <c r="S63" s="2" t="n">
        <f aca="false">MIN(S62+1,R63+1,R62+IF($A63=S$4,0,1))</f>
        <v>54</v>
      </c>
      <c r="T63" s="2" t="n">
        <f aca="false">MIN(T62+1,S63+1,S62+IF($A63=T$4,0,1))</f>
        <v>54</v>
      </c>
      <c r="U63" s="2" t="n">
        <f aca="false">MIN(U62+1,T63+1,T62+IF($A63=U$4,0,1))</f>
        <v>54</v>
      </c>
      <c r="V63" s="2" t="n">
        <f aca="false">MIN(V62+1,U63+1,U62+IF($A63=V$4,0,1))</f>
        <v>54</v>
      </c>
      <c r="W63" s="2" t="n">
        <f aca="false">MIN(W62+1,V63+1,V62+IF($A63=W$4,0,1))</f>
        <v>53</v>
      </c>
      <c r="X63" s="2" t="n">
        <f aca="false">MIN(X62+1,W63+1,W62+IF($A63=X$4,0,1))</f>
        <v>53</v>
      </c>
      <c r="Y63" s="2" t="n">
        <f aca="false">MIN(Y62+1,X63+1,X62+IF($A63=Y$4,0,1))</f>
        <v>53</v>
      </c>
      <c r="Z63" s="2" t="n">
        <f aca="false">MIN(Z62+1,Y63+1,Y62+IF($A63=Z$4,0,1))</f>
        <v>53</v>
      </c>
      <c r="AA63" s="2" t="n">
        <f aca="false">MIN(AA62+1,Z63+1,Z62+IF($A63=AA$4,0,1))</f>
        <v>53</v>
      </c>
      <c r="AB63" s="2" t="n">
        <f aca="false">MIN(AB62+1,AA63+1,AA62+IF($A63=AB$4,0,1))</f>
        <v>54</v>
      </c>
      <c r="AC63" s="2" t="n">
        <f aca="false">MIN(AC62+1,AB63+1,AB62+IF($A63=AC$4,0,1))</f>
        <v>54</v>
      </c>
      <c r="AD63" s="2" t="n">
        <f aca="false">MIN(AD62+1,AC63+1,AC62+IF($A63=AD$4,0,1))</f>
        <v>54</v>
      </c>
      <c r="AE63" s="2" t="n">
        <f aca="false">MIN(AE62+1,AD63+1,AD62+IF($A63=AE$4,0,1))</f>
        <v>54</v>
      </c>
      <c r="AF63" s="2" t="n">
        <f aca="false">MIN(AF62+1,AE63+1,AE62+IF($A63=AF$4,0,1))</f>
        <v>54</v>
      </c>
      <c r="AG63" s="2" t="n">
        <f aca="false">MIN(AG62+1,AF63+1,AF62+IF($A63=AG$4,0,1))</f>
        <v>54</v>
      </c>
      <c r="AH63" s="2" t="n">
        <f aca="false">MIN(AH62+1,AG63+1,AG62+IF($A63=AH$4,0,1))</f>
        <v>54</v>
      </c>
      <c r="AI63" s="2" t="n">
        <f aca="false">MIN(AI62+1,AH63+1,AH62+IF($A63=AI$4,0,1))</f>
        <v>54</v>
      </c>
      <c r="AJ63" s="2" t="n">
        <f aca="false">MIN(AJ62+1,AI63+1,AI62+IF($A63=AJ$4,0,1))</f>
        <v>54</v>
      </c>
      <c r="AK63" s="2" t="n">
        <f aca="false">MIN(AK62+1,AJ63+1,AJ62+IF($A63=AK$4,0,1))</f>
        <v>54</v>
      </c>
      <c r="AL63" s="2" t="n">
        <f aca="false">MIN(AL62+1,AK63+1,AK62+IF($A63=AL$4,0,1))</f>
        <v>54</v>
      </c>
      <c r="AM63" s="2" t="n">
        <f aca="false">MIN(AM62+1,AL63+1,AL62+IF($A63=AM$4,0,1))</f>
        <v>54</v>
      </c>
      <c r="AN63" s="2" t="n">
        <f aca="false">MIN(AN62+1,AM63+1,AM62+IF($A63=AN$4,0,1))</f>
        <v>54</v>
      </c>
      <c r="AO63" s="2" t="n">
        <f aca="false">MIN(AO62+1,AN63+1,AN62+IF($A63=AO$4,0,1))</f>
        <v>54</v>
      </c>
      <c r="AP63" s="2" t="n">
        <f aca="false">MIN(AP62+1,AO63+1,AO62+IF($A63=AP$4,0,1))</f>
        <v>54</v>
      </c>
      <c r="AQ63" s="2" t="n">
        <f aca="false">MIN(AQ62+1,AP63+1,AP62+IF($A63=AQ$4,0,1))</f>
        <v>54</v>
      </c>
      <c r="AR63" s="2" t="n">
        <f aca="false">MIN(AR62+1,AQ63+1,AQ62+IF($A63=AR$4,0,1))</f>
        <v>54</v>
      </c>
      <c r="AS63" s="2" t="n">
        <f aca="false">MIN(AS62+1,AR63+1,AR62+IF($A63=AS$4,0,1))</f>
        <v>54</v>
      </c>
      <c r="AT63" s="2" t="n">
        <f aca="false">MIN(AT62+1,AS63+1,AS62+IF($A63=AT$4,0,1))</f>
        <v>54</v>
      </c>
      <c r="AU63" s="2" t="n">
        <f aca="false">MIN(AU62+1,AT63+1,AT62+IF($A63=AU$4,0,1))</f>
        <v>54</v>
      </c>
      <c r="AV63" s="2" t="n">
        <f aca="false">MIN(AV62+1,AU63+1,AU62+IF($A63=AV$4,0,1))</f>
        <v>54</v>
      </c>
      <c r="AW63" s="2" t="n">
        <f aca="false">MIN(AW62+1,AV63+1,AV62+IF($A63=AW$4,0,1))</f>
        <v>54</v>
      </c>
      <c r="AX63" s="2" t="n">
        <f aca="false">MIN(AX62+1,AW63+1,AW62+IF($A63=AX$4,0,1))</f>
        <v>55</v>
      </c>
      <c r="AY63" s="2" t="n">
        <f aca="false">MIN(AY62+1,AX63+1,AX62+IF($A63=AY$4,0,1))</f>
        <v>55</v>
      </c>
      <c r="AZ63" s="2" t="n">
        <f aca="false">MIN(AZ62+1,AY63+1,AY62+IF($A63=AZ$4,0,1))</f>
        <v>55</v>
      </c>
      <c r="BA63" s="2" t="n">
        <f aca="false">MIN(BA62+1,AZ63+1,AZ62+IF($A63=BA$4,0,1))</f>
        <v>55</v>
      </c>
      <c r="BB63" s="2" t="n">
        <f aca="false">MIN(BB62+1,BA63+1,BA62+IF($A63=BB$4,0,1))</f>
        <v>55</v>
      </c>
      <c r="BC63" s="2" t="n">
        <f aca="false">MIN(BC62+1,BB63+1,BB62+IF($A63=BC$4,0,1))</f>
        <v>55</v>
      </c>
      <c r="BD63" s="2" t="n">
        <f aca="false">MIN(BD62+1,BC63+1,BC62+IF($A63=BD$4,0,1))</f>
        <v>55</v>
      </c>
      <c r="BE63" s="2" t="n">
        <f aca="false">MIN(BE62+1,BD63+1,BD62+IF($A63=BE$4,0,1))</f>
        <v>55</v>
      </c>
      <c r="BF63" s="2" t="n">
        <f aca="false">MIN(BF62+1,BE63+1,BE62+IF($A63=BF$4,0,1))</f>
        <v>55</v>
      </c>
      <c r="BG63" s="2" t="n">
        <f aca="false">MIN(BG62+1,BF63+1,BF62+IF($A63=BG$4,0,1))</f>
        <v>56</v>
      </c>
      <c r="BH63" s="2" t="n">
        <f aca="false">MIN(BH62+1,BG63+1,BG62+IF($A63=BH$4,0,1))</f>
        <v>56</v>
      </c>
      <c r="BI63" s="2" t="n">
        <f aca="false">MIN(BI62+1,BH63+1,BH62+IF($A63=BI$4,0,1))</f>
        <v>56</v>
      </c>
      <c r="BJ63" s="2" t="n">
        <f aca="false">MIN(BJ62+1,BI63+1,BI62+IF($A63=BJ$4,0,1))</f>
        <v>56</v>
      </c>
      <c r="BK63" s="2" t="n">
        <f aca="false">MIN(BK62+1,BJ63+1,BJ62+IF($A63=BK$4,0,1))</f>
        <v>57</v>
      </c>
      <c r="BL63" s="2" t="n">
        <f aca="false">MIN(BL62+1,BK63+1,BK62+IF($A63=BL$4,0,1))</f>
        <v>58</v>
      </c>
      <c r="BM63" s="2" t="n">
        <f aca="false">MIN(BM62+1,BL63+1,BL62+IF($A63=BM$4,0,1))</f>
        <v>59</v>
      </c>
      <c r="BN63" s="2" t="n">
        <f aca="false">MIN(BN62+1,BM63+1,BM62+IF($A63=BN$4,0,1))</f>
        <v>60</v>
      </c>
      <c r="BO63" s="2" t="n">
        <f aca="false">MIN(BO62+1,BN63+1,BN62+IF($A63=BO$4,0,1))</f>
        <v>61</v>
      </c>
      <c r="BP63" s="2" t="n">
        <f aca="false">MIN(BP62+1,BO63+1,BO62+IF($A63=BP$4,0,1))</f>
        <v>62</v>
      </c>
      <c r="BQ63" s="2" t="n">
        <f aca="false">MIN(BQ62+1,BP63+1,BP62+IF($A63=BQ$4,0,1))</f>
        <v>63</v>
      </c>
      <c r="BR63" s="2" t="n">
        <f aca="false">MIN(BR62+1,BQ63+1,BQ62+IF($A63=BR$4,0,1))</f>
        <v>64</v>
      </c>
      <c r="BS63" s="2" t="n">
        <f aca="false">MIN(BS62+1,BR63+1,BR62+IF($A63=BS$4,0,1))</f>
        <v>65</v>
      </c>
      <c r="BT63" s="2" t="n">
        <f aca="false">MIN(BT62+1,BS63+1,BS62+IF($A63=BT$4,0,1))</f>
        <v>66</v>
      </c>
      <c r="BU63" s="2" t="n">
        <f aca="false">MIN(BU62+1,BT63+1,BT62+IF($A63=BU$4,0,1))</f>
        <v>67</v>
      </c>
      <c r="BV63" s="2" t="n">
        <f aca="false">MIN(BV62+1,BU63+1,BU62+IF($A63=BV$4,0,1))</f>
        <v>68</v>
      </c>
      <c r="BW63" s="2" t="n">
        <f aca="false">MIN(BW62+1,BV63+1,BV62+IF($A63=BW$4,0,1))</f>
        <v>69</v>
      </c>
      <c r="BX63" s="2" t="n">
        <f aca="false">MIN(BX62+1,BW63+1,BW62+IF($A63=BX$4,0,1))</f>
        <v>70</v>
      </c>
      <c r="BY63" s="2" t="n">
        <f aca="false">MIN(BY62+1,BX63+1,BX62+IF($A63=BY$4,0,1))</f>
        <v>71</v>
      </c>
      <c r="BZ63" s="2" t="n">
        <f aca="false">MIN(BZ62+1,BY63+1,BY62+IF($A63=BZ$4,0,1))</f>
        <v>71</v>
      </c>
      <c r="CA63" s="2" t="n">
        <f aca="false">MIN(CA62+1,BZ63+1,BZ62+IF($A63=CA$4,0,1))</f>
        <v>72</v>
      </c>
      <c r="CB63" s="2" t="n">
        <f aca="false">MIN(CB62+1,CA63+1,CA62+IF($A63=CB$4,0,1))</f>
        <v>73</v>
      </c>
      <c r="CC63" s="2" t="n">
        <f aca="false">MIN(CC62+1,CB63+1,CB62+IF($A63=CC$4,0,1))</f>
        <v>74</v>
      </c>
      <c r="CD63" s="2" t="n">
        <f aca="false">MIN(CD62+1,CC63+1,CC62+IF($A63=CD$4,0,1))</f>
        <v>75</v>
      </c>
      <c r="CE63" s="2" t="n">
        <f aca="false">MIN(CE62+1,CD63+1,CD62+IF($A63=CE$4,0,1))</f>
        <v>76</v>
      </c>
      <c r="CF63" s="2" t="n">
        <f aca="false">MIN(CF62+1,CE63+1,CE62+IF($A63=CF$4,0,1))</f>
        <v>77</v>
      </c>
      <c r="CG63" s="2" t="n">
        <f aca="false">MIN(CG62+1,CF63+1,CF62+IF($A63=CG$4,0,1))</f>
        <v>78</v>
      </c>
      <c r="CH63" s="2" t="n">
        <f aca="false">MIN(CH62+1,CG63+1,CG62+IF($A63=CH$4,0,1))</f>
        <v>79</v>
      </c>
      <c r="CI63" s="2" t="n">
        <f aca="false">MIN(CI62+1,CH63+1,CH62+IF($A63=CI$4,0,1))</f>
        <v>80</v>
      </c>
      <c r="CJ63" s="2" t="n">
        <f aca="false">MIN(CJ62+1,CI63+1,CI62+IF($A63=CJ$4,0,1))</f>
        <v>80</v>
      </c>
      <c r="CK63" s="2" t="n">
        <f aca="false">MIN(CK62+1,CJ63+1,CJ62+IF($A63=CK$4,0,1))</f>
        <v>81</v>
      </c>
      <c r="CL63" s="2" t="n">
        <f aca="false">MIN(CL62+1,CK63+1,CK62+IF($A63=CL$4,0,1))</f>
        <v>82</v>
      </c>
      <c r="CM63" s="2" t="n">
        <f aca="false">MIN(CM62+1,CL63+1,CL62+IF($A63=CM$4,0,1))</f>
        <v>83</v>
      </c>
      <c r="CN63" s="2" t="n">
        <f aca="false">MIN(CN62+1,CM63+1,CM62+IF($A63=CN$4,0,1))</f>
        <v>84</v>
      </c>
      <c r="CO63" s="2" t="n">
        <f aca="false">MIN(CO62+1,CN63+1,CN62+IF($A63=CO$4,0,1))</f>
        <v>85</v>
      </c>
      <c r="CP63" s="2" t="n">
        <f aca="false">MIN(CP62+1,CO63+1,CO62+IF($A63=CP$4,0,1))</f>
        <v>86</v>
      </c>
      <c r="CQ63" s="2" t="n">
        <f aca="false">MIN(CQ62+1,CP63+1,CP62+IF($A63=CQ$4,0,1))</f>
        <v>87</v>
      </c>
    </row>
    <row r="64" customFormat="false" ht="15" hidden="false" customHeight="false" outlineLevel="0" collapsed="false">
      <c r="A64" s="4" t="s">
        <v>170</v>
      </c>
      <c r="B64" s="12" t="n">
        <v>59</v>
      </c>
      <c r="C64" s="2" t="n">
        <f aca="false">MIN(C63+1,B64+1,B63+IF($A64=C$4,0,1))</f>
        <v>59</v>
      </c>
      <c r="D64" s="2" t="n">
        <f aca="false">MIN(D63+1,C64+1,C63+IF($A64=D$4,0,1))</f>
        <v>58</v>
      </c>
      <c r="E64" s="2" t="n">
        <f aca="false">MIN(E63+1,D64+1,D63+IF($A64=E$4,0,1))</f>
        <v>57</v>
      </c>
      <c r="F64" s="2" t="n">
        <f aca="false">MIN(F63+1,E64+1,E63+IF($A64=F$4,0,1))</f>
        <v>56</v>
      </c>
      <c r="G64" s="2" t="n">
        <f aca="false">MIN(G63+1,F64+1,F63+IF($A64=G$4,0,1))</f>
        <v>56</v>
      </c>
      <c r="H64" s="2" t="n">
        <f aca="false">MIN(H63+1,G64+1,G63+IF($A64=H$4,0,1))</f>
        <v>56</v>
      </c>
      <c r="I64" s="2" t="n">
        <f aca="false">MIN(I63+1,H64+1,H63+IF($A64=I$4,0,1))</f>
        <v>56</v>
      </c>
      <c r="J64" s="2" t="n">
        <f aca="false">MIN(J63+1,I64+1,I63+IF($A64=J$4,0,1))</f>
        <v>56</v>
      </c>
      <c r="K64" s="2" t="n">
        <f aca="false">MIN(K63+1,J64+1,J63+IF($A64=K$4,0,1))</f>
        <v>56</v>
      </c>
      <c r="L64" s="2" t="n">
        <f aca="false">MIN(L63+1,K64+1,K63+IF($A64=L$4,0,1))</f>
        <v>56</v>
      </c>
      <c r="M64" s="2" t="n">
        <f aca="false">MIN(M63+1,L64+1,L63+IF($A64=M$4,0,1))</f>
        <v>56</v>
      </c>
      <c r="N64" s="2" t="n">
        <f aca="false">MIN(N63+1,M64+1,M63+IF($A64=N$4,0,1))</f>
        <v>55</v>
      </c>
      <c r="O64" s="2" t="n">
        <f aca="false">MIN(O63+1,N64+1,N63+IF($A64=O$4,0,1))</f>
        <v>55</v>
      </c>
      <c r="P64" s="2" t="n">
        <f aca="false">MIN(P63+1,O64+1,O63+IF($A64=P$4,0,1))</f>
        <v>55</v>
      </c>
      <c r="Q64" s="2" t="n">
        <f aca="false">MIN(Q63+1,P64+1,P63+IF($A64=Q$4,0,1))</f>
        <v>55</v>
      </c>
      <c r="R64" s="2" t="n">
        <f aca="false">MIN(R63+1,Q64+1,Q63+IF($A64=R$4,0,1))</f>
        <v>55</v>
      </c>
      <c r="S64" s="2" t="n">
        <f aca="false">MIN(S63+1,R64+1,R63+IF($A64=S$4,0,1))</f>
        <v>55</v>
      </c>
      <c r="T64" s="2" t="n">
        <f aca="false">MIN(T63+1,S64+1,S63+IF($A64=T$4,0,1))</f>
        <v>55</v>
      </c>
      <c r="U64" s="2" t="n">
        <f aca="false">MIN(U63+1,T64+1,T63+IF($A64=U$4,0,1))</f>
        <v>55</v>
      </c>
      <c r="V64" s="2" t="n">
        <f aca="false">MIN(V63+1,U64+1,U63+IF($A64=V$4,0,1))</f>
        <v>55</v>
      </c>
      <c r="W64" s="2" t="n">
        <f aca="false">MIN(W63+1,V64+1,V63+IF($A64=W$4,0,1))</f>
        <v>54</v>
      </c>
      <c r="X64" s="2" t="n">
        <f aca="false">MIN(X63+1,W64+1,W63+IF($A64=X$4,0,1))</f>
        <v>54</v>
      </c>
      <c r="Y64" s="2" t="n">
        <f aca="false">MIN(Y63+1,X64+1,X63+IF($A64=Y$4,0,1))</f>
        <v>54</v>
      </c>
      <c r="Z64" s="2" t="n">
        <f aca="false">MIN(Z63+1,Y64+1,Y63+IF($A64=Z$4,0,1))</f>
        <v>54</v>
      </c>
      <c r="AA64" s="2" t="n">
        <f aca="false">MIN(AA63+1,Z64+1,Z63+IF($A64=AA$4,0,1))</f>
        <v>54</v>
      </c>
      <c r="AB64" s="2" t="n">
        <f aca="false">MIN(AB63+1,AA64+1,AA63+IF($A64=AB$4,0,1))</f>
        <v>54</v>
      </c>
      <c r="AC64" s="2" t="n">
        <f aca="false">MIN(AC63+1,AB64+1,AB63+IF($A64=AC$4,0,1))</f>
        <v>55</v>
      </c>
      <c r="AD64" s="2" t="n">
        <f aca="false">MIN(AD63+1,AC64+1,AC63+IF($A64=AD$4,0,1))</f>
        <v>55</v>
      </c>
      <c r="AE64" s="2" t="n">
        <f aca="false">MIN(AE63+1,AD64+1,AD63+IF($A64=AE$4,0,1))</f>
        <v>55</v>
      </c>
      <c r="AF64" s="2" t="n">
        <f aca="false">MIN(AF63+1,AE64+1,AE63+IF($A64=AF$4,0,1))</f>
        <v>55</v>
      </c>
      <c r="AG64" s="2" t="n">
        <f aca="false">MIN(AG63+1,AF64+1,AF63+IF($A64=AG$4,0,1))</f>
        <v>55</v>
      </c>
      <c r="AH64" s="2" t="n">
        <f aca="false">MIN(AH63+1,AG64+1,AG63+IF($A64=AH$4,0,1))</f>
        <v>55</v>
      </c>
      <c r="AI64" s="2" t="n">
        <f aca="false">MIN(AI63+1,AH64+1,AH63+IF($A64=AI$4,0,1))</f>
        <v>55</v>
      </c>
      <c r="AJ64" s="2" t="n">
        <f aca="false">MIN(AJ63+1,AI64+1,AI63+IF($A64=AJ$4,0,1))</f>
        <v>55</v>
      </c>
      <c r="AK64" s="2" t="n">
        <f aca="false">MIN(AK63+1,AJ64+1,AJ63+IF($A64=AK$4,0,1))</f>
        <v>55</v>
      </c>
      <c r="AL64" s="2" t="n">
        <f aca="false">MIN(AL63+1,AK64+1,AK63+IF($A64=AL$4,0,1))</f>
        <v>55</v>
      </c>
      <c r="AM64" s="2" t="n">
        <f aca="false">MIN(AM63+1,AL64+1,AL63+IF($A64=AM$4,0,1))</f>
        <v>55</v>
      </c>
      <c r="AN64" s="2" t="n">
        <f aca="false">MIN(AN63+1,AM64+1,AM63+IF($A64=AN$4,0,1))</f>
        <v>55</v>
      </c>
      <c r="AO64" s="2" t="n">
        <f aca="false">MIN(AO63+1,AN64+1,AN63+IF($A64=AO$4,0,1))</f>
        <v>55</v>
      </c>
      <c r="AP64" s="2" t="n">
        <f aca="false">MIN(AP63+1,AO64+1,AO63+IF($A64=AP$4,0,1))</f>
        <v>55</v>
      </c>
      <c r="AQ64" s="2" t="n">
        <f aca="false">MIN(AQ63+1,AP64+1,AP63+IF($A64=AQ$4,0,1))</f>
        <v>55</v>
      </c>
      <c r="AR64" s="2" t="n">
        <f aca="false">MIN(AR63+1,AQ64+1,AQ63+IF($A64=AR$4,0,1))</f>
        <v>55</v>
      </c>
      <c r="AS64" s="2" t="n">
        <f aca="false">MIN(AS63+1,AR64+1,AR63+IF($A64=AS$4,0,1))</f>
        <v>55</v>
      </c>
      <c r="AT64" s="2" t="n">
        <f aca="false">MIN(AT63+1,AS64+1,AS63+IF($A64=AT$4,0,1))</f>
        <v>55</v>
      </c>
      <c r="AU64" s="2" t="n">
        <f aca="false">MIN(AU63+1,AT64+1,AT63+IF($A64=AU$4,0,1))</f>
        <v>55</v>
      </c>
      <c r="AV64" s="2" t="n">
        <f aca="false">MIN(AV63+1,AU64+1,AU63+IF($A64=AV$4,0,1))</f>
        <v>55</v>
      </c>
      <c r="AW64" s="2" t="n">
        <f aca="false">MIN(AW63+1,AV64+1,AV63+IF($A64=AW$4,0,1))</f>
        <v>55</v>
      </c>
      <c r="AX64" s="2" t="n">
        <f aca="false">MIN(AX63+1,AW64+1,AW63+IF($A64=AX$4,0,1))</f>
        <v>55</v>
      </c>
      <c r="AY64" s="2" t="n">
        <f aca="false">MIN(AY63+1,AX64+1,AX63+IF($A64=AY$4,0,1))</f>
        <v>56</v>
      </c>
      <c r="AZ64" s="2" t="n">
        <f aca="false">MIN(AZ63+1,AY64+1,AY63+IF($A64=AZ$4,0,1))</f>
        <v>56</v>
      </c>
      <c r="BA64" s="2" t="n">
        <f aca="false">MIN(BA63+1,AZ64+1,AZ63+IF($A64=BA$4,0,1))</f>
        <v>56</v>
      </c>
      <c r="BB64" s="2" t="n">
        <f aca="false">MIN(BB63+1,BA64+1,BA63+IF($A64=BB$4,0,1))</f>
        <v>56</v>
      </c>
      <c r="BC64" s="2" t="n">
        <f aca="false">MIN(BC63+1,BB64+1,BB63+IF($A64=BC$4,0,1))</f>
        <v>56</v>
      </c>
      <c r="BD64" s="2" t="n">
        <f aca="false">MIN(BD63+1,BC64+1,BC63+IF($A64=BD$4,0,1))</f>
        <v>56</v>
      </c>
      <c r="BE64" s="2" t="n">
        <f aca="false">MIN(BE63+1,BD64+1,BD63+IF($A64=BE$4,0,1))</f>
        <v>56</v>
      </c>
      <c r="BF64" s="2" t="n">
        <f aca="false">MIN(BF63+1,BE64+1,BE63+IF($A64=BF$4,0,1))</f>
        <v>56</v>
      </c>
      <c r="BG64" s="2" t="n">
        <f aca="false">MIN(BG63+1,BF64+1,BF63+IF($A64=BG$4,0,1))</f>
        <v>56</v>
      </c>
      <c r="BH64" s="2" t="n">
        <f aca="false">MIN(BH63+1,BG64+1,BG63+IF($A64=BH$4,0,1))</f>
        <v>57</v>
      </c>
      <c r="BI64" s="2" t="n">
        <f aca="false">MIN(BI63+1,BH64+1,BH63+IF($A64=BI$4,0,1))</f>
        <v>57</v>
      </c>
      <c r="BJ64" s="2" t="n">
        <f aca="false">MIN(BJ63+1,BI64+1,BI63+IF($A64=BJ$4,0,1))</f>
        <v>57</v>
      </c>
      <c r="BK64" s="2" t="n">
        <f aca="false">MIN(BK63+1,BJ64+1,BJ63+IF($A64=BK$4,0,1))</f>
        <v>57</v>
      </c>
      <c r="BL64" s="2" t="n">
        <f aca="false">MIN(BL63+1,BK64+1,BK63+IF($A64=BL$4,0,1))</f>
        <v>58</v>
      </c>
      <c r="BM64" s="2" t="n">
        <f aca="false">MIN(BM63+1,BL64+1,BL63+IF($A64=BM$4,0,1))</f>
        <v>59</v>
      </c>
      <c r="BN64" s="2" t="n">
        <f aca="false">MIN(BN63+1,BM64+1,BM63+IF($A64=BN$4,0,1))</f>
        <v>60</v>
      </c>
      <c r="BO64" s="2" t="n">
        <f aca="false">MIN(BO63+1,BN64+1,BN63+IF($A64=BO$4,0,1))</f>
        <v>61</v>
      </c>
      <c r="BP64" s="2" t="n">
        <f aca="false">MIN(BP63+1,BO64+1,BO63+IF($A64=BP$4,0,1))</f>
        <v>62</v>
      </c>
      <c r="BQ64" s="2" t="n">
        <f aca="false">MIN(BQ63+1,BP64+1,BP63+IF($A64=BQ$4,0,1))</f>
        <v>63</v>
      </c>
      <c r="BR64" s="2" t="n">
        <f aca="false">MIN(BR63+1,BQ64+1,BQ63+IF($A64=BR$4,0,1))</f>
        <v>64</v>
      </c>
      <c r="BS64" s="2" t="n">
        <f aca="false">MIN(BS63+1,BR64+1,BR63+IF($A64=BS$4,0,1))</f>
        <v>65</v>
      </c>
      <c r="BT64" s="2" t="n">
        <f aca="false">MIN(BT63+1,BS64+1,BS63+IF($A64=BT$4,0,1))</f>
        <v>66</v>
      </c>
      <c r="BU64" s="2" t="n">
        <f aca="false">MIN(BU63+1,BT64+1,BT63+IF($A64=BU$4,0,1))</f>
        <v>67</v>
      </c>
      <c r="BV64" s="2" t="n">
        <f aca="false">MIN(BV63+1,BU64+1,BU63+IF($A64=BV$4,0,1))</f>
        <v>68</v>
      </c>
      <c r="BW64" s="2" t="n">
        <f aca="false">MIN(BW63+1,BV64+1,BV63+IF($A64=BW$4,0,1))</f>
        <v>69</v>
      </c>
      <c r="BX64" s="2" t="n">
        <f aca="false">MIN(BX63+1,BW64+1,BW63+IF($A64=BX$4,0,1))</f>
        <v>70</v>
      </c>
      <c r="BY64" s="2" t="n">
        <f aca="false">MIN(BY63+1,BX64+1,BX63+IF($A64=BY$4,0,1))</f>
        <v>71</v>
      </c>
      <c r="BZ64" s="2" t="n">
        <f aca="false">MIN(BZ63+1,BY64+1,BY63+IF($A64=BZ$4,0,1))</f>
        <v>72</v>
      </c>
      <c r="CA64" s="2" t="n">
        <f aca="false">MIN(CA63+1,BZ64+1,BZ63+IF($A64=CA$4,0,1))</f>
        <v>72</v>
      </c>
      <c r="CB64" s="2" t="n">
        <f aca="false">MIN(CB63+1,CA64+1,CA63+IF($A64=CB$4,0,1))</f>
        <v>73</v>
      </c>
      <c r="CC64" s="2" t="n">
        <f aca="false">MIN(CC63+1,CB64+1,CB63+IF($A64=CC$4,0,1))</f>
        <v>74</v>
      </c>
      <c r="CD64" s="2" t="n">
        <f aca="false">MIN(CD63+1,CC64+1,CC63+IF($A64=CD$4,0,1))</f>
        <v>75</v>
      </c>
      <c r="CE64" s="2" t="n">
        <f aca="false">MIN(CE63+1,CD64+1,CD63+IF($A64=CE$4,0,1))</f>
        <v>76</v>
      </c>
      <c r="CF64" s="2" t="n">
        <f aca="false">MIN(CF63+1,CE64+1,CE63+IF($A64=CF$4,0,1))</f>
        <v>77</v>
      </c>
      <c r="CG64" s="2" t="n">
        <f aca="false">MIN(CG63+1,CF64+1,CF63+IF($A64=CG$4,0,1))</f>
        <v>78</v>
      </c>
      <c r="CH64" s="2" t="n">
        <f aca="false">MIN(CH63+1,CG64+1,CG63+IF($A64=CH$4,0,1))</f>
        <v>79</v>
      </c>
      <c r="CI64" s="2" t="n">
        <f aca="false">MIN(CI63+1,CH64+1,CH63+IF($A64=CI$4,0,1))</f>
        <v>80</v>
      </c>
      <c r="CJ64" s="2" t="n">
        <f aca="false">MIN(CJ63+1,CI64+1,CI63+IF($A64=CJ$4,0,1))</f>
        <v>81</v>
      </c>
      <c r="CK64" s="2" t="n">
        <f aca="false">MIN(CK63+1,CJ64+1,CJ63+IF($A64=CK$4,0,1))</f>
        <v>81</v>
      </c>
      <c r="CL64" s="2" t="n">
        <f aca="false">MIN(CL63+1,CK64+1,CK63+IF($A64=CL$4,0,1))</f>
        <v>82</v>
      </c>
      <c r="CM64" s="2" t="n">
        <f aca="false">MIN(CM63+1,CL64+1,CL63+IF($A64=CM$4,0,1))</f>
        <v>83</v>
      </c>
      <c r="CN64" s="2" t="n">
        <f aca="false">MIN(CN63+1,CM64+1,CM63+IF($A64=CN$4,0,1))</f>
        <v>84</v>
      </c>
      <c r="CO64" s="2" t="n">
        <f aca="false">MIN(CO63+1,CN64+1,CN63+IF($A64=CO$4,0,1))</f>
        <v>85</v>
      </c>
      <c r="CP64" s="2" t="n">
        <f aca="false">MIN(CP63+1,CO64+1,CO63+IF($A64=CP$4,0,1))</f>
        <v>86</v>
      </c>
      <c r="CQ64" s="2" t="n">
        <f aca="false">MIN(CQ63+1,CP64+1,CP63+IF($A64=CQ$4,0,1))</f>
        <v>87</v>
      </c>
    </row>
    <row r="65" customFormat="false" ht="15" hidden="false" customHeight="false" outlineLevel="0" collapsed="false">
      <c r="A65" s="4" t="s">
        <v>182</v>
      </c>
      <c r="B65" s="12" t="n">
        <v>60</v>
      </c>
      <c r="C65" s="2" t="n">
        <f aca="false">MIN(C64+1,B65+1,B64+IF($A65=C$4,0,1))</f>
        <v>60</v>
      </c>
      <c r="D65" s="2" t="n">
        <f aca="false">MIN(D64+1,C65+1,C64+IF($A65=D$4,0,1))</f>
        <v>59</v>
      </c>
      <c r="E65" s="2" t="n">
        <f aca="false">MIN(E64+1,D65+1,D64+IF($A65=E$4,0,1))</f>
        <v>58</v>
      </c>
      <c r="F65" s="2" t="n">
        <f aca="false">MIN(F64+1,E65+1,E64+IF($A65=F$4,0,1))</f>
        <v>57</v>
      </c>
      <c r="G65" s="2" t="n">
        <f aca="false">MIN(G64+1,F65+1,F64+IF($A65=G$4,0,1))</f>
        <v>57</v>
      </c>
      <c r="H65" s="2" t="n">
        <f aca="false">MIN(H64+1,G65+1,G64+IF($A65=H$4,0,1))</f>
        <v>57</v>
      </c>
      <c r="I65" s="2" t="n">
        <f aca="false">MIN(I64+1,H65+1,H64+IF($A65=I$4,0,1))</f>
        <v>57</v>
      </c>
      <c r="J65" s="2" t="n">
        <f aca="false">MIN(J64+1,I65+1,I64+IF($A65=J$4,0,1))</f>
        <v>57</v>
      </c>
      <c r="K65" s="2" t="n">
        <f aca="false">MIN(K64+1,J65+1,J64+IF($A65=K$4,0,1))</f>
        <v>57</v>
      </c>
      <c r="L65" s="2" t="n">
        <f aca="false">MIN(L64+1,K65+1,K64+IF($A65=L$4,0,1))</f>
        <v>57</v>
      </c>
      <c r="M65" s="2" t="n">
        <f aca="false">MIN(M64+1,L65+1,L64+IF($A65=M$4,0,1))</f>
        <v>57</v>
      </c>
      <c r="N65" s="2" t="n">
        <f aca="false">MIN(N64+1,M65+1,M64+IF($A65=N$4,0,1))</f>
        <v>56</v>
      </c>
      <c r="O65" s="2" t="n">
        <f aca="false">MIN(O64+1,N65+1,N64+IF($A65=O$4,0,1))</f>
        <v>56</v>
      </c>
      <c r="P65" s="2" t="n">
        <f aca="false">MIN(P64+1,O65+1,O64+IF($A65=P$4,0,1))</f>
        <v>56</v>
      </c>
      <c r="Q65" s="2" t="n">
        <f aca="false">MIN(Q64+1,P65+1,P64+IF($A65=Q$4,0,1))</f>
        <v>56</v>
      </c>
      <c r="R65" s="2" t="n">
        <f aca="false">MIN(R64+1,Q65+1,Q64+IF($A65=R$4,0,1))</f>
        <v>56</v>
      </c>
      <c r="S65" s="2" t="n">
        <f aca="false">MIN(S64+1,R65+1,R64+IF($A65=S$4,0,1))</f>
        <v>56</v>
      </c>
      <c r="T65" s="2" t="n">
        <f aca="false">MIN(T64+1,S65+1,S64+IF($A65=T$4,0,1))</f>
        <v>56</v>
      </c>
      <c r="U65" s="2" t="n">
        <f aca="false">MIN(U64+1,T65+1,T64+IF($A65=U$4,0,1))</f>
        <v>56</v>
      </c>
      <c r="V65" s="2" t="n">
        <f aca="false">MIN(V64+1,U65+1,U64+IF($A65=V$4,0,1))</f>
        <v>56</v>
      </c>
      <c r="W65" s="2" t="n">
        <f aca="false">MIN(W64+1,V65+1,V64+IF($A65=W$4,0,1))</f>
        <v>55</v>
      </c>
      <c r="X65" s="2" t="n">
        <f aca="false">MIN(X64+1,W65+1,W64+IF($A65=X$4,0,1))</f>
        <v>55</v>
      </c>
      <c r="Y65" s="2" t="n">
        <f aca="false">MIN(Y64+1,X65+1,X64+IF($A65=Y$4,0,1))</f>
        <v>55</v>
      </c>
      <c r="Z65" s="2" t="n">
        <f aca="false">MIN(Z64+1,Y65+1,Y64+IF($A65=Z$4,0,1))</f>
        <v>55</v>
      </c>
      <c r="AA65" s="2" t="n">
        <f aca="false">MIN(AA64+1,Z65+1,Z64+IF($A65=AA$4,0,1))</f>
        <v>55</v>
      </c>
      <c r="AB65" s="2" t="n">
        <f aca="false">MIN(AB64+1,AA65+1,AA64+IF($A65=AB$4,0,1))</f>
        <v>55</v>
      </c>
      <c r="AC65" s="2" t="n">
        <f aca="false">MIN(AC64+1,AB65+1,AB64+IF($A65=AC$4,0,1))</f>
        <v>55</v>
      </c>
      <c r="AD65" s="2" t="n">
        <f aca="false">MIN(AD64+1,AC65+1,AC64+IF($A65=AD$4,0,1))</f>
        <v>56</v>
      </c>
      <c r="AE65" s="2" t="n">
        <f aca="false">MIN(AE64+1,AD65+1,AD64+IF($A65=AE$4,0,1))</f>
        <v>56</v>
      </c>
      <c r="AF65" s="2" t="n">
        <f aca="false">MIN(AF64+1,AE65+1,AE64+IF($A65=AF$4,0,1))</f>
        <v>56</v>
      </c>
      <c r="AG65" s="2" t="n">
        <f aca="false">MIN(AG64+1,AF65+1,AF64+IF($A65=AG$4,0,1))</f>
        <v>56</v>
      </c>
      <c r="AH65" s="2" t="n">
        <f aca="false">MIN(AH64+1,AG65+1,AG64+IF($A65=AH$4,0,1))</f>
        <v>56</v>
      </c>
      <c r="AI65" s="2" t="n">
        <f aca="false">MIN(AI64+1,AH65+1,AH64+IF($A65=AI$4,0,1))</f>
        <v>56</v>
      </c>
      <c r="AJ65" s="2" t="n">
        <f aca="false">MIN(AJ64+1,AI65+1,AI64+IF($A65=AJ$4,0,1))</f>
        <v>56</v>
      </c>
      <c r="AK65" s="2" t="n">
        <f aca="false">MIN(AK64+1,AJ65+1,AJ64+IF($A65=AK$4,0,1))</f>
        <v>56</v>
      </c>
      <c r="AL65" s="2" t="n">
        <f aca="false">MIN(AL64+1,AK65+1,AK64+IF($A65=AL$4,0,1))</f>
        <v>56</v>
      </c>
      <c r="AM65" s="2" t="n">
        <f aca="false">MIN(AM64+1,AL65+1,AL64+IF($A65=AM$4,0,1))</f>
        <v>56</v>
      </c>
      <c r="AN65" s="2" t="n">
        <f aca="false">MIN(AN64+1,AM65+1,AM64+IF($A65=AN$4,0,1))</f>
        <v>56</v>
      </c>
      <c r="AO65" s="2" t="n">
        <f aca="false">MIN(AO64+1,AN65+1,AN64+IF($A65=AO$4,0,1))</f>
        <v>56</v>
      </c>
      <c r="AP65" s="2" t="n">
        <f aca="false">MIN(AP64+1,AO65+1,AO64+IF($A65=AP$4,0,1))</f>
        <v>56</v>
      </c>
      <c r="AQ65" s="2" t="n">
        <f aca="false">MIN(AQ64+1,AP65+1,AP64+IF($A65=AQ$4,0,1))</f>
        <v>56</v>
      </c>
      <c r="AR65" s="2" t="n">
        <f aca="false">MIN(AR64+1,AQ65+1,AQ64+IF($A65=AR$4,0,1))</f>
        <v>56</v>
      </c>
      <c r="AS65" s="2" t="n">
        <f aca="false">MIN(AS64+1,AR65+1,AR64+IF($A65=AS$4,0,1))</f>
        <v>56</v>
      </c>
      <c r="AT65" s="2" t="n">
        <f aca="false">MIN(AT64+1,AS65+1,AS64+IF($A65=AT$4,0,1))</f>
        <v>56</v>
      </c>
      <c r="AU65" s="2" t="n">
        <f aca="false">MIN(AU64+1,AT65+1,AT64+IF($A65=AU$4,0,1))</f>
        <v>56</v>
      </c>
      <c r="AV65" s="2" t="n">
        <f aca="false">MIN(AV64+1,AU65+1,AU64+IF($A65=AV$4,0,1))</f>
        <v>56</v>
      </c>
      <c r="AW65" s="2" t="n">
        <f aca="false">MIN(AW64+1,AV65+1,AV64+IF($A65=AW$4,0,1))</f>
        <v>56</v>
      </c>
      <c r="AX65" s="2" t="n">
        <f aca="false">MIN(AX64+1,AW65+1,AW64+IF($A65=AX$4,0,1))</f>
        <v>56</v>
      </c>
      <c r="AY65" s="2" t="n">
        <f aca="false">MIN(AY64+1,AX65+1,AX64+IF($A65=AY$4,0,1))</f>
        <v>56</v>
      </c>
      <c r="AZ65" s="2" t="n">
        <f aca="false">MIN(AZ64+1,AY65+1,AY64+IF($A65=AZ$4,0,1))</f>
        <v>57</v>
      </c>
      <c r="BA65" s="2" t="n">
        <f aca="false">MIN(BA64+1,AZ65+1,AZ64+IF($A65=BA$4,0,1))</f>
        <v>57</v>
      </c>
      <c r="BB65" s="2" t="n">
        <f aca="false">MIN(BB64+1,BA65+1,BA64+IF($A65=BB$4,0,1))</f>
        <v>57</v>
      </c>
      <c r="BC65" s="2" t="n">
        <f aca="false">MIN(BC64+1,BB65+1,BB64+IF($A65=BC$4,0,1))</f>
        <v>57</v>
      </c>
      <c r="BD65" s="2" t="n">
        <f aca="false">MIN(BD64+1,BC65+1,BC64+IF($A65=BD$4,0,1))</f>
        <v>57</v>
      </c>
      <c r="BE65" s="2" t="n">
        <f aca="false">MIN(BE64+1,BD65+1,BD64+IF($A65=BE$4,0,1))</f>
        <v>57</v>
      </c>
      <c r="BF65" s="2" t="n">
        <f aca="false">MIN(BF64+1,BE65+1,BE64+IF($A65=BF$4,0,1))</f>
        <v>57</v>
      </c>
      <c r="BG65" s="2" t="n">
        <f aca="false">MIN(BG64+1,BF65+1,BF64+IF($A65=BG$4,0,1))</f>
        <v>57</v>
      </c>
      <c r="BH65" s="2" t="n">
        <f aca="false">MIN(BH64+1,BG65+1,BG64+IF($A65=BH$4,0,1))</f>
        <v>57</v>
      </c>
      <c r="BI65" s="2" t="n">
        <f aca="false">MIN(BI64+1,BH65+1,BH64+IF($A65=BI$4,0,1))</f>
        <v>58</v>
      </c>
      <c r="BJ65" s="2" t="n">
        <f aca="false">MIN(BJ64+1,BI65+1,BI64+IF($A65=BJ$4,0,1))</f>
        <v>58</v>
      </c>
      <c r="BK65" s="2" t="n">
        <f aca="false">MIN(BK64+1,BJ65+1,BJ64+IF($A65=BK$4,0,1))</f>
        <v>58</v>
      </c>
      <c r="BL65" s="2" t="n">
        <f aca="false">MIN(BL64+1,BK65+1,BK64+IF($A65=BL$4,0,1))</f>
        <v>58</v>
      </c>
      <c r="BM65" s="2" t="n">
        <f aca="false">MIN(BM64+1,BL65+1,BL64+IF($A65=BM$4,0,1))</f>
        <v>59</v>
      </c>
      <c r="BN65" s="2" t="n">
        <f aca="false">MIN(BN64+1,BM65+1,BM64+IF($A65=BN$4,0,1))</f>
        <v>60</v>
      </c>
      <c r="BO65" s="2" t="n">
        <f aca="false">MIN(BO64+1,BN65+1,BN64+IF($A65=BO$4,0,1))</f>
        <v>61</v>
      </c>
      <c r="BP65" s="2" t="n">
        <f aca="false">MIN(BP64+1,BO65+1,BO64+IF($A65=BP$4,0,1))</f>
        <v>62</v>
      </c>
      <c r="BQ65" s="2" t="n">
        <f aca="false">MIN(BQ64+1,BP65+1,BP64+IF($A65=BQ$4,0,1))</f>
        <v>63</v>
      </c>
      <c r="BR65" s="2" t="n">
        <f aca="false">MIN(BR64+1,BQ65+1,BQ64+IF($A65=BR$4,0,1))</f>
        <v>64</v>
      </c>
      <c r="BS65" s="2" t="n">
        <f aca="false">MIN(BS64+1,BR65+1,BR64+IF($A65=BS$4,0,1))</f>
        <v>65</v>
      </c>
      <c r="BT65" s="2" t="n">
        <f aca="false">MIN(BT64+1,BS65+1,BS64+IF($A65=BT$4,0,1))</f>
        <v>66</v>
      </c>
      <c r="BU65" s="2" t="n">
        <f aca="false">MIN(BU64+1,BT65+1,BT64+IF($A65=BU$4,0,1))</f>
        <v>67</v>
      </c>
      <c r="BV65" s="2" t="n">
        <f aca="false">MIN(BV64+1,BU65+1,BU64+IF($A65=BV$4,0,1))</f>
        <v>68</v>
      </c>
      <c r="BW65" s="2" t="n">
        <f aca="false">MIN(BW64+1,BV65+1,BV64+IF($A65=BW$4,0,1))</f>
        <v>69</v>
      </c>
      <c r="BX65" s="2" t="n">
        <f aca="false">MIN(BX64+1,BW65+1,BW64+IF($A65=BX$4,0,1))</f>
        <v>70</v>
      </c>
      <c r="BY65" s="2" t="n">
        <f aca="false">MIN(BY64+1,BX65+1,BX64+IF($A65=BY$4,0,1))</f>
        <v>71</v>
      </c>
      <c r="BZ65" s="2" t="n">
        <f aca="false">MIN(BZ64+1,BY65+1,BY64+IF($A65=BZ$4,0,1))</f>
        <v>72</v>
      </c>
      <c r="CA65" s="2" t="n">
        <f aca="false">MIN(CA64+1,BZ65+1,BZ64+IF($A65=CA$4,0,1))</f>
        <v>73</v>
      </c>
      <c r="CB65" s="2" t="n">
        <f aca="false">MIN(CB64+1,CA65+1,CA64+IF($A65=CB$4,0,1))</f>
        <v>73</v>
      </c>
      <c r="CC65" s="2" t="n">
        <f aca="false">MIN(CC64+1,CB65+1,CB64+IF($A65=CC$4,0,1))</f>
        <v>74</v>
      </c>
      <c r="CD65" s="2" t="n">
        <f aca="false">MIN(CD64+1,CC65+1,CC64+IF($A65=CD$4,0,1))</f>
        <v>75</v>
      </c>
      <c r="CE65" s="2" t="n">
        <f aca="false">MIN(CE64+1,CD65+1,CD64+IF($A65=CE$4,0,1))</f>
        <v>76</v>
      </c>
      <c r="CF65" s="2" t="n">
        <f aca="false">MIN(CF64+1,CE65+1,CE64+IF($A65=CF$4,0,1))</f>
        <v>77</v>
      </c>
      <c r="CG65" s="2" t="n">
        <f aca="false">MIN(CG64+1,CF65+1,CF64+IF($A65=CG$4,0,1))</f>
        <v>78</v>
      </c>
      <c r="CH65" s="2" t="n">
        <f aca="false">MIN(CH64+1,CG65+1,CG64+IF($A65=CH$4,0,1))</f>
        <v>79</v>
      </c>
      <c r="CI65" s="2" t="n">
        <f aca="false">MIN(CI64+1,CH65+1,CH64+IF($A65=CI$4,0,1))</f>
        <v>80</v>
      </c>
      <c r="CJ65" s="2" t="n">
        <f aca="false">MIN(CJ64+1,CI65+1,CI64+IF($A65=CJ$4,0,1))</f>
        <v>81</v>
      </c>
      <c r="CK65" s="2" t="n">
        <f aca="false">MIN(CK64+1,CJ65+1,CJ64+IF($A65=CK$4,0,1))</f>
        <v>82</v>
      </c>
      <c r="CL65" s="2" t="n">
        <f aca="false">MIN(CL64+1,CK65+1,CK64+IF($A65=CL$4,0,1))</f>
        <v>82</v>
      </c>
      <c r="CM65" s="2" t="n">
        <f aca="false">MIN(CM64+1,CL65+1,CL64+IF($A65=CM$4,0,1))</f>
        <v>83</v>
      </c>
      <c r="CN65" s="2" t="n">
        <f aca="false">MIN(CN64+1,CM65+1,CM64+IF($A65=CN$4,0,1))</f>
        <v>84</v>
      </c>
      <c r="CO65" s="2" t="n">
        <f aca="false">MIN(CO64+1,CN65+1,CN64+IF($A65=CO$4,0,1))</f>
        <v>85</v>
      </c>
      <c r="CP65" s="2" t="n">
        <f aca="false">MIN(CP64+1,CO65+1,CO64+IF($A65=CP$4,0,1))</f>
        <v>86</v>
      </c>
      <c r="CQ65" s="2" t="n">
        <f aca="false">MIN(CQ64+1,CP65+1,CP64+IF($A65=CQ$4,0,1))</f>
        <v>87</v>
      </c>
    </row>
    <row r="66" customFormat="false" ht="15" hidden="false" customHeight="false" outlineLevel="0" collapsed="false">
      <c r="A66" s="4" t="s">
        <v>89</v>
      </c>
      <c r="B66" s="12" t="n">
        <v>61</v>
      </c>
      <c r="C66" s="2" t="n">
        <f aca="false">MIN(C65+1,B66+1,B65+IF($A66=C$4,0,1))</f>
        <v>61</v>
      </c>
      <c r="D66" s="2" t="n">
        <f aca="false">MIN(D65+1,C66+1,C65+IF($A66=D$4,0,1))</f>
        <v>60</v>
      </c>
      <c r="E66" s="2" t="n">
        <f aca="false">MIN(E65+1,D66+1,D65+IF($A66=E$4,0,1))</f>
        <v>59</v>
      </c>
      <c r="F66" s="2" t="n">
        <f aca="false">MIN(F65+1,E66+1,E65+IF($A66=F$4,0,1))</f>
        <v>58</v>
      </c>
      <c r="G66" s="2" t="n">
        <f aca="false">MIN(G65+1,F66+1,F65+IF($A66=G$4,0,1))</f>
        <v>58</v>
      </c>
      <c r="H66" s="2" t="n">
        <f aca="false">MIN(H65+1,G66+1,G65+IF($A66=H$4,0,1))</f>
        <v>58</v>
      </c>
      <c r="I66" s="2" t="n">
        <f aca="false">MIN(I65+1,H66+1,H65+IF($A66=I$4,0,1))</f>
        <v>58</v>
      </c>
      <c r="J66" s="2" t="n">
        <f aca="false">MIN(J65+1,I66+1,I65+IF($A66=J$4,0,1))</f>
        <v>58</v>
      </c>
      <c r="K66" s="2" t="n">
        <f aca="false">MIN(K65+1,J66+1,J65+IF($A66=K$4,0,1))</f>
        <v>57</v>
      </c>
      <c r="L66" s="2" t="n">
        <f aca="false">MIN(L65+1,K66+1,K65+IF($A66=L$4,0,1))</f>
        <v>58</v>
      </c>
      <c r="M66" s="2" t="n">
        <f aca="false">MIN(M65+1,L66+1,L65+IF($A66=M$4,0,1))</f>
        <v>58</v>
      </c>
      <c r="N66" s="2" t="n">
        <f aca="false">MIN(N65+1,M66+1,M65+IF($A66=N$4,0,1))</f>
        <v>57</v>
      </c>
      <c r="O66" s="2" t="n">
        <f aca="false">MIN(O65+1,N66+1,N65+IF($A66=O$4,0,1))</f>
        <v>56</v>
      </c>
      <c r="P66" s="2" t="n">
        <f aca="false">MIN(P65+1,O66+1,O65+IF($A66=P$4,0,1))</f>
        <v>57</v>
      </c>
      <c r="Q66" s="2" t="n">
        <f aca="false">MIN(Q65+1,P66+1,P65+IF($A66=Q$4,0,1))</f>
        <v>57</v>
      </c>
      <c r="R66" s="2" t="n">
        <f aca="false">MIN(R65+1,Q66+1,Q65+IF($A66=R$4,0,1))</f>
        <v>57</v>
      </c>
      <c r="S66" s="2" t="n">
        <f aca="false">MIN(S65+1,R66+1,R65+IF($A66=S$4,0,1))</f>
        <v>57</v>
      </c>
      <c r="T66" s="2" t="n">
        <f aca="false">MIN(T65+1,S66+1,S65+IF($A66=T$4,0,1))</f>
        <v>57</v>
      </c>
      <c r="U66" s="2" t="n">
        <f aca="false">MIN(U65+1,T66+1,T65+IF($A66=U$4,0,1))</f>
        <v>57</v>
      </c>
      <c r="V66" s="2" t="n">
        <f aca="false">MIN(V65+1,U66+1,U65+IF($A66=V$4,0,1))</f>
        <v>57</v>
      </c>
      <c r="W66" s="2" t="n">
        <f aca="false">MIN(W65+1,V66+1,V65+IF($A66=W$4,0,1))</f>
        <v>56</v>
      </c>
      <c r="X66" s="2" t="n">
        <f aca="false">MIN(X65+1,W66+1,W65+IF($A66=X$4,0,1))</f>
        <v>56</v>
      </c>
      <c r="Y66" s="2" t="n">
        <f aca="false">MIN(Y65+1,X66+1,X65+IF($A66=Y$4,0,1))</f>
        <v>56</v>
      </c>
      <c r="Z66" s="2" t="n">
        <f aca="false">MIN(Z65+1,Y66+1,Y65+IF($A66=Z$4,0,1))</f>
        <v>56</v>
      </c>
      <c r="AA66" s="2" t="n">
        <f aca="false">MIN(AA65+1,Z66+1,Z65+IF($A66=AA$4,0,1))</f>
        <v>56</v>
      </c>
      <c r="AB66" s="2" t="n">
        <f aca="false">MIN(AB65+1,AA66+1,AA65+IF($A66=AB$4,0,1))</f>
        <v>56</v>
      </c>
      <c r="AC66" s="2" t="n">
        <f aca="false">MIN(AC65+1,AB66+1,AB65+IF($A66=AC$4,0,1))</f>
        <v>56</v>
      </c>
      <c r="AD66" s="2" t="n">
        <f aca="false">MIN(AD65+1,AC66+1,AC65+IF($A66=AD$4,0,1))</f>
        <v>56</v>
      </c>
      <c r="AE66" s="2" t="n">
        <f aca="false">MIN(AE65+1,AD66+1,AD65+IF($A66=AE$4,0,1))</f>
        <v>57</v>
      </c>
      <c r="AF66" s="2" t="n">
        <f aca="false">MIN(AF65+1,AE66+1,AE65+IF($A66=AF$4,0,1))</f>
        <v>57</v>
      </c>
      <c r="AG66" s="2" t="n">
        <f aca="false">MIN(AG65+1,AF66+1,AF65+IF($A66=AG$4,0,1))</f>
        <v>57</v>
      </c>
      <c r="AH66" s="2" t="n">
        <f aca="false">MIN(AH65+1,AG66+1,AG65+IF($A66=AH$4,0,1))</f>
        <v>57</v>
      </c>
      <c r="AI66" s="2" t="n">
        <f aca="false">MIN(AI65+1,AH66+1,AH65+IF($A66=AI$4,0,1))</f>
        <v>57</v>
      </c>
      <c r="AJ66" s="2" t="n">
        <f aca="false">MIN(AJ65+1,AI66+1,AI65+IF($A66=AJ$4,0,1))</f>
        <v>57</v>
      </c>
      <c r="AK66" s="2" t="n">
        <f aca="false">MIN(AK65+1,AJ66+1,AJ65+IF($A66=AK$4,0,1))</f>
        <v>57</v>
      </c>
      <c r="AL66" s="2" t="n">
        <f aca="false">MIN(AL65+1,AK66+1,AK65+IF($A66=AL$4,0,1))</f>
        <v>57</v>
      </c>
      <c r="AM66" s="2" t="n">
        <f aca="false">MIN(AM65+1,AL66+1,AL65+IF($A66=AM$4,0,1))</f>
        <v>57</v>
      </c>
      <c r="AN66" s="2" t="n">
        <f aca="false">MIN(AN65+1,AM66+1,AM65+IF($A66=AN$4,0,1))</f>
        <v>57</v>
      </c>
      <c r="AO66" s="2" t="n">
        <f aca="false">MIN(AO65+1,AN66+1,AN65+IF($A66=AO$4,0,1))</f>
        <v>57</v>
      </c>
      <c r="AP66" s="2" t="n">
        <f aca="false">MIN(AP65+1,AO66+1,AO65+IF($A66=AP$4,0,1))</f>
        <v>57</v>
      </c>
      <c r="AQ66" s="2" t="n">
        <f aca="false">MIN(AQ65+1,AP66+1,AP65+IF($A66=AQ$4,0,1))</f>
        <v>57</v>
      </c>
      <c r="AR66" s="2" t="n">
        <f aca="false">MIN(AR65+1,AQ66+1,AQ65+IF($A66=AR$4,0,1))</f>
        <v>57</v>
      </c>
      <c r="AS66" s="2" t="n">
        <f aca="false">MIN(AS65+1,AR66+1,AR65+IF($A66=AS$4,0,1))</f>
        <v>57</v>
      </c>
      <c r="AT66" s="2" t="n">
        <f aca="false">MIN(AT65+1,AS66+1,AS65+IF($A66=AT$4,0,1))</f>
        <v>57</v>
      </c>
      <c r="AU66" s="2" t="n">
        <f aca="false">MIN(AU65+1,AT66+1,AT65+IF($A66=AU$4,0,1))</f>
        <v>57</v>
      </c>
      <c r="AV66" s="2" t="n">
        <f aca="false">MIN(AV65+1,AU66+1,AU65+IF($A66=AV$4,0,1))</f>
        <v>57</v>
      </c>
      <c r="AW66" s="2" t="n">
        <f aca="false">MIN(AW65+1,AV66+1,AV65+IF($A66=AW$4,0,1))</f>
        <v>57</v>
      </c>
      <c r="AX66" s="2" t="n">
        <f aca="false">MIN(AX65+1,AW66+1,AW65+IF($A66=AX$4,0,1))</f>
        <v>57</v>
      </c>
      <c r="AY66" s="2" t="n">
        <f aca="false">MIN(AY65+1,AX66+1,AX65+IF($A66=AY$4,0,1))</f>
        <v>57</v>
      </c>
      <c r="AZ66" s="2" t="n">
        <f aca="false">MIN(AZ65+1,AY66+1,AY65+IF($A66=AZ$4,0,1))</f>
        <v>57</v>
      </c>
      <c r="BA66" s="2" t="n">
        <f aca="false">MIN(BA65+1,AZ66+1,AZ65+IF($A66=BA$4,0,1))</f>
        <v>58</v>
      </c>
      <c r="BB66" s="2" t="n">
        <f aca="false">MIN(BB65+1,BA66+1,BA65+IF($A66=BB$4,0,1))</f>
        <v>58</v>
      </c>
      <c r="BC66" s="2" t="n">
        <f aca="false">MIN(BC65+1,BB66+1,BB65+IF($A66=BC$4,0,1))</f>
        <v>58</v>
      </c>
      <c r="BD66" s="2" t="n">
        <f aca="false">MIN(BD65+1,BC66+1,BC65+IF($A66=BD$4,0,1))</f>
        <v>58</v>
      </c>
      <c r="BE66" s="2" t="n">
        <f aca="false">MIN(BE65+1,BD66+1,BD65+IF($A66=BE$4,0,1))</f>
        <v>58</v>
      </c>
      <c r="BF66" s="2" t="n">
        <f aca="false">MIN(BF65+1,BE66+1,BE65+IF($A66=BF$4,0,1))</f>
        <v>58</v>
      </c>
      <c r="BG66" s="2" t="n">
        <f aca="false">MIN(BG65+1,BF66+1,BF65+IF($A66=BG$4,0,1))</f>
        <v>58</v>
      </c>
      <c r="BH66" s="2" t="n">
        <f aca="false">MIN(BH65+1,BG66+1,BG65+IF($A66=BH$4,0,1))</f>
        <v>58</v>
      </c>
      <c r="BI66" s="2" t="n">
        <f aca="false">MIN(BI65+1,BH66+1,BH65+IF($A66=BI$4,0,1))</f>
        <v>58</v>
      </c>
      <c r="BJ66" s="2" t="n">
        <f aca="false">MIN(BJ65+1,BI66+1,BI65+IF($A66=BJ$4,0,1))</f>
        <v>59</v>
      </c>
      <c r="BK66" s="2" t="n">
        <f aca="false">MIN(BK65+1,BJ66+1,BJ65+IF($A66=BK$4,0,1))</f>
        <v>59</v>
      </c>
      <c r="BL66" s="2" t="n">
        <f aca="false">MIN(BL65+1,BK66+1,BK65+IF($A66=BL$4,0,1))</f>
        <v>58</v>
      </c>
      <c r="BM66" s="2" t="n">
        <f aca="false">MIN(BM65+1,BL66+1,BL65+IF($A66=BM$4,0,1))</f>
        <v>59</v>
      </c>
      <c r="BN66" s="2" t="n">
        <f aca="false">MIN(BN65+1,BM66+1,BM65+IF($A66=BN$4,0,1))</f>
        <v>60</v>
      </c>
      <c r="BO66" s="2" t="n">
        <f aca="false">MIN(BO65+1,BN66+1,BN65+IF($A66=BO$4,0,1))</f>
        <v>61</v>
      </c>
      <c r="BP66" s="2" t="n">
        <f aca="false">MIN(BP65+1,BO66+1,BO65+IF($A66=BP$4,0,1))</f>
        <v>62</v>
      </c>
      <c r="BQ66" s="2" t="n">
        <f aca="false">MIN(BQ65+1,BP66+1,BP65+IF($A66=BQ$4,0,1))</f>
        <v>63</v>
      </c>
      <c r="BR66" s="2" t="n">
        <f aca="false">MIN(BR65+1,BQ66+1,BQ65+IF($A66=BR$4,0,1))</f>
        <v>64</v>
      </c>
      <c r="BS66" s="2" t="n">
        <f aca="false">MIN(BS65+1,BR66+1,BR65+IF($A66=BS$4,0,1))</f>
        <v>65</v>
      </c>
      <c r="BT66" s="2" t="n">
        <f aca="false">MIN(BT65+1,BS66+1,BS65+IF($A66=BT$4,0,1))</f>
        <v>66</v>
      </c>
      <c r="BU66" s="2" t="n">
        <f aca="false">MIN(BU65+1,BT66+1,BT65+IF($A66=BU$4,0,1))</f>
        <v>67</v>
      </c>
      <c r="BV66" s="2" t="n">
        <f aca="false">MIN(BV65+1,BU66+1,BU65+IF($A66=BV$4,0,1))</f>
        <v>68</v>
      </c>
      <c r="BW66" s="2" t="n">
        <f aca="false">MIN(BW65+1,BV66+1,BV65+IF($A66=BW$4,0,1))</f>
        <v>69</v>
      </c>
      <c r="BX66" s="2" t="n">
        <f aca="false">MIN(BX65+1,BW66+1,BW65+IF($A66=BX$4,0,1))</f>
        <v>70</v>
      </c>
      <c r="BY66" s="2" t="n">
        <f aca="false">MIN(BY65+1,BX66+1,BX65+IF($A66=BY$4,0,1))</f>
        <v>71</v>
      </c>
      <c r="BZ66" s="2" t="n">
        <f aca="false">MIN(BZ65+1,BY66+1,BY65+IF($A66=BZ$4,0,1))</f>
        <v>72</v>
      </c>
      <c r="CA66" s="2" t="n">
        <f aca="false">MIN(CA65+1,BZ66+1,BZ65+IF($A66=CA$4,0,1))</f>
        <v>73</v>
      </c>
      <c r="CB66" s="2" t="n">
        <f aca="false">MIN(CB65+1,CA66+1,CA65+IF($A66=CB$4,0,1))</f>
        <v>74</v>
      </c>
      <c r="CC66" s="2" t="n">
        <f aca="false">MIN(CC65+1,CB66+1,CB65+IF($A66=CC$4,0,1))</f>
        <v>74</v>
      </c>
      <c r="CD66" s="2" t="n">
        <f aca="false">MIN(CD65+1,CC66+1,CC65+IF($A66=CD$4,0,1))</f>
        <v>75</v>
      </c>
      <c r="CE66" s="2" t="n">
        <f aca="false">MIN(CE65+1,CD66+1,CD65+IF($A66=CE$4,0,1))</f>
        <v>76</v>
      </c>
      <c r="CF66" s="2" t="n">
        <f aca="false">MIN(CF65+1,CE66+1,CE65+IF($A66=CF$4,0,1))</f>
        <v>77</v>
      </c>
      <c r="CG66" s="2" t="n">
        <f aca="false">MIN(CG65+1,CF66+1,CF65+IF($A66=CG$4,0,1))</f>
        <v>78</v>
      </c>
      <c r="CH66" s="2" t="n">
        <f aca="false">MIN(CH65+1,CG66+1,CG65+IF($A66=CH$4,0,1))</f>
        <v>79</v>
      </c>
      <c r="CI66" s="2" t="n">
        <f aca="false">MIN(CI65+1,CH66+1,CH65+IF($A66=CI$4,0,1))</f>
        <v>80</v>
      </c>
      <c r="CJ66" s="2" t="n">
        <f aca="false">MIN(CJ65+1,CI66+1,CI65+IF($A66=CJ$4,0,1))</f>
        <v>81</v>
      </c>
      <c r="CK66" s="2" t="n">
        <f aca="false">MIN(CK65+1,CJ66+1,CJ65+IF($A66=CK$4,0,1))</f>
        <v>82</v>
      </c>
      <c r="CL66" s="2" t="n">
        <f aca="false">MIN(CL65+1,CK66+1,CK65+IF($A66=CL$4,0,1))</f>
        <v>83</v>
      </c>
      <c r="CM66" s="2" t="n">
        <f aca="false">MIN(CM65+1,CL66+1,CL65+IF($A66=CM$4,0,1))</f>
        <v>83</v>
      </c>
      <c r="CN66" s="2" t="n">
        <f aca="false">MIN(CN65+1,CM66+1,CM65+IF($A66=CN$4,0,1))</f>
        <v>84</v>
      </c>
      <c r="CO66" s="2" t="n">
        <f aca="false">MIN(CO65+1,CN66+1,CN65+IF($A66=CO$4,0,1))</f>
        <v>85</v>
      </c>
      <c r="CP66" s="2" t="n">
        <f aca="false">MIN(CP65+1,CO66+1,CO65+IF($A66=CP$4,0,1))</f>
        <v>86</v>
      </c>
      <c r="CQ66" s="2" t="n">
        <f aca="false">MIN(CQ65+1,CP66+1,CP65+IF($A66=CQ$4,0,1))</f>
        <v>87</v>
      </c>
    </row>
    <row r="67" customFormat="false" ht="15" hidden="false" customHeight="false" outlineLevel="0" collapsed="false">
      <c r="A67" s="4" t="s">
        <v>183</v>
      </c>
      <c r="B67" s="12" t="n">
        <v>62</v>
      </c>
      <c r="C67" s="2" t="n">
        <f aca="false">MIN(C66+1,B67+1,B66+IF($A67=C$4,0,1))</f>
        <v>62</v>
      </c>
      <c r="D67" s="2" t="n">
        <f aca="false">MIN(D66+1,C67+1,C66+IF($A67=D$4,0,1))</f>
        <v>61</v>
      </c>
      <c r="E67" s="2" t="n">
        <f aca="false">MIN(E66+1,D67+1,D66+IF($A67=E$4,0,1))</f>
        <v>60</v>
      </c>
      <c r="F67" s="2" t="n">
        <f aca="false">MIN(F66+1,E67+1,E66+IF($A67=F$4,0,1))</f>
        <v>59</v>
      </c>
      <c r="G67" s="2" t="n">
        <f aca="false">MIN(G66+1,F67+1,F66+IF($A67=G$4,0,1))</f>
        <v>59</v>
      </c>
      <c r="H67" s="2" t="n">
        <f aca="false">MIN(H66+1,G67+1,G66+IF($A67=H$4,0,1))</f>
        <v>59</v>
      </c>
      <c r="I67" s="2" t="n">
        <f aca="false">MIN(I66+1,H67+1,H66+IF($A67=I$4,0,1))</f>
        <v>59</v>
      </c>
      <c r="J67" s="2" t="n">
        <f aca="false">MIN(J66+1,I67+1,I66+IF($A67=J$4,0,1))</f>
        <v>59</v>
      </c>
      <c r="K67" s="2" t="n">
        <f aca="false">MIN(K66+1,J67+1,J66+IF($A67=K$4,0,1))</f>
        <v>58</v>
      </c>
      <c r="L67" s="2" t="n">
        <f aca="false">MIN(L66+1,K67+1,K66+IF($A67=L$4,0,1))</f>
        <v>58</v>
      </c>
      <c r="M67" s="2" t="n">
        <f aca="false">MIN(M66+1,L67+1,L66+IF($A67=M$4,0,1))</f>
        <v>59</v>
      </c>
      <c r="N67" s="2" t="n">
        <f aca="false">MIN(N66+1,M67+1,M66+IF($A67=N$4,0,1))</f>
        <v>58</v>
      </c>
      <c r="O67" s="2" t="n">
        <f aca="false">MIN(O66+1,N67+1,N66+IF($A67=O$4,0,1))</f>
        <v>57</v>
      </c>
      <c r="P67" s="2" t="n">
        <f aca="false">MIN(P66+1,O67+1,O66+IF($A67=P$4,0,1))</f>
        <v>57</v>
      </c>
      <c r="Q67" s="2" t="n">
        <f aca="false">MIN(Q66+1,P67+1,P66+IF($A67=Q$4,0,1))</f>
        <v>58</v>
      </c>
      <c r="R67" s="2" t="n">
        <f aca="false">MIN(R66+1,Q67+1,Q66+IF($A67=R$4,0,1))</f>
        <v>58</v>
      </c>
      <c r="S67" s="2" t="n">
        <f aca="false">MIN(S66+1,R67+1,R66+IF($A67=S$4,0,1))</f>
        <v>58</v>
      </c>
      <c r="T67" s="2" t="n">
        <f aca="false">MIN(T66+1,S67+1,S66+IF($A67=T$4,0,1))</f>
        <v>58</v>
      </c>
      <c r="U67" s="2" t="n">
        <f aca="false">MIN(U66+1,T67+1,T66+IF($A67=U$4,0,1))</f>
        <v>58</v>
      </c>
      <c r="V67" s="2" t="n">
        <f aca="false">MIN(V66+1,U67+1,U66+IF($A67=V$4,0,1))</f>
        <v>58</v>
      </c>
      <c r="W67" s="2" t="n">
        <f aca="false">MIN(W66+1,V67+1,V66+IF($A67=W$4,0,1))</f>
        <v>57</v>
      </c>
      <c r="X67" s="2" t="n">
        <f aca="false">MIN(X66+1,W67+1,W66+IF($A67=X$4,0,1))</f>
        <v>57</v>
      </c>
      <c r="Y67" s="2" t="n">
        <f aca="false">MIN(Y66+1,X67+1,X66+IF($A67=Y$4,0,1))</f>
        <v>57</v>
      </c>
      <c r="Z67" s="2" t="n">
        <f aca="false">MIN(Z66+1,Y67+1,Y66+IF($A67=Z$4,0,1))</f>
        <v>57</v>
      </c>
      <c r="AA67" s="2" t="n">
        <f aca="false">MIN(AA66+1,Z67+1,Z66+IF($A67=AA$4,0,1))</f>
        <v>57</v>
      </c>
      <c r="AB67" s="2" t="n">
        <f aca="false">MIN(AB66+1,AA67+1,AA66+IF($A67=AB$4,0,1))</f>
        <v>57</v>
      </c>
      <c r="AC67" s="2" t="n">
        <f aca="false">MIN(AC66+1,AB67+1,AB66+IF($A67=AC$4,0,1))</f>
        <v>57</v>
      </c>
      <c r="AD67" s="2" t="n">
        <f aca="false">MIN(AD66+1,AC67+1,AC66+IF($A67=AD$4,0,1))</f>
        <v>57</v>
      </c>
      <c r="AE67" s="2" t="n">
        <f aca="false">MIN(AE66+1,AD67+1,AD66+IF($A67=AE$4,0,1))</f>
        <v>57</v>
      </c>
      <c r="AF67" s="2" t="n">
        <f aca="false">MIN(AF66+1,AE67+1,AE66+IF($A67=AF$4,0,1))</f>
        <v>58</v>
      </c>
      <c r="AG67" s="2" t="n">
        <f aca="false">MIN(AG66+1,AF67+1,AF66+IF($A67=AG$4,0,1))</f>
        <v>58</v>
      </c>
      <c r="AH67" s="2" t="n">
        <f aca="false">MIN(AH66+1,AG67+1,AG66+IF($A67=AH$4,0,1))</f>
        <v>58</v>
      </c>
      <c r="AI67" s="2" t="n">
        <f aca="false">MIN(AI66+1,AH67+1,AH66+IF($A67=AI$4,0,1))</f>
        <v>58</v>
      </c>
      <c r="AJ67" s="2" t="n">
        <f aca="false">MIN(AJ66+1,AI67+1,AI66+IF($A67=AJ$4,0,1))</f>
        <v>58</v>
      </c>
      <c r="AK67" s="2" t="n">
        <f aca="false">MIN(AK66+1,AJ67+1,AJ66+IF($A67=AK$4,0,1))</f>
        <v>58</v>
      </c>
      <c r="AL67" s="2" t="n">
        <f aca="false">MIN(AL66+1,AK67+1,AK66+IF($A67=AL$4,0,1))</f>
        <v>58</v>
      </c>
      <c r="AM67" s="2" t="n">
        <f aca="false">MIN(AM66+1,AL67+1,AL66+IF($A67=AM$4,0,1))</f>
        <v>58</v>
      </c>
      <c r="AN67" s="2" t="n">
        <f aca="false">MIN(AN66+1,AM67+1,AM66+IF($A67=AN$4,0,1))</f>
        <v>58</v>
      </c>
      <c r="AO67" s="2" t="n">
        <f aca="false">MIN(AO66+1,AN67+1,AN66+IF($A67=AO$4,0,1))</f>
        <v>58</v>
      </c>
      <c r="AP67" s="2" t="n">
        <f aca="false">MIN(AP66+1,AO67+1,AO66+IF($A67=AP$4,0,1))</f>
        <v>58</v>
      </c>
      <c r="AQ67" s="2" t="n">
        <f aca="false">MIN(AQ66+1,AP67+1,AP66+IF($A67=AQ$4,0,1))</f>
        <v>58</v>
      </c>
      <c r="AR67" s="2" t="n">
        <f aca="false">MIN(AR66+1,AQ67+1,AQ66+IF($A67=AR$4,0,1))</f>
        <v>58</v>
      </c>
      <c r="AS67" s="2" t="n">
        <f aca="false">MIN(AS66+1,AR67+1,AR66+IF($A67=AS$4,0,1))</f>
        <v>58</v>
      </c>
      <c r="AT67" s="2" t="n">
        <f aca="false">MIN(AT66+1,AS67+1,AS66+IF($A67=AT$4,0,1))</f>
        <v>58</v>
      </c>
      <c r="AU67" s="2" t="n">
        <f aca="false">MIN(AU66+1,AT67+1,AT66+IF($A67=AU$4,0,1))</f>
        <v>58</v>
      </c>
      <c r="AV67" s="2" t="n">
        <f aca="false">MIN(AV66+1,AU67+1,AU66+IF($A67=AV$4,0,1))</f>
        <v>58</v>
      </c>
      <c r="AW67" s="2" t="n">
        <f aca="false">MIN(AW66+1,AV67+1,AV66+IF($A67=AW$4,0,1))</f>
        <v>58</v>
      </c>
      <c r="AX67" s="2" t="n">
        <f aca="false">MIN(AX66+1,AW67+1,AW66+IF($A67=AX$4,0,1))</f>
        <v>58</v>
      </c>
      <c r="AY67" s="2" t="n">
        <f aca="false">MIN(AY66+1,AX67+1,AX66+IF($A67=AY$4,0,1))</f>
        <v>58</v>
      </c>
      <c r="AZ67" s="2" t="n">
        <f aca="false">MIN(AZ66+1,AY67+1,AY66+IF($A67=AZ$4,0,1))</f>
        <v>58</v>
      </c>
      <c r="BA67" s="2" t="n">
        <f aca="false">MIN(BA66+1,AZ67+1,AZ66+IF($A67=BA$4,0,1))</f>
        <v>58</v>
      </c>
      <c r="BB67" s="2" t="n">
        <f aca="false">MIN(BB66+1,BA67+1,BA66+IF($A67=BB$4,0,1))</f>
        <v>59</v>
      </c>
      <c r="BC67" s="2" t="n">
        <f aca="false">MIN(BC66+1,BB67+1,BB66+IF($A67=BC$4,0,1))</f>
        <v>59</v>
      </c>
      <c r="BD67" s="2" t="n">
        <f aca="false">MIN(BD66+1,BC67+1,BC66+IF($A67=BD$4,0,1))</f>
        <v>59</v>
      </c>
      <c r="BE67" s="2" t="n">
        <f aca="false">MIN(BE66+1,BD67+1,BD66+IF($A67=BE$4,0,1))</f>
        <v>59</v>
      </c>
      <c r="BF67" s="2" t="n">
        <f aca="false">MIN(BF66+1,BE67+1,BE66+IF($A67=BF$4,0,1))</f>
        <v>59</v>
      </c>
      <c r="BG67" s="2" t="n">
        <f aca="false">MIN(BG66+1,BF67+1,BF66+IF($A67=BG$4,0,1))</f>
        <v>59</v>
      </c>
      <c r="BH67" s="2" t="n">
        <f aca="false">MIN(BH66+1,BG67+1,BG66+IF($A67=BH$4,0,1))</f>
        <v>59</v>
      </c>
      <c r="BI67" s="2" t="n">
        <f aca="false">MIN(BI66+1,BH67+1,BH66+IF($A67=BI$4,0,1))</f>
        <v>59</v>
      </c>
      <c r="BJ67" s="2" t="n">
        <f aca="false">MIN(BJ66+1,BI67+1,BI66+IF($A67=BJ$4,0,1))</f>
        <v>59</v>
      </c>
      <c r="BK67" s="2" t="n">
        <f aca="false">MIN(BK66+1,BJ67+1,BJ66+IF($A67=BK$4,0,1))</f>
        <v>60</v>
      </c>
      <c r="BL67" s="2" t="n">
        <f aca="false">MIN(BL66+1,BK67+1,BK66+IF($A67=BL$4,0,1))</f>
        <v>59</v>
      </c>
      <c r="BM67" s="2" t="n">
        <f aca="false">MIN(BM66+1,BL67+1,BL66+IF($A67=BM$4,0,1))</f>
        <v>59</v>
      </c>
      <c r="BN67" s="2" t="n">
        <f aca="false">MIN(BN66+1,BM67+1,BM66+IF($A67=BN$4,0,1))</f>
        <v>60</v>
      </c>
      <c r="BO67" s="2" t="n">
        <f aca="false">MIN(BO66+1,BN67+1,BN66+IF($A67=BO$4,0,1))</f>
        <v>61</v>
      </c>
      <c r="BP67" s="2" t="n">
        <f aca="false">MIN(BP66+1,BO67+1,BO66+IF($A67=BP$4,0,1))</f>
        <v>62</v>
      </c>
      <c r="BQ67" s="2" t="n">
        <f aca="false">MIN(BQ66+1,BP67+1,BP66+IF($A67=BQ$4,0,1))</f>
        <v>63</v>
      </c>
      <c r="BR67" s="2" t="n">
        <f aca="false">MIN(BR66+1,BQ67+1,BQ66+IF($A67=BR$4,0,1))</f>
        <v>64</v>
      </c>
      <c r="BS67" s="2" t="n">
        <f aca="false">MIN(BS66+1,BR67+1,BR66+IF($A67=BS$4,0,1))</f>
        <v>65</v>
      </c>
      <c r="BT67" s="2" t="n">
        <f aca="false">MIN(BT66+1,BS67+1,BS66+IF($A67=BT$4,0,1))</f>
        <v>66</v>
      </c>
      <c r="BU67" s="2" t="n">
        <f aca="false">MIN(BU66+1,BT67+1,BT66+IF($A67=BU$4,0,1))</f>
        <v>67</v>
      </c>
      <c r="BV67" s="2" t="n">
        <f aca="false">MIN(BV66+1,BU67+1,BU66+IF($A67=BV$4,0,1))</f>
        <v>68</v>
      </c>
      <c r="BW67" s="2" t="n">
        <f aca="false">MIN(BW66+1,BV67+1,BV66+IF($A67=BW$4,0,1))</f>
        <v>69</v>
      </c>
      <c r="BX67" s="2" t="n">
        <f aca="false">MIN(BX66+1,BW67+1,BW66+IF($A67=BX$4,0,1))</f>
        <v>70</v>
      </c>
      <c r="BY67" s="2" t="n">
        <f aca="false">MIN(BY66+1,BX67+1,BX66+IF($A67=BY$4,0,1))</f>
        <v>71</v>
      </c>
      <c r="BZ67" s="2" t="n">
        <f aca="false">MIN(BZ66+1,BY67+1,BY66+IF($A67=BZ$4,0,1))</f>
        <v>72</v>
      </c>
      <c r="CA67" s="2" t="n">
        <f aca="false">MIN(CA66+1,BZ67+1,BZ66+IF($A67=CA$4,0,1))</f>
        <v>73</v>
      </c>
      <c r="CB67" s="2" t="n">
        <f aca="false">MIN(CB66+1,CA67+1,CA66+IF($A67=CB$4,0,1))</f>
        <v>74</v>
      </c>
      <c r="CC67" s="2" t="n">
        <f aca="false">MIN(CC66+1,CB67+1,CB66+IF($A67=CC$4,0,1))</f>
        <v>75</v>
      </c>
      <c r="CD67" s="2" t="n">
        <f aca="false">MIN(CD66+1,CC67+1,CC66+IF($A67=CD$4,0,1))</f>
        <v>75</v>
      </c>
      <c r="CE67" s="2" t="n">
        <f aca="false">MIN(CE66+1,CD67+1,CD66+IF($A67=CE$4,0,1))</f>
        <v>76</v>
      </c>
      <c r="CF67" s="2" t="n">
        <f aca="false">MIN(CF66+1,CE67+1,CE66+IF($A67=CF$4,0,1))</f>
        <v>77</v>
      </c>
      <c r="CG67" s="2" t="n">
        <f aca="false">MIN(CG66+1,CF67+1,CF66+IF($A67=CG$4,0,1))</f>
        <v>78</v>
      </c>
      <c r="CH67" s="2" t="n">
        <f aca="false">MIN(CH66+1,CG67+1,CG66+IF($A67=CH$4,0,1))</f>
        <v>79</v>
      </c>
      <c r="CI67" s="2" t="n">
        <f aca="false">MIN(CI66+1,CH67+1,CH66+IF($A67=CI$4,0,1))</f>
        <v>80</v>
      </c>
      <c r="CJ67" s="2" t="n">
        <f aca="false">MIN(CJ66+1,CI67+1,CI66+IF($A67=CJ$4,0,1))</f>
        <v>81</v>
      </c>
      <c r="CK67" s="2" t="n">
        <f aca="false">MIN(CK66+1,CJ67+1,CJ66+IF($A67=CK$4,0,1))</f>
        <v>82</v>
      </c>
      <c r="CL67" s="2" t="n">
        <f aca="false">MIN(CL66+1,CK67+1,CK66+IF($A67=CL$4,0,1))</f>
        <v>83</v>
      </c>
      <c r="CM67" s="2" t="n">
        <f aca="false">MIN(CM66+1,CL67+1,CL66+IF($A67=CM$4,0,1))</f>
        <v>84</v>
      </c>
      <c r="CN67" s="2" t="n">
        <f aca="false">MIN(CN66+1,CM67+1,CM66+IF($A67=CN$4,0,1))</f>
        <v>84</v>
      </c>
      <c r="CO67" s="2" t="n">
        <f aca="false">MIN(CO66+1,CN67+1,CN66+IF($A67=CO$4,0,1))</f>
        <v>85</v>
      </c>
      <c r="CP67" s="2" t="n">
        <f aca="false">MIN(CP66+1,CO67+1,CO66+IF($A67=CP$4,0,1))</f>
        <v>86</v>
      </c>
      <c r="CQ67" s="2" t="n">
        <f aca="false">MIN(CQ66+1,CP67+1,CP66+IF($A67=CQ$4,0,1))</f>
        <v>87</v>
      </c>
    </row>
    <row r="68" customFormat="false" ht="15" hidden="false" customHeight="false" outlineLevel="0" collapsed="false">
      <c r="A68" s="4" t="s">
        <v>184</v>
      </c>
      <c r="B68" s="12" t="n">
        <v>63</v>
      </c>
      <c r="C68" s="2" t="n">
        <f aca="false">MIN(C67+1,B68+1,B67+IF($A68=C$4,0,1))</f>
        <v>63</v>
      </c>
      <c r="D68" s="2" t="n">
        <f aca="false">MIN(D67+1,C68+1,C67+IF($A68=D$4,0,1))</f>
        <v>62</v>
      </c>
      <c r="E68" s="2" t="n">
        <f aca="false">MIN(E67+1,D68+1,D67+IF($A68=E$4,0,1))</f>
        <v>61</v>
      </c>
      <c r="F68" s="2" t="n">
        <f aca="false">MIN(F67+1,E68+1,E67+IF($A68=F$4,0,1))</f>
        <v>60</v>
      </c>
      <c r="G68" s="2" t="n">
        <f aca="false">MIN(G67+1,F68+1,F67+IF($A68=G$4,0,1))</f>
        <v>60</v>
      </c>
      <c r="H68" s="2" t="n">
        <f aca="false">MIN(H67+1,G68+1,G67+IF($A68=H$4,0,1))</f>
        <v>60</v>
      </c>
      <c r="I68" s="2" t="n">
        <f aca="false">MIN(I67+1,H68+1,H67+IF($A68=I$4,0,1))</f>
        <v>60</v>
      </c>
      <c r="J68" s="2" t="n">
        <f aca="false">MIN(J67+1,I68+1,I67+IF($A68=J$4,0,1))</f>
        <v>60</v>
      </c>
      <c r="K68" s="2" t="n">
        <f aca="false">MIN(K67+1,J68+1,J67+IF($A68=K$4,0,1))</f>
        <v>59</v>
      </c>
      <c r="L68" s="2" t="n">
        <f aca="false">MIN(L67+1,K68+1,K67+IF($A68=L$4,0,1))</f>
        <v>59</v>
      </c>
      <c r="M68" s="2" t="n">
        <f aca="false">MIN(M67+1,L68+1,L67+IF($A68=M$4,0,1))</f>
        <v>59</v>
      </c>
      <c r="N68" s="2" t="n">
        <f aca="false">MIN(N67+1,M68+1,M67+IF($A68=N$4,0,1))</f>
        <v>59</v>
      </c>
      <c r="O68" s="2" t="n">
        <f aca="false">MIN(O67+1,N68+1,N67+IF($A68=O$4,0,1))</f>
        <v>58</v>
      </c>
      <c r="P68" s="2" t="n">
        <f aca="false">MIN(P67+1,O68+1,O67+IF($A68=P$4,0,1))</f>
        <v>58</v>
      </c>
      <c r="Q68" s="2" t="n">
        <f aca="false">MIN(Q67+1,P68+1,P67+IF($A68=Q$4,0,1))</f>
        <v>58</v>
      </c>
      <c r="R68" s="2" t="n">
        <f aca="false">MIN(R67+1,Q68+1,Q67+IF($A68=R$4,0,1))</f>
        <v>59</v>
      </c>
      <c r="S68" s="2" t="n">
        <f aca="false">MIN(S67+1,R68+1,R67+IF($A68=S$4,0,1))</f>
        <v>59</v>
      </c>
      <c r="T68" s="2" t="n">
        <f aca="false">MIN(T67+1,S68+1,S67+IF($A68=T$4,0,1))</f>
        <v>59</v>
      </c>
      <c r="U68" s="2" t="n">
        <f aca="false">MIN(U67+1,T68+1,T67+IF($A68=U$4,0,1))</f>
        <v>59</v>
      </c>
      <c r="V68" s="2" t="n">
        <f aca="false">MIN(V67+1,U68+1,U67+IF($A68=V$4,0,1))</f>
        <v>59</v>
      </c>
      <c r="W68" s="2" t="n">
        <f aca="false">MIN(W67+1,V68+1,V67+IF($A68=W$4,0,1))</f>
        <v>58</v>
      </c>
      <c r="X68" s="2" t="n">
        <f aca="false">MIN(X67+1,W68+1,W67+IF($A68=X$4,0,1))</f>
        <v>58</v>
      </c>
      <c r="Y68" s="2" t="n">
        <f aca="false">MIN(Y67+1,X68+1,X67+IF($A68=Y$4,0,1))</f>
        <v>58</v>
      </c>
      <c r="Z68" s="2" t="n">
        <f aca="false">MIN(Z67+1,Y68+1,Y67+IF($A68=Z$4,0,1))</f>
        <v>58</v>
      </c>
      <c r="AA68" s="2" t="n">
        <f aca="false">MIN(AA67+1,Z68+1,Z67+IF($A68=AA$4,0,1))</f>
        <v>58</v>
      </c>
      <c r="AB68" s="2" t="n">
        <f aca="false">MIN(AB67+1,AA68+1,AA67+IF($A68=AB$4,0,1))</f>
        <v>58</v>
      </c>
      <c r="AC68" s="2" t="n">
        <f aca="false">MIN(AC67+1,AB68+1,AB67+IF($A68=AC$4,0,1))</f>
        <v>58</v>
      </c>
      <c r="AD68" s="2" t="n">
        <f aca="false">MIN(AD67+1,AC68+1,AC67+IF($A68=AD$4,0,1))</f>
        <v>58</v>
      </c>
      <c r="AE68" s="2" t="n">
        <f aca="false">MIN(AE67+1,AD68+1,AD67+IF($A68=AE$4,0,1))</f>
        <v>58</v>
      </c>
      <c r="AF68" s="2" t="n">
        <f aca="false">MIN(AF67+1,AE68+1,AE67+IF($A68=AF$4,0,1))</f>
        <v>58</v>
      </c>
      <c r="AG68" s="2" t="n">
        <f aca="false">MIN(AG67+1,AF68+1,AF67+IF($A68=AG$4,0,1))</f>
        <v>59</v>
      </c>
      <c r="AH68" s="2" t="n">
        <f aca="false">MIN(AH67+1,AG68+1,AG67+IF($A68=AH$4,0,1))</f>
        <v>59</v>
      </c>
      <c r="AI68" s="2" t="n">
        <f aca="false">MIN(AI67+1,AH68+1,AH67+IF($A68=AI$4,0,1))</f>
        <v>59</v>
      </c>
      <c r="AJ68" s="2" t="n">
        <f aca="false">MIN(AJ67+1,AI68+1,AI67+IF($A68=AJ$4,0,1))</f>
        <v>59</v>
      </c>
      <c r="AK68" s="2" t="n">
        <f aca="false">MIN(AK67+1,AJ68+1,AJ67+IF($A68=AK$4,0,1))</f>
        <v>59</v>
      </c>
      <c r="AL68" s="2" t="n">
        <f aca="false">MIN(AL67+1,AK68+1,AK67+IF($A68=AL$4,0,1))</f>
        <v>59</v>
      </c>
      <c r="AM68" s="2" t="n">
        <f aca="false">MIN(AM67+1,AL68+1,AL67+IF($A68=AM$4,0,1))</f>
        <v>59</v>
      </c>
      <c r="AN68" s="2" t="n">
        <f aca="false">MIN(AN67+1,AM68+1,AM67+IF($A68=AN$4,0,1))</f>
        <v>59</v>
      </c>
      <c r="AO68" s="2" t="n">
        <f aca="false">MIN(AO67+1,AN68+1,AN67+IF($A68=AO$4,0,1))</f>
        <v>59</v>
      </c>
      <c r="AP68" s="2" t="n">
        <f aca="false">MIN(AP67+1,AO68+1,AO67+IF($A68=AP$4,0,1))</f>
        <v>59</v>
      </c>
      <c r="AQ68" s="2" t="n">
        <f aca="false">MIN(AQ67+1,AP68+1,AP67+IF($A68=AQ$4,0,1))</f>
        <v>59</v>
      </c>
      <c r="AR68" s="2" t="n">
        <f aca="false">MIN(AR67+1,AQ68+1,AQ67+IF($A68=AR$4,0,1))</f>
        <v>59</v>
      </c>
      <c r="AS68" s="2" t="n">
        <f aca="false">MIN(AS67+1,AR68+1,AR67+IF($A68=AS$4,0,1))</f>
        <v>59</v>
      </c>
      <c r="AT68" s="2" t="n">
        <f aca="false">MIN(AT67+1,AS68+1,AS67+IF($A68=AT$4,0,1))</f>
        <v>59</v>
      </c>
      <c r="AU68" s="2" t="n">
        <f aca="false">MIN(AU67+1,AT68+1,AT67+IF($A68=AU$4,0,1))</f>
        <v>59</v>
      </c>
      <c r="AV68" s="2" t="n">
        <f aca="false">MIN(AV67+1,AU68+1,AU67+IF($A68=AV$4,0,1))</f>
        <v>59</v>
      </c>
      <c r="AW68" s="2" t="n">
        <f aca="false">MIN(AW67+1,AV68+1,AV67+IF($A68=AW$4,0,1))</f>
        <v>59</v>
      </c>
      <c r="AX68" s="2" t="n">
        <f aca="false">MIN(AX67+1,AW68+1,AW67+IF($A68=AX$4,0,1))</f>
        <v>59</v>
      </c>
      <c r="AY68" s="2" t="n">
        <f aca="false">MIN(AY67+1,AX68+1,AX67+IF($A68=AY$4,0,1))</f>
        <v>59</v>
      </c>
      <c r="AZ68" s="2" t="n">
        <f aca="false">MIN(AZ67+1,AY68+1,AY67+IF($A68=AZ$4,0,1))</f>
        <v>59</v>
      </c>
      <c r="BA68" s="2" t="n">
        <f aca="false">MIN(BA67+1,AZ68+1,AZ67+IF($A68=BA$4,0,1))</f>
        <v>59</v>
      </c>
      <c r="BB68" s="2" t="n">
        <f aca="false">MIN(BB67+1,BA68+1,BA67+IF($A68=BB$4,0,1))</f>
        <v>59</v>
      </c>
      <c r="BC68" s="2" t="n">
        <f aca="false">MIN(BC67+1,BB68+1,BB67+IF($A68=BC$4,0,1))</f>
        <v>60</v>
      </c>
      <c r="BD68" s="2" t="n">
        <f aca="false">MIN(BD67+1,BC68+1,BC67+IF($A68=BD$4,0,1))</f>
        <v>60</v>
      </c>
      <c r="BE68" s="2" t="n">
        <f aca="false">MIN(BE67+1,BD68+1,BD67+IF($A68=BE$4,0,1))</f>
        <v>60</v>
      </c>
      <c r="BF68" s="2" t="n">
        <f aca="false">MIN(BF67+1,BE68+1,BE67+IF($A68=BF$4,0,1))</f>
        <v>60</v>
      </c>
      <c r="BG68" s="2" t="n">
        <f aca="false">MIN(BG67+1,BF68+1,BF67+IF($A68=BG$4,0,1))</f>
        <v>60</v>
      </c>
      <c r="BH68" s="2" t="n">
        <f aca="false">MIN(BH67+1,BG68+1,BG67+IF($A68=BH$4,0,1))</f>
        <v>60</v>
      </c>
      <c r="BI68" s="2" t="n">
        <f aca="false">MIN(BI67+1,BH68+1,BH67+IF($A68=BI$4,0,1))</f>
        <v>60</v>
      </c>
      <c r="BJ68" s="2" t="n">
        <f aca="false">MIN(BJ67+1,BI68+1,BI67+IF($A68=BJ$4,0,1))</f>
        <v>60</v>
      </c>
      <c r="BK68" s="2" t="n">
        <f aca="false">MIN(BK67+1,BJ68+1,BJ67+IF($A68=BK$4,0,1))</f>
        <v>60</v>
      </c>
      <c r="BL68" s="2" t="n">
        <f aca="false">MIN(BL67+1,BK68+1,BK67+IF($A68=BL$4,0,1))</f>
        <v>60</v>
      </c>
      <c r="BM68" s="2" t="n">
        <f aca="false">MIN(BM67+1,BL68+1,BL67+IF($A68=BM$4,0,1))</f>
        <v>60</v>
      </c>
      <c r="BN68" s="2" t="n">
        <f aca="false">MIN(BN67+1,BM68+1,BM67+IF($A68=BN$4,0,1))</f>
        <v>60</v>
      </c>
      <c r="BO68" s="2" t="n">
        <f aca="false">MIN(BO67+1,BN68+1,BN67+IF($A68=BO$4,0,1))</f>
        <v>61</v>
      </c>
      <c r="BP68" s="2" t="n">
        <f aca="false">MIN(BP67+1,BO68+1,BO67+IF($A68=BP$4,0,1))</f>
        <v>62</v>
      </c>
      <c r="BQ68" s="2" t="n">
        <f aca="false">MIN(BQ67+1,BP68+1,BP67+IF($A68=BQ$4,0,1))</f>
        <v>63</v>
      </c>
      <c r="BR68" s="2" t="n">
        <f aca="false">MIN(BR67+1,BQ68+1,BQ67+IF($A68=BR$4,0,1))</f>
        <v>64</v>
      </c>
      <c r="BS68" s="2" t="n">
        <f aca="false">MIN(BS67+1,BR68+1,BR67+IF($A68=BS$4,0,1))</f>
        <v>65</v>
      </c>
      <c r="BT68" s="2" t="n">
        <f aca="false">MIN(BT67+1,BS68+1,BS67+IF($A68=BT$4,0,1))</f>
        <v>66</v>
      </c>
      <c r="BU68" s="2" t="n">
        <f aca="false">MIN(BU67+1,BT68+1,BT67+IF($A68=BU$4,0,1))</f>
        <v>67</v>
      </c>
      <c r="BV68" s="2" t="n">
        <f aca="false">MIN(BV67+1,BU68+1,BU67+IF($A68=BV$4,0,1))</f>
        <v>68</v>
      </c>
      <c r="BW68" s="2" t="n">
        <f aca="false">MIN(BW67+1,BV68+1,BV67+IF($A68=BW$4,0,1))</f>
        <v>69</v>
      </c>
      <c r="BX68" s="2" t="n">
        <f aca="false">MIN(BX67+1,BW68+1,BW67+IF($A68=BX$4,0,1))</f>
        <v>70</v>
      </c>
      <c r="BY68" s="2" t="n">
        <f aca="false">MIN(BY67+1,BX68+1,BX67+IF($A68=BY$4,0,1))</f>
        <v>71</v>
      </c>
      <c r="BZ68" s="2" t="n">
        <f aca="false">MIN(BZ67+1,BY68+1,BY67+IF($A68=BZ$4,0,1))</f>
        <v>72</v>
      </c>
      <c r="CA68" s="2" t="n">
        <f aca="false">MIN(CA67+1,BZ68+1,BZ67+IF($A68=CA$4,0,1))</f>
        <v>73</v>
      </c>
      <c r="CB68" s="2" t="n">
        <f aca="false">MIN(CB67+1,CA68+1,CA67+IF($A68=CB$4,0,1))</f>
        <v>74</v>
      </c>
      <c r="CC68" s="2" t="n">
        <f aca="false">MIN(CC67+1,CB68+1,CB67+IF($A68=CC$4,0,1))</f>
        <v>75</v>
      </c>
      <c r="CD68" s="2" t="n">
        <f aca="false">MIN(CD67+1,CC68+1,CC67+IF($A68=CD$4,0,1))</f>
        <v>76</v>
      </c>
      <c r="CE68" s="2" t="n">
        <f aca="false">MIN(CE67+1,CD68+1,CD67+IF($A68=CE$4,0,1))</f>
        <v>76</v>
      </c>
      <c r="CF68" s="2" t="n">
        <f aca="false">MIN(CF67+1,CE68+1,CE67+IF($A68=CF$4,0,1))</f>
        <v>77</v>
      </c>
      <c r="CG68" s="2" t="n">
        <f aca="false">MIN(CG67+1,CF68+1,CF67+IF($A68=CG$4,0,1))</f>
        <v>78</v>
      </c>
      <c r="CH68" s="2" t="n">
        <f aca="false">MIN(CH67+1,CG68+1,CG67+IF($A68=CH$4,0,1))</f>
        <v>79</v>
      </c>
      <c r="CI68" s="2" t="n">
        <f aca="false">MIN(CI67+1,CH68+1,CH67+IF($A68=CI$4,0,1))</f>
        <v>80</v>
      </c>
      <c r="CJ68" s="2" t="n">
        <f aca="false">MIN(CJ67+1,CI68+1,CI67+IF($A68=CJ$4,0,1))</f>
        <v>81</v>
      </c>
      <c r="CK68" s="2" t="n">
        <f aca="false">MIN(CK67+1,CJ68+1,CJ67+IF($A68=CK$4,0,1))</f>
        <v>82</v>
      </c>
      <c r="CL68" s="2" t="n">
        <f aca="false">MIN(CL67+1,CK68+1,CK67+IF($A68=CL$4,0,1))</f>
        <v>83</v>
      </c>
      <c r="CM68" s="2" t="n">
        <f aca="false">MIN(CM67+1,CL68+1,CL67+IF($A68=CM$4,0,1))</f>
        <v>84</v>
      </c>
      <c r="CN68" s="2" t="n">
        <f aca="false">MIN(CN67+1,CM68+1,CM67+IF($A68=CN$4,0,1))</f>
        <v>85</v>
      </c>
      <c r="CO68" s="2" t="n">
        <f aca="false">MIN(CO67+1,CN68+1,CN67+IF($A68=CO$4,0,1))</f>
        <v>85</v>
      </c>
      <c r="CP68" s="2" t="n">
        <f aca="false">MIN(CP67+1,CO68+1,CO67+IF($A68=CP$4,0,1))</f>
        <v>86</v>
      </c>
      <c r="CQ68" s="2" t="n">
        <f aca="false">MIN(CQ67+1,CP68+1,CP67+IF($A68=CQ$4,0,1))</f>
        <v>87</v>
      </c>
    </row>
    <row r="69" customFormat="false" ht="15" hidden="false" customHeight="false" outlineLevel="0" collapsed="false">
      <c r="A69" s="4" t="s">
        <v>99</v>
      </c>
      <c r="B69" s="12" t="n">
        <v>64</v>
      </c>
      <c r="C69" s="2" t="n">
        <f aca="false">MIN(C68+1,B69+1,B68+IF($A69=C$4,0,1))</f>
        <v>64</v>
      </c>
      <c r="D69" s="2" t="n">
        <f aca="false">MIN(D68+1,C69+1,C68+IF($A69=D$4,0,1))</f>
        <v>63</v>
      </c>
      <c r="E69" s="2" t="n">
        <f aca="false">MIN(E68+1,D69+1,D68+IF($A69=E$4,0,1))</f>
        <v>62</v>
      </c>
      <c r="F69" s="2" t="n">
        <f aca="false">MIN(F68+1,E69+1,E68+IF($A69=F$4,0,1))</f>
        <v>61</v>
      </c>
      <c r="G69" s="2" t="n">
        <f aca="false">MIN(G68+1,F69+1,F68+IF($A69=G$4,0,1))</f>
        <v>61</v>
      </c>
      <c r="H69" s="2" t="n">
        <f aca="false">MIN(H68+1,G69+1,G68+IF($A69=H$4,0,1))</f>
        <v>61</v>
      </c>
      <c r="I69" s="2" t="n">
        <f aca="false">MIN(I68+1,H69+1,H68+IF($A69=I$4,0,1))</f>
        <v>61</v>
      </c>
      <c r="J69" s="2" t="n">
        <f aca="false">MIN(J68+1,I69+1,I68+IF($A69=J$4,0,1))</f>
        <v>61</v>
      </c>
      <c r="K69" s="2" t="n">
        <f aca="false">MIN(K68+1,J69+1,J68+IF($A69=K$4,0,1))</f>
        <v>60</v>
      </c>
      <c r="L69" s="2" t="n">
        <f aca="false">MIN(L68+1,K69+1,K68+IF($A69=L$4,0,1))</f>
        <v>60</v>
      </c>
      <c r="M69" s="2" t="n">
        <f aca="false">MIN(M68+1,L69+1,L68+IF($A69=M$4,0,1))</f>
        <v>60</v>
      </c>
      <c r="N69" s="2" t="n">
        <f aca="false">MIN(N68+1,M69+1,M68+IF($A69=N$4,0,1))</f>
        <v>60</v>
      </c>
      <c r="O69" s="2" t="n">
        <f aca="false">MIN(O68+1,N69+1,N68+IF($A69=O$4,0,1))</f>
        <v>59</v>
      </c>
      <c r="P69" s="2" t="n">
        <f aca="false">MIN(P68+1,O69+1,O68+IF($A69=P$4,0,1))</f>
        <v>59</v>
      </c>
      <c r="Q69" s="2" t="n">
        <f aca="false">MIN(Q68+1,P69+1,P68+IF($A69=Q$4,0,1))</f>
        <v>59</v>
      </c>
      <c r="R69" s="2" t="n">
        <f aca="false">MIN(R68+1,Q69+1,Q68+IF($A69=R$4,0,1))</f>
        <v>59</v>
      </c>
      <c r="S69" s="2" t="n">
        <f aca="false">MIN(S68+1,R69+1,R68+IF($A69=S$4,0,1))</f>
        <v>60</v>
      </c>
      <c r="T69" s="2" t="n">
        <f aca="false">MIN(T68+1,S69+1,S68+IF($A69=T$4,0,1))</f>
        <v>60</v>
      </c>
      <c r="U69" s="2" t="n">
        <f aca="false">MIN(U68+1,T69+1,T68+IF($A69=U$4,0,1))</f>
        <v>60</v>
      </c>
      <c r="V69" s="2" t="n">
        <f aca="false">MIN(V68+1,U69+1,U68+IF($A69=V$4,0,1))</f>
        <v>60</v>
      </c>
      <c r="W69" s="2" t="n">
        <f aca="false">MIN(W68+1,V69+1,V68+IF($A69=W$4,0,1))</f>
        <v>59</v>
      </c>
      <c r="X69" s="2" t="n">
        <f aca="false">MIN(X68+1,W69+1,W68+IF($A69=X$4,0,1))</f>
        <v>59</v>
      </c>
      <c r="Y69" s="2" t="n">
        <f aca="false">MIN(Y68+1,X69+1,X68+IF($A69=Y$4,0,1))</f>
        <v>59</v>
      </c>
      <c r="Z69" s="2" t="n">
        <f aca="false">MIN(Z68+1,Y69+1,Y68+IF($A69=Z$4,0,1))</f>
        <v>59</v>
      </c>
      <c r="AA69" s="2" t="n">
        <f aca="false">MIN(AA68+1,Z69+1,Z68+IF($A69=AA$4,0,1))</f>
        <v>59</v>
      </c>
      <c r="AB69" s="2" t="n">
        <f aca="false">MIN(AB68+1,AA69+1,AA68+IF($A69=AB$4,0,1))</f>
        <v>59</v>
      </c>
      <c r="AC69" s="2" t="n">
        <f aca="false">MIN(AC68+1,AB69+1,AB68+IF($A69=AC$4,0,1))</f>
        <v>59</v>
      </c>
      <c r="AD69" s="2" t="n">
        <f aca="false">MIN(AD68+1,AC69+1,AC68+IF($A69=AD$4,0,1))</f>
        <v>59</v>
      </c>
      <c r="AE69" s="2" t="n">
        <f aca="false">MIN(AE68+1,AD69+1,AD68+IF($A69=AE$4,0,1))</f>
        <v>59</v>
      </c>
      <c r="AF69" s="2" t="n">
        <f aca="false">MIN(AF68+1,AE69+1,AE68+IF($A69=AF$4,0,1))</f>
        <v>59</v>
      </c>
      <c r="AG69" s="2" t="n">
        <f aca="false">MIN(AG68+1,AF69+1,AF68+IF($A69=AG$4,0,1))</f>
        <v>59</v>
      </c>
      <c r="AH69" s="2" t="n">
        <f aca="false">MIN(AH68+1,AG69+1,AG68+IF($A69=AH$4,0,1))</f>
        <v>60</v>
      </c>
      <c r="AI69" s="2" t="n">
        <f aca="false">MIN(AI68+1,AH69+1,AH68+IF($A69=AI$4,0,1))</f>
        <v>60</v>
      </c>
      <c r="AJ69" s="2" t="n">
        <f aca="false">MIN(AJ68+1,AI69+1,AI68+IF($A69=AJ$4,0,1))</f>
        <v>60</v>
      </c>
      <c r="AK69" s="2" t="n">
        <f aca="false">MIN(AK68+1,AJ69+1,AJ68+IF($A69=AK$4,0,1))</f>
        <v>60</v>
      </c>
      <c r="AL69" s="2" t="n">
        <f aca="false">MIN(AL68+1,AK69+1,AK68+IF($A69=AL$4,0,1))</f>
        <v>60</v>
      </c>
      <c r="AM69" s="2" t="n">
        <f aca="false">MIN(AM68+1,AL69+1,AL68+IF($A69=AM$4,0,1))</f>
        <v>60</v>
      </c>
      <c r="AN69" s="2" t="n">
        <f aca="false">MIN(AN68+1,AM69+1,AM68+IF($A69=AN$4,0,1))</f>
        <v>60</v>
      </c>
      <c r="AO69" s="2" t="n">
        <f aca="false">MIN(AO68+1,AN69+1,AN68+IF($A69=AO$4,0,1))</f>
        <v>60</v>
      </c>
      <c r="AP69" s="2" t="n">
        <f aca="false">MIN(AP68+1,AO69+1,AO68+IF($A69=AP$4,0,1))</f>
        <v>60</v>
      </c>
      <c r="AQ69" s="2" t="n">
        <f aca="false">MIN(AQ68+1,AP69+1,AP68+IF($A69=AQ$4,0,1))</f>
        <v>60</v>
      </c>
      <c r="AR69" s="2" t="n">
        <f aca="false">MIN(AR68+1,AQ69+1,AQ68+IF($A69=AR$4,0,1))</f>
        <v>60</v>
      </c>
      <c r="AS69" s="2" t="n">
        <f aca="false">MIN(AS68+1,AR69+1,AR68+IF($A69=AS$4,0,1))</f>
        <v>60</v>
      </c>
      <c r="AT69" s="2" t="n">
        <f aca="false">MIN(AT68+1,AS69+1,AS68+IF($A69=AT$4,0,1))</f>
        <v>60</v>
      </c>
      <c r="AU69" s="2" t="n">
        <f aca="false">MIN(AU68+1,AT69+1,AT68+IF($A69=AU$4,0,1))</f>
        <v>60</v>
      </c>
      <c r="AV69" s="2" t="n">
        <f aca="false">MIN(AV68+1,AU69+1,AU68+IF($A69=AV$4,0,1))</f>
        <v>60</v>
      </c>
      <c r="AW69" s="2" t="n">
        <f aca="false">MIN(AW68+1,AV69+1,AV68+IF($A69=AW$4,0,1))</f>
        <v>60</v>
      </c>
      <c r="AX69" s="2" t="n">
        <f aca="false">MIN(AX68+1,AW69+1,AW68+IF($A69=AX$4,0,1))</f>
        <v>60</v>
      </c>
      <c r="AY69" s="2" t="n">
        <f aca="false">MIN(AY68+1,AX69+1,AX68+IF($A69=AY$4,0,1))</f>
        <v>60</v>
      </c>
      <c r="AZ69" s="2" t="n">
        <f aca="false">MIN(AZ68+1,AY69+1,AY68+IF($A69=AZ$4,0,1))</f>
        <v>60</v>
      </c>
      <c r="BA69" s="2" t="n">
        <f aca="false">MIN(BA68+1,AZ69+1,AZ68+IF($A69=BA$4,0,1))</f>
        <v>60</v>
      </c>
      <c r="BB69" s="2" t="n">
        <f aca="false">MIN(BB68+1,BA69+1,BA68+IF($A69=BB$4,0,1))</f>
        <v>60</v>
      </c>
      <c r="BC69" s="2" t="n">
        <f aca="false">MIN(BC68+1,BB69+1,BB68+IF($A69=BC$4,0,1))</f>
        <v>60</v>
      </c>
      <c r="BD69" s="2" t="n">
        <f aca="false">MIN(BD68+1,BC69+1,BC68+IF($A69=BD$4,0,1))</f>
        <v>61</v>
      </c>
      <c r="BE69" s="2" t="n">
        <f aca="false">MIN(BE68+1,BD69+1,BD68+IF($A69=BE$4,0,1))</f>
        <v>61</v>
      </c>
      <c r="BF69" s="2" t="n">
        <f aca="false">MIN(BF68+1,BE69+1,BE68+IF($A69=BF$4,0,1))</f>
        <v>61</v>
      </c>
      <c r="BG69" s="2" t="n">
        <f aca="false">MIN(BG68+1,BF69+1,BF68+IF($A69=BG$4,0,1))</f>
        <v>61</v>
      </c>
      <c r="BH69" s="2" t="n">
        <f aca="false">MIN(BH68+1,BG69+1,BG68+IF($A69=BH$4,0,1))</f>
        <v>61</v>
      </c>
      <c r="BI69" s="2" t="n">
        <f aca="false">MIN(BI68+1,BH69+1,BH68+IF($A69=BI$4,0,1))</f>
        <v>61</v>
      </c>
      <c r="BJ69" s="2" t="n">
        <f aca="false">MIN(BJ68+1,BI69+1,BI68+IF($A69=BJ$4,0,1))</f>
        <v>61</v>
      </c>
      <c r="BK69" s="2" t="n">
        <f aca="false">MIN(BK68+1,BJ69+1,BJ68+IF($A69=BK$4,0,1))</f>
        <v>61</v>
      </c>
      <c r="BL69" s="2" t="n">
        <f aca="false">MIN(BL68+1,BK69+1,BK68+IF($A69=BL$4,0,1))</f>
        <v>61</v>
      </c>
      <c r="BM69" s="2" t="n">
        <f aca="false">MIN(BM68+1,BL69+1,BL68+IF($A69=BM$4,0,1))</f>
        <v>61</v>
      </c>
      <c r="BN69" s="2" t="n">
        <f aca="false">MIN(BN68+1,BM69+1,BM68+IF($A69=BN$4,0,1))</f>
        <v>61</v>
      </c>
      <c r="BO69" s="2" t="n">
        <f aca="false">MIN(BO68+1,BN69+1,BN68+IF($A69=BO$4,0,1))</f>
        <v>61</v>
      </c>
      <c r="BP69" s="2" t="n">
        <f aca="false">MIN(BP68+1,BO69+1,BO68+IF($A69=BP$4,0,1))</f>
        <v>62</v>
      </c>
      <c r="BQ69" s="2" t="n">
        <f aca="false">MIN(BQ68+1,BP69+1,BP68+IF($A69=BQ$4,0,1))</f>
        <v>63</v>
      </c>
      <c r="BR69" s="2" t="n">
        <f aca="false">MIN(BR68+1,BQ69+1,BQ68+IF($A69=BR$4,0,1))</f>
        <v>64</v>
      </c>
      <c r="BS69" s="2" t="n">
        <f aca="false">MIN(BS68+1,BR69+1,BR68+IF($A69=BS$4,0,1))</f>
        <v>65</v>
      </c>
      <c r="BT69" s="2" t="n">
        <f aca="false">MIN(BT68+1,BS69+1,BS68+IF($A69=BT$4,0,1))</f>
        <v>66</v>
      </c>
      <c r="BU69" s="2" t="n">
        <f aca="false">MIN(BU68+1,BT69+1,BT68+IF($A69=BU$4,0,1))</f>
        <v>67</v>
      </c>
      <c r="BV69" s="2" t="n">
        <f aca="false">MIN(BV68+1,BU69+1,BU68+IF($A69=BV$4,0,1))</f>
        <v>68</v>
      </c>
      <c r="BW69" s="2" t="n">
        <f aca="false">MIN(BW68+1,BV69+1,BV68+IF($A69=BW$4,0,1))</f>
        <v>69</v>
      </c>
      <c r="BX69" s="2" t="n">
        <f aca="false">MIN(BX68+1,BW69+1,BW68+IF($A69=BX$4,0,1))</f>
        <v>70</v>
      </c>
      <c r="BY69" s="2" t="n">
        <f aca="false">MIN(BY68+1,BX69+1,BX68+IF($A69=BY$4,0,1))</f>
        <v>71</v>
      </c>
      <c r="BZ69" s="2" t="n">
        <f aca="false">MIN(BZ68+1,BY69+1,BY68+IF($A69=BZ$4,0,1))</f>
        <v>72</v>
      </c>
      <c r="CA69" s="2" t="n">
        <f aca="false">MIN(CA68+1,BZ69+1,BZ68+IF($A69=CA$4,0,1))</f>
        <v>73</v>
      </c>
      <c r="CB69" s="2" t="n">
        <f aca="false">MIN(CB68+1,CA69+1,CA68+IF($A69=CB$4,0,1))</f>
        <v>74</v>
      </c>
      <c r="CC69" s="2" t="n">
        <f aca="false">MIN(CC68+1,CB69+1,CB68+IF($A69=CC$4,0,1))</f>
        <v>75</v>
      </c>
      <c r="CD69" s="2" t="n">
        <f aca="false">MIN(CD68+1,CC69+1,CC68+IF($A69=CD$4,0,1))</f>
        <v>76</v>
      </c>
      <c r="CE69" s="2" t="n">
        <f aca="false">MIN(CE68+1,CD69+1,CD68+IF($A69=CE$4,0,1))</f>
        <v>77</v>
      </c>
      <c r="CF69" s="2" t="n">
        <f aca="false">MIN(CF68+1,CE69+1,CE68+IF($A69=CF$4,0,1))</f>
        <v>77</v>
      </c>
      <c r="CG69" s="2" t="n">
        <f aca="false">MIN(CG68+1,CF69+1,CF68+IF($A69=CG$4,0,1))</f>
        <v>78</v>
      </c>
      <c r="CH69" s="2" t="n">
        <f aca="false">MIN(CH68+1,CG69+1,CG68+IF($A69=CH$4,0,1))</f>
        <v>79</v>
      </c>
      <c r="CI69" s="2" t="n">
        <f aca="false">MIN(CI68+1,CH69+1,CH68+IF($A69=CI$4,0,1))</f>
        <v>80</v>
      </c>
      <c r="CJ69" s="2" t="n">
        <f aca="false">MIN(CJ68+1,CI69+1,CI68+IF($A69=CJ$4,0,1))</f>
        <v>81</v>
      </c>
      <c r="CK69" s="2" t="n">
        <f aca="false">MIN(CK68+1,CJ69+1,CJ68+IF($A69=CK$4,0,1))</f>
        <v>82</v>
      </c>
      <c r="CL69" s="2" t="n">
        <f aca="false">MIN(CL68+1,CK69+1,CK68+IF($A69=CL$4,0,1))</f>
        <v>83</v>
      </c>
      <c r="CM69" s="2" t="n">
        <f aca="false">MIN(CM68+1,CL69+1,CL68+IF($A69=CM$4,0,1))</f>
        <v>84</v>
      </c>
      <c r="CN69" s="2" t="n">
        <f aca="false">MIN(CN68+1,CM69+1,CM68+IF($A69=CN$4,0,1))</f>
        <v>85</v>
      </c>
      <c r="CO69" s="2" t="n">
        <f aca="false">MIN(CO68+1,CN69+1,CN68+IF($A69=CO$4,0,1))</f>
        <v>86</v>
      </c>
      <c r="CP69" s="2" t="n">
        <f aca="false">MIN(CP68+1,CO69+1,CO68+IF($A69=CP$4,0,1))</f>
        <v>86</v>
      </c>
      <c r="CQ69" s="2" t="n">
        <f aca="false">MIN(CQ68+1,CP69+1,CP68+IF($A69=CQ$4,0,1))</f>
        <v>87</v>
      </c>
    </row>
    <row r="70" customFormat="false" ht="15" hidden="false" customHeight="false" outlineLevel="0" collapsed="false">
      <c r="A70" s="4" t="s">
        <v>185</v>
      </c>
      <c r="B70" s="12" t="n">
        <v>65</v>
      </c>
      <c r="C70" s="2" t="n">
        <f aca="false">MIN(C69+1,B70+1,B69+IF($A70=C$4,0,1))</f>
        <v>65</v>
      </c>
      <c r="D70" s="2" t="n">
        <f aca="false">MIN(D69+1,C70+1,C69+IF($A70=D$4,0,1))</f>
        <v>64</v>
      </c>
      <c r="E70" s="2" t="n">
        <f aca="false">MIN(E69+1,D70+1,D69+IF($A70=E$4,0,1))</f>
        <v>63</v>
      </c>
      <c r="F70" s="2" t="n">
        <f aca="false">MIN(F69+1,E70+1,E69+IF($A70=F$4,0,1))</f>
        <v>62</v>
      </c>
      <c r="G70" s="2" t="n">
        <f aca="false">MIN(G69+1,F70+1,F69+IF($A70=G$4,0,1))</f>
        <v>62</v>
      </c>
      <c r="H70" s="2" t="n">
        <f aca="false">MIN(H69+1,G70+1,G69+IF($A70=H$4,0,1))</f>
        <v>62</v>
      </c>
      <c r="I70" s="2" t="n">
        <f aca="false">MIN(I69+1,H70+1,H69+IF($A70=I$4,0,1))</f>
        <v>62</v>
      </c>
      <c r="J70" s="2" t="n">
        <f aca="false">MIN(J69+1,I70+1,I69+IF($A70=J$4,0,1))</f>
        <v>62</v>
      </c>
      <c r="K70" s="2" t="n">
        <f aca="false">MIN(K69+1,J70+1,J69+IF($A70=K$4,0,1))</f>
        <v>61</v>
      </c>
      <c r="L70" s="2" t="n">
        <f aca="false">MIN(L69+1,K70+1,K69+IF($A70=L$4,0,1))</f>
        <v>61</v>
      </c>
      <c r="M70" s="2" t="n">
        <f aca="false">MIN(M69+1,L70+1,L69+IF($A70=M$4,0,1))</f>
        <v>61</v>
      </c>
      <c r="N70" s="2" t="n">
        <f aca="false">MIN(N69+1,M70+1,M69+IF($A70=N$4,0,1))</f>
        <v>61</v>
      </c>
      <c r="O70" s="2" t="n">
        <f aca="false">MIN(O69+1,N70+1,N69+IF($A70=O$4,0,1))</f>
        <v>60</v>
      </c>
      <c r="P70" s="2" t="n">
        <f aca="false">MIN(P69+1,O70+1,O69+IF($A70=P$4,0,1))</f>
        <v>60</v>
      </c>
      <c r="Q70" s="2" t="n">
        <f aca="false">MIN(Q69+1,P70+1,P69+IF($A70=Q$4,0,1))</f>
        <v>60</v>
      </c>
      <c r="R70" s="2" t="n">
        <f aca="false">MIN(R69+1,Q70+1,Q69+IF($A70=R$4,0,1))</f>
        <v>60</v>
      </c>
      <c r="S70" s="2" t="n">
        <f aca="false">MIN(S69+1,R70+1,R69+IF($A70=S$4,0,1))</f>
        <v>60</v>
      </c>
      <c r="T70" s="2" t="n">
        <f aca="false">MIN(T69+1,S70+1,S69+IF($A70=T$4,0,1))</f>
        <v>61</v>
      </c>
      <c r="U70" s="2" t="n">
        <f aca="false">MIN(U69+1,T70+1,T69+IF($A70=U$4,0,1))</f>
        <v>61</v>
      </c>
      <c r="V70" s="2" t="n">
        <f aca="false">MIN(V69+1,U70+1,U69+IF($A70=V$4,0,1))</f>
        <v>61</v>
      </c>
      <c r="W70" s="2" t="n">
        <f aca="false">MIN(W69+1,V70+1,V69+IF($A70=W$4,0,1))</f>
        <v>60</v>
      </c>
      <c r="X70" s="2" t="n">
        <f aca="false">MIN(X69+1,W70+1,W69+IF($A70=X$4,0,1))</f>
        <v>60</v>
      </c>
      <c r="Y70" s="2" t="n">
        <f aca="false">MIN(Y69+1,X70+1,X69+IF($A70=Y$4,0,1))</f>
        <v>60</v>
      </c>
      <c r="Z70" s="2" t="n">
        <f aca="false">MIN(Z69+1,Y70+1,Y69+IF($A70=Z$4,0,1))</f>
        <v>60</v>
      </c>
      <c r="AA70" s="2" t="n">
        <f aca="false">MIN(AA69+1,Z70+1,Z69+IF($A70=AA$4,0,1))</f>
        <v>60</v>
      </c>
      <c r="AB70" s="2" t="n">
        <f aca="false">MIN(AB69+1,AA70+1,AA69+IF($A70=AB$4,0,1))</f>
        <v>60</v>
      </c>
      <c r="AC70" s="2" t="n">
        <f aca="false">MIN(AC69+1,AB70+1,AB69+IF($A70=AC$4,0,1))</f>
        <v>60</v>
      </c>
      <c r="AD70" s="2" t="n">
        <f aca="false">MIN(AD69+1,AC70+1,AC69+IF($A70=AD$4,0,1))</f>
        <v>60</v>
      </c>
      <c r="AE70" s="2" t="n">
        <f aca="false">MIN(AE69+1,AD70+1,AD69+IF($A70=AE$4,0,1))</f>
        <v>60</v>
      </c>
      <c r="AF70" s="2" t="n">
        <f aca="false">MIN(AF69+1,AE70+1,AE69+IF($A70=AF$4,0,1))</f>
        <v>60</v>
      </c>
      <c r="AG70" s="2" t="n">
        <f aca="false">MIN(AG69+1,AF70+1,AF69+IF($A70=AG$4,0,1))</f>
        <v>60</v>
      </c>
      <c r="AH70" s="2" t="n">
        <f aca="false">MIN(AH69+1,AG70+1,AG69+IF($A70=AH$4,0,1))</f>
        <v>60</v>
      </c>
      <c r="AI70" s="2" t="n">
        <f aca="false">MIN(AI69+1,AH70+1,AH69+IF($A70=AI$4,0,1))</f>
        <v>61</v>
      </c>
      <c r="AJ70" s="2" t="n">
        <f aca="false">MIN(AJ69+1,AI70+1,AI69+IF($A70=AJ$4,0,1))</f>
        <v>61</v>
      </c>
      <c r="AK70" s="2" t="n">
        <f aca="false">MIN(AK69+1,AJ70+1,AJ69+IF($A70=AK$4,0,1))</f>
        <v>61</v>
      </c>
      <c r="AL70" s="2" t="n">
        <f aca="false">MIN(AL69+1,AK70+1,AK69+IF($A70=AL$4,0,1))</f>
        <v>61</v>
      </c>
      <c r="AM70" s="2" t="n">
        <f aca="false">MIN(AM69+1,AL70+1,AL69+IF($A70=AM$4,0,1))</f>
        <v>61</v>
      </c>
      <c r="AN70" s="2" t="n">
        <f aca="false">MIN(AN69+1,AM70+1,AM69+IF($A70=AN$4,0,1))</f>
        <v>61</v>
      </c>
      <c r="AO70" s="2" t="n">
        <f aca="false">MIN(AO69+1,AN70+1,AN69+IF($A70=AO$4,0,1))</f>
        <v>61</v>
      </c>
      <c r="AP70" s="2" t="n">
        <f aca="false">MIN(AP69+1,AO70+1,AO69+IF($A70=AP$4,0,1))</f>
        <v>61</v>
      </c>
      <c r="AQ70" s="2" t="n">
        <f aca="false">MIN(AQ69+1,AP70+1,AP69+IF($A70=AQ$4,0,1))</f>
        <v>61</v>
      </c>
      <c r="AR70" s="2" t="n">
        <f aca="false">MIN(AR69+1,AQ70+1,AQ69+IF($A70=AR$4,0,1))</f>
        <v>61</v>
      </c>
      <c r="AS70" s="2" t="n">
        <f aca="false">MIN(AS69+1,AR70+1,AR69+IF($A70=AS$4,0,1))</f>
        <v>61</v>
      </c>
      <c r="AT70" s="2" t="n">
        <f aca="false">MIN(AT69+1,AS70+1,AS69+IF($A70=AT$4,0,1))</f>
        <v>61</v>
      </c>
      <c r="AU70" s="2" t="n">
        <f aca="false">MIN(AU69+1,AT70+1,AT69+IF($A70=AU$4,0,1))</f>
        <v>61</v>
      </c>
      <c r="AV70" s="2" t="n">
        <f aca="false">MIN(AV69+1,AU70+1,AU69+IF($A70=AV$4,0,1))</f>
        <v>61</v>
      </c>
      <c r="AW70" s="2" t="n">
        <f aca="false">MIN(AW69+1,AV70+1,AV69+IF($A70=AW$4,0,1))</f>
        <v>61</v>
      </c>
      <c r="AX70" s="2" t="n">
        <f aca="false">MIN(AX69+1,AW70+1,AW69+IF($A70=AX$4,0,1))</f>
        <v>61</v>
      </c>
      <c r="AY70" s="2" t="n">
        <f aca="false">MIN(AY69+1,AX70+1,AX69+IF($A70=AY$4,0,1))</f>
        <v>61</v>
      </c>
      <c r="AZ70" s="2" t="n">
        <f aca="false">MIN(AZ69+1,AY70+1,AY69+IF($A70=AZ$4,0,1))</f>
        <v>61</v>
      </c>
      <c r="BA70" s="2" t="n">
        <f aca="false">MIN(BA69+1,AZ70+1,AZ69+IF($A70=BA$4,0,1))</f>
        <v>61</v>
      </c>
      <c r="BB70" s="2" t="n">
        <f aca="false">MIN(BB69+1,BA70+1,BA69+IF($A70=BB$4,0,1))</f>
        <v>61</v>
      </c>
      <c r="BC70" s="2" t="n">
        <f aca="false">MIN(BC69+1,BB70+1,BB69+IF($A70=BC$4,0,1))</f>
        <v>61</v>
      </c>
      <c r="BD70" s="2" t="n">
        <f aca="false">MIN(BD69+1,BC70+1,BC69+IF($A70=BD$4,0,1))</f>
        <v>61</v>
      </c>
      <c r="BE70" s="2" t="n">
        <f aca="false">MIN(BE69+1,BD70+1,BD69+IF($A70=BE$4,0,1))</f>
        <v>62</v>
      </c>
      <c r="BF70" s="2" t="n">
        <f aca="false">MIN(BF69+1,BE70+1,BE69+IF($A70=BF$4,0,1))</f>
        <v>62</v>
      </c>
      <c r="BG70" s="2" t="n">
        <f aca="false">MIN(BG69+1,BF70+1,BF69+IF($A70=BG$4,0,1))</f>
        <v>62</v>
      </c>
      <c r="BH70" s="2" t="n">
        <f aca="false">MIN(BH69+1,BG70+1,BG69+IF($A70=BH$4,0,1))</f>
        <v>62</v>
      </c>
      <c r="BI70" s="2" t="n">
        <f aca="false">MIN(BI69+1,BH70+1,BH69+IF($A70=BI$4,0,1))</f>
        <v>62</v>
      </c>
      <c r="BJ70" s="2" t="n">
        <f aca="false">MIN(BJ69+1,BI70+1,BI69+IF($A70=BJ$4,0,1))</f>
        <v>62</v>
      </c>
      <c r="BK70" s="2" t="n">
        <f aca="false">MIN(BK69+1,BJ70+1,BJ69+IF($A70=BK$4,0,1))</f>
        <v>62</v>
      </c>
      <c r="BL70" s="2" t="n">
        <f aca="false">MIN(BL69+1,BK70+1,BK69+IF($A70=BL$4,0,1))</f>
        <v>62</v>
      </c>
      <c r="BM70" s="2" t="n">
        <f aca="false">MIN(BM69+1,BL70+1,BL69+IF($A70=BM$4,0,1))</f>
        <v>62</v>
      </c>
      <c r="BN70" s="2" t="n">
        <f aca="false">MIN(BN69+1,BM70+1,BM69+IF($A70=BN$4,0,1))</f>
        <v>62</v>
      </c>
      <c r="BO70" s="2" t="n">
        <f aca="false">MIN(BO69+1,BN70+1,BN69+IF($A70=BO$4,0,1))</f>
        <v>62</v>
      </c>
      <c r="BP70" s="2" t="n">
        <f aca="false">MIN(BP69+1,BO70+1,BO69+IF($A70=BP$4,0,1))</f>
        <v>62</v>
      </c>
      <c r="BQ70" s="2" t="n">
        <f aca="false">MIN(BQ69+1,BP70+1,BP69+IF($A70=BQ$4,0,1))</f>
        <v>63</v>
      </c>
      <c r="BR70" s="2" t="n">
        <f aca="false">MIN(BR69+1,BQ70+1,BQ69+IF($A70=BR$4,0,1))</f>
        <v>64</v>
      </c>
      <c r="BS70" s="2" t="n">
        <f aca="false">MIN(BS69+1,BR70+1,BR69+IF($A70=BS$4,0,1))</f>
        <v>65</v>
      </c>
      <c r="BT70" s="2" t="n">
        <f aca="false">MIN(BT69+1,BS70+1,BS69+IF($A70=BT$4,0,1))</f>
        <v>66</v>
      </c>
      <c r="BU70" s="2" t="n">
        <f aca="false">MIN(BU69+1,BT70+1,BT69+IF($A70=BU$4,0,1))</f>
        <v>67</v>
      </c>
      <c r="BV70" s="2" t="n">
        <f aca="false">MIN(BV69+1,BU70+1,BU69+IF($A70=BV$4,0,1))</f>
        <v>68</v>
      </c>
      <c r="BW70" s="2" t="n">
        <f aca="false">MIN(BW69+1,BV70+1,BV69+IF($A70=BW$4,0,1))</f>
        <v>69</v>
      </c>
      <c r="BX70" s="2" t="n">
        <f aca="false">MIN(BX69+1,BW70+1,BW69+IF($A70=BX$4,0,1))</f>
        <v>70</v>
      </c>
      <c r="BY70" s="2" t="n">
        <f aca="false">MIN(BY69+1,BX70+1,BX69+IF($A70=BY$4,0,1))</f>
        <v>71</v>
      </c>
      <c r="BZ70" s="2" t="n">
        <f aca="false">MIN(BZ69+1,BY70+1,BY69+IF($A70=BZ$4,0,1))</f>
        <v>72</v>
      </c>
      <c r="CA70" s="2" t="n">
        <f aca="false">MIN(CA69+1,BZ70+1,BZ69+IF($A70=CA$4,0,1))</f>
        <v>73</v>
      </c>
      <c r="CB70" s="2" t="n">
        <f aca="false">MIN(CB69+1,CA70+1,CA69+IF($A70=CB$4,0,1))</f>
        <v>74</v>
      </c>
      <c r="CC70" s="2" t="n">
        <f aca="false">MIN(CC69+1,CB70+1,CB69+IF($A70=CC$4,0,1))</f>
        <v>75</v>
      </c>
      <c r="CD70" s="2" t="n">
        <f aca="false">MIN(CD69+1,CC70+1,CC69+IF($A70=CD$4,0,1))</f>
        <v>76</v>
      </c>
      <c r="CE70" s="2" t="n">
        <f aca="false">MIN(CE69+1,CD70+1,CD69+IF($A70=CE$4,0,1))</f>
        <v>77</v>
      </c>
      <c r="CF70" s="2" t="n">
        <f aca="false">MIN(CF69+1,CE70+1,CE69+IF($A70=CF$4,0,1))</f>
        <v>78</v>
      </c>
      <c r="CG70" s="2" t="n">
        <f aca="false">MIN(CG69+1,CF70+1,CF69+IF($A70=CG$4,0,1))</f>
        <v>78</v>
      </c>
      <c r="CH70" s="2" t="n">
        <f aca="false">MIN(CH69+1,CG70+1,CG69+IF($A70=CH$4,0,1))</f>
        <v>79</v>
      </c>
      <c r="CI70" s="2" t="n">
        <f aca="false">MIN(CI69+1,CH70+1,CH69+IF($A70=CI$4,0,1))</f>
        <v>80</v>
      </c>
      <c r="CJ70" s="2" t="n">
        <f aca="false">MIN(CJ69+1,CI70+1,CI69+IF($A70=CJ$4,0,1))</f>
        <v>81</v>
      </c>
      <c r="CK70" s="2" t="n">
        <f aca="false">MIN(CK69+1,CJ70+1,CJ69+IF($A70=CK$4,0,1))</f>
        <v>82</v>
      </c>
      <c r="CL70" s="2" t="n">
        <f aca="false">MIN(CL69+1,CK70+1,CK69+IF($A70=CL$4,0,1))</f>
        <v>83</v>
      </c>
      <c r="CM70" s="2" t="n">
        <f aca="false">MIN(CM69+1,CL70+1,CL69+IF($A70=CM$4,0,1))</f>
        <v>84</v>
      </c>
      <c r="CN70" s="2" t="n">
        <f aca="false">MIN(CN69+1,CM70+1,CM69+IF($A70=CN$4,0,1))</f>
        <v>85</v>
      </c>
      <c r="CO70" s="2" t="n">
        <f aca="false">MIN(CO69+1,CN70+1,CN69+IF($A70=CO$4,0,1))</f>
        <v>86</v>
      </c>
      <c r="CP70" s="2" t="n">
        <f aca="false">MIN(CP69+1,CO70+1,CO69+IF($A70=CP$4,0,1))</f>
        <v>87</v>
      </c>
      <c r="CQ70" s="2" t="n">
        <f aca="false">MIN(CQ69+1,CP70+1,CP69+IF($A70=CQ$4,0,1))</f>
        <v>87</v>
      </c>
    </row>
    <row r="71" customFormat="false" ht="15" hidden="false" customHeight="false" outlineLevel="0" collapsed="false">
      <c r="A71" s="4" t="s">
        <v>186</v>
      </c>
      <c r="B71" s="12" t="n">
        <v>66</v>
      </c>
      <c r="C71" s="2" t="n">
        <f aca="false">MIN(C70+1,B71+1,B70+IF($A71=C$4,0,1))</f>
        <v>66</v>
      </c>
      <c r="D71" s="2" t="n">
        <f aca="false">MIN(D70+1,C71+1,C70+IF($A71=D$4,0,1))</f>
        <v>65</v>
      </c>
      <c r="E71" s="2" t="n">
        <f aca="false">MIN(E70+1,D71+1,D70+IF($A71=E$4,0,1))</f>
        <v>64</v>
      </c>
      <c r="F71" s="2" t="n">
        <f aca="false">MIN(F70+1,E71+1,E70+IF($A71=F$4,0,1))</f>
        <v>63</v>
      </c>
      <c r="G71" s="2" t="n">
        <f aca="false">MIN(G70+1,F71+1,F70+IF($A71=G$4,0,1))</f>
        <v>63</v>
      </c>
      <c r="H71" s="2" t="n">
        <f aca="false">MIN(H70+1,G71+1,G70+IF($A71=H$4,0,1))</f>
        <v>63</v>
      </c>
      <c r="I71" s="2" t="n">
        <f aca="false">MIN(I70+1,H71+1,H70+IF($A71=I$4,0,1))</f>
        <v>63</v>
      </c>
      <c r="J71" s="2" t="n">
        <f aca="false">MIN(J70+1,I71+1,I70+IF($A71=J$4,0,1))</f>
        <v>63</v>
      </c>
      <c r="K71" s="2" t="n">
        <f aca="false">MIN(K70+1,J71+1,J70+IF($A71=K$4,0,1))</f>
        <v>62</v>
      </c>
      <c r="L71" s="2" t="n">
        <f aca="false">MIN(L70+1,K71+1,K70+IF($A71=L$4,0,1))</f>
        <v>62</v>
      </c>
      <c r="M71" s="2" t="n">
        <f aca="false">MIN(M70+1,L71+1,L70+IF($A71=M$4,0,1))</f>
        <v>62</v>
      </c>
      <c r="N71" s="2" t="n">
        <f aca="false">MIN(N70+1,M71+1,M70+IF($A71=N$4,0,1))</f>
        <v>62</v>
      </c>
      <c r="O71" s="2" t="n">
        <f aca="false">MIN(O70+1,N71+1,N70+IF($A71=O$4,0,1))</f>
        <v>61</v>
      </c>
      <c r="P71" s="2" t="n">
        <f aca="false">MIN(P70+1,O71+1,O70+IF($A71=P$4,0,1))</f>
        <v>61</v>
      </c>
      <c r="Q71" s="2" t="n">
        <f aca="false">MIN(Q70+1,P71+1,P70+IF($A71=Q$4,0,1))</f>
        <v>61</v>
      </c>
      <c r="R71" s="2" t="n">
        <f aca="false">MIN(R70+1,Q71+1,Q70+IF($A71=R$4,0,1))</f>
        <v>61</v>
      </c>
      <c r="S71" s="2" t="n">
        <f aca="false">MIN(S70+1,R71+1,R70+IF($A71=S$4,0,1))</f>
        <v>61</v>
      </c>
      <c r="T71" s="2" t="n">
        <f aca="false">MIN(T70+1,S71+1,S70+IF($A71=T$4,0,1))</f>
        <v>61</v>
      </c>
      <c r="U71" s="2" t="n">
        <f aca="false">MIN(U70+1,T71+1,T70+IF($A71=U$4,0,1))</f>
        <v>62</v>
      </c>
      <c r="V71" s="2" t="n">
        <f aca="false">MIN(V70+1,U71+1,U70+IF($A71=V$4,0,1))</f>
        <v>62</v>
      </c>
      <c r="W71" s="2" t="n">
        <f aca="false">MIN(W70+1,V71+1,V70+IF($A71=W$4,0,1))</f>
        <v>61</v>
      </c>
      <c r="X71" s="2" t="n">
        <f aca="false">MIN(X70+1,W71+1,W70+IF($A71=X$4,0,1))</f>
        <v>61</v>
      </c>
      <c r="Y71" s="2" t="n">
        <f aca="false">MIN(Y70+1,X71+1,X70+IF($A71=Y$4,0,1))</f>
        <v>61</v>
      </c>
      <c r="Z71" s="2" t="n">
        <f aca="false">MIN(Z70+1,Y71+1,Y70+IF($A71=Z$4,0,1))</f>
        <v>61</v>
      </c>
      <c r="AA71" s="2" t="n">
        <f aca="false">MIN(AA70+1,Z71+1,Z70+IF($A71=AA$4,0,1))</f>
        <v>61</v>
      </c>
      <c r="AB71" s="2" t="n">
        <f aca="false">MIN(AB70+1,AA71+1,AA70+IF($A71=AB$4,0,1))</f>
        <v>61</v>
      </c>
      <c r="AC71" s="2" t="n">
        <f aca="false">MIN(AC70+1,AB71+1,AB70+IF($A71=AC$4,0,1))</f>
        <v>61</v>
      </c>
      <c r="AD71" s="2" t="n">
        <f aca="false">MIN(AD70+1,AC71+1,AC70+IF($A71=AD$4,0,1))</f>
        <v>61</v>
      </c>
      <c r="AE71" s="2" t="n">
        <f aca="false">MIN(AE70+1,AD71+1,AD70+IF($A71=AE$4,0,1))</f>
        <v>61</v>
      </c>
      <c r="AF71" s="2" t="n">
        <f aca="false">MIN(AF70+1,AE71+1,AE70+IF($A71=AF$4,0,1))</f>
        <v>61</v>
      </c>
      <c r="AG71" s="2" t="n">
        <f aca="false">MIN(AG70+1,AF71+1,AF70+IF($A71=AG$4,0,1))</f>
        <v>61</v>
      </c>
      <c r="AH71" s="2" t="n">
        <f aca="false">MIN(AH70+1,AG71+1,AG70+IF($A71=AH$4,0,1))</f>
        <v>61</v>
      </c>
      <c r="AI71" s="2" t="n">
        <f aca="false">MIN(AI70+1,AH71+1,AH70+IF($A71=AI$4,0,1))</f>
        <v>61</v>
      </c>
      <c r="AJ71" s="2" t="n">
        <f aca="false">MIN(AJ70+1,AI71+1,AI70+IF($A71=AJ$4,0,1))</f>
        <v>62</v>
      </c>
      <c r="AK71" s="2" t="n">
        <f aca="false">MIN(AK70+1,AJ71+1,AJ70+IF($A71=AK$4,0,1))</f>
        <v>62</v>
      </c>
      <c r="AL71" s="2" t="n">
        <f aca="false">MIN(AL70+1,AK71+1,AK70+IF($A71=AL$4,0,1))</f>
        <v>62</v>
      </c>
      <c r="AM71" s="2" t="n">
        <f aca="false">MIN(AM70+1,AL71+1,AL70+IF($A71=AM$4,0,1))</f>
        <v>62</v>
      </c>
      <c r="AN71" s="2" t="n">
        <f aca="false">MIN(AN70+1,AM71+1,AM70+IF($A71=AN$4,0,1))</f>
        <v>62</v>
      </c>
      <c r="AO71" s="2" t="n">
        <f aca="false">MIN(AO70+1,AN71+1,AN70+IF($A71=AO$4,0,1))</f>
        <v>62</v>
      </c>
      <c r="AP71" s="2" t="n">
        <f aca="false">MIN(AP70+1,AO71+1,AO70+IF($A71=AP$4,0,1))</f>
        <v>62</v>
      </c>
      <c r="AQ71" s="2" t="n">
        <f aca="false">MIN(AQ70+1,AP71+1,AP70+IF($A71=AQ$4,0,1))</f>
        <v>62</v>
      </c>
      <c r="AR71" s="2" t="n">
        <f aca="false">MIN(AR70+1,AQ71+1,AQ70+IF($A71=AR$4,0,1))</f>
        <v>62</v>
      </c>
      <c r="AS71" s="2" t="n">
        <f aca="false">MIN(AS70+1,AR71+1,AR70+IF($A71=AS$4,0,1))</f>
        <v>62</v>
      </c>
      <c r="AT71" s="2" t="n">
        <f aca="false">MIN(AT70+1,AS71+1,AS70+IF($A71=AT$4,0,1))</f>
        <v>62</v>
      </c>
      <c r="AU71" s="2" t="n">
        <f aca="false">MIN(AU70+1,AT71+1,AT70+IF($A71=AU$4,0,1))</f>
        <v>62</v>
      </c>
      <c r="AV71" s="2" t="n">
        <f aca="false">MIN(AV70+1,AU71+1,AU70+IF($A71=AV$4,0,1))</f>
        <v>62</v>
      </c>
      <c r="AW71" s="2" t="n">
        <f aca="false">MIN(AW70+1,AV71+1,AV70+IF($A71=AW$4,0,1))</f>
        <v>62</v>
      </c>
      <c r="AX71" s="2" t="n">
        <f aca="false">MIN(AX70+1,AW71+1,AW70+IF($A71=AX$4,0,1))</f>
        <v>62</v>
      </c>
      <c r="AY71" s="2" t="n">
        <f aca="false">MIN(AY70+1,AX71+1,AX70+IF($A71=AY$4,0,1))</f>
        <v>62</v>
      </c>
      <c r="AZ71" s="2" t="n">
        <f aca="false">MIN(AZ70+1,AY71+1,AY70+IF($A71=AZ$4,0,1))</f>
        <v>62</v>
      </c>
      <c r="BA71" s="2" t="n">
        <f aca="false">MIN(BA70+1,AZ71+1,AZ70+IF($A71=BA$4,0,1))</f>
        <v>62</v>
      </c>
      <c r="BB71" s="2" t="n">
        <f aca="false">MIN(BB70+1,BA71+1,BA70+IF($A71=BB$4,0,1))</f>
        <v>62</v>
      </c>
      <c r="BC71" s="2" t="n">
        <f aca="false">MIN(BC70+1,BB71+1,BB70+IF($A71=BC$4,0,1))</f>
        <v>62</v>
      </c>
      <c r="BD71" s="2" t="n">
        <f aca="false">MIN(BD70+1,BC71+1,BC70+IF($A71=BD$4,0,1))</f>
        <v>62</v>
      </c>
      <c r="BE71" s="2" t="n">
        <f aca="false">MIN(BE70+1,BD71+1,BD70+IF($A71=BE$4,0,1))</f>
        <v>62</v>
      </c>
      <c r="BF71" s="2" t="n">
        <f aca="false">MIN(BF70+1,BE71+1,BE70+IF($A71=BF$4,0,1))</f>
        <v>63</v>
      </c>
      <c r="BG71" s="2" t="n">
        <f aca="false">MIN(BG70+1,BF71+1,BF70+IF($A71=BG$4,0,1))</f>
        <v>63</v>
      </c>
      <c r="BH71" s="2" t="n">
        <f aca="false">MIN(BH70+1,BG71+1,BG70+IF($A71=BH$4,0,1))</f>
        <v>63</v>
      </c>
      <c r="BI71" s="2" t="n">
        <f aca="false">MIN(BI70+1,BH71+1,BH70+IF($A71=BI$4,0,1))</f>
        <v>63</v>
      </c>
      <c r="BJ71" s="2" t="n">
        <f aca="false">MIN(BJ70+1,BI71+1,BI70+IF($A71=BJ$4,0,1))</f>
        <v>63</v>
      </c>
      <c r="BK71" s="2" t="n">
        <f aca="false">MIN(BK70+1,BJ71+1,BJ70+IF($A71=BK$4,0,1))</f>
        <v>63</v>
      </c>
      <c r="BL71" s="2" t="n">
        <f aca="false">MIN(BL70+1,BK71+1,BK70+IF($A71=BL$4,0,1))</f>
        <v>63</v>
      </c>
      <c r="BM71" s="2" t="n">
        <f aca="false">MIN(BM70+1,BL71+1,BL70+IF($A71=BM$4,0,1))</f>
        <v>63</v>
      </c>
      <c r="BN71" s="2" t="n">
        <f aca="false">MIN(BN70+1,BM71+1,BM70+IF($A71=BN$4,0,1))</f>
        <v>63</v>
      </c>
      <c r="BO71" s="2" t="n">
        <f aca="false">MIN(BO70+1,BN71+1,BN70+IF($A71=BO$4,0,1))</f>
        <v>63</v>
      </c>
      <c r="BP71" s="2" t="n">
        <f aca="false">MIN(BP70+1,BO71+1,BO70+IF($A71=BP$4,0,1))</f>
        <v>63</v>
      </c>
      <c r="BQ71" s="2" t="n">
        <f aca="false">MIN(BQ70+1,BP71+1,BP70+IF($A71=BQ$4,0,1))</f>
        <v>63</v>
      </c>
      <c r="BR71" s="2" t="n">
        <f aca="false">MIN(BR70+1,BQ71+1,BQ70+IF($A71=BR$4,0,1))</f>
        <v>64</v>
      </c>
      <c r="BS71" s="2" t="n">
        <f aca="false">MIN(BS70+1,BR71+1,BR70+IF($A71=BS$4,0,1))</f>
        <v>65</v>
      </c>
      <c r="BT71" s="2" t="n">
        <f aca="false">MIN(BT70+1,BS71+1,BS70+IF($A71=BT$4,0,1))</f>
        <v>66</v>
      </c>
      <c r="BU71" s="2" t="n">
        <f aca="false">MIN(BU70+1,BT71+1,BT70+IF($A71=BU$4,0,1))</f>
        <v>67</v>
      </c>
      <c r="BV71" s="2" t="n">
        <f aca="false">MIN(BV70+1,BU71+1,BU70+IF($A71=BV$4,0,1))</f>
        <v>68</v>
      </c>
      <c r="BW71" s="2" t="n">
        <f aca="false">MIN(BW70+1,BV71+1,BV70+IF($A71=BW$4,0,1))</f>
        <v>69</v>
      </c>
      <c r="BX71" s="2" t="n">
        <f aca="false">MIN(BX70+1,BW71+1,BW70+IF($A71=BX$4,0,1))</f>
        <v>70</v>
      </c>
      <c r="BY71" s="2" t="n">
        <f aca="false">MIN(BY70+1,BX71+1,BX70+IF($A71=BY$4,0,1))</f>
        <v>71</v>
      </c>
      <c r="BZ71" s="2" t="n">
        <f aca="false">MIN(BZ70+1,BY71+1,BY70+IF($A71=BZ$4,0,1))</f>
        <v>72</v>
      </c>
      <c r="CA71" s="2" t="n">
        <f aca="false">MIN(CA70+1,BZ71+1,BZ70+IF($A71=CA$4,0,1))</f>
        <v>73</v>
      </c>
      <c r="CB71" s="2" t="n">
        <f aca="false">MIN(CB70+1,CA71+1,CA70+IF($A71=CB$4,0,1))</f>
        <v>74</v>
      </c>
      <c r="CC71" s="2" t="n">
        <f aca="false">MIN(CC70+1,CB71+1,CB70+IF($A71=CC$4,0,1))</f>
        <v>75</v>
      </c>
      <c r="CD71" s="2" t="n">
        <f aca="false">MIN(CD70+1,CC71+1,CC70+IF($A71=CD$4,0,1))</f>
        <v>76</v>
      </c>
      <c r="CE71" s="2" t="n">
        <f aca="false">MIN(CE70+1,CD71+1,CD70+IF($A71=CE$4,0,1))</f>
        <v>77</v>
      </c>
      <c r="CF71" s="2" t="n">
        <f aca="false">MIN(CF70+1,CE71+1,CE70+IF($A71=CF$4,0,1))</f>
        <v>78</v>
      </c>
      <c r="CG71" s="2" t="n">
        <f aca="false">MIN(CG70+1,CF71+1,CF70+IF($A71=CG$4,0,1))</f>
        <v>79</v>
      </c>
      <c r="CH71" s="2" t="n">
        <f aca="false">MIN(CH70+1,CG71+1,CG70+IF($A71=CH$4,0,1))</f>
        <v>79</v>
      </c>
      <c r="CI71" s="2" t="n">
        <f aca="false">MIN(CI70+1,CH71+1,CH70+IF($A71=CI$4,0,1))</f>
        <v>80</v>
      </c>
      <c r="CJ71" s="2" t="n">
        <f aca="false">MIN(CJ70+1,CI71+1,CI70+IF($A71=CJ$4,0,1))</f>
        <v>81</v>
      </c>
      <c r="CK71" s="2" t="n">
        <f aca="false">MIN(CK70+1,CJ71+1,CJ70+IF($A71=CK$4,0,1))</f>
        <v>82</v>
      </c>
      <c r="CL71" s="2" t="n">
        <f aca="false">MIN(CL70+1,CK71+1,CK70+IF($A71=CL$4,0,1))</f>
        <v>83</v>
      </c>
      <c r="CM71" s="2" t="n">
        <f aca="false">MIN(CM70+1,CL71+1,CL70+IF($A71=CM$4,0,1))</f>
        <v>84</v>
      </c>
      <c r="CN71" s="2" t="n">
        <f aca="false">MIN(CN70+1,CM71+1,CM70+IF($A71=CN$4,0,1))</f>
        <v>85</v>
      </c>
      <c r="CO71" s="2" t="n">
        <f aca="false">MIN(CO70+1,CN71+1,CN70+IF($A71=CO$4,0,1))</f>
        <v>86</v>
      </c>
      <c r="CP71" s="2" t="n">
        <f aca="false">MIN(CP70+1,CO71+1,CO70+IF($A71=CP$4,0,1))</f>
        <v>87</v>
      </c>
      <c r="CQ71" s="2" t="n">
        <f aca="false">MIN(CQ70+1,CP71+1,CP70+IF($A71=CQ$4,0,1))</f>
        <v>88</v>
      </c>
    </row>
    <row r="72" customFormat="false" ht="15" hidden="false" customHeight="false" outlineLevel="0" collapsed="false">
      <c r="A72" s="4" t="s">
        <v>187</v>
      </c>
      <c r="B72" s="12" t="n">
        <v>67</v>
      </c>
      <c r="C72" s="2" t="n">
        <f aca="false">MIN(C71+1,B72+1,B71+IF($A72=C$4,0,1))</f>
        <v>67</v>
      </c>
      <c r="D72" s="2" t="n">
        <f aca="false">MIN(D71+1,C72+1,C71+IF($A72=D$4,0,1))</f>
        <v>66</v>
      </c>
      <c r="E72" s="2" t="n">
        <f aca="false">MIN(E71+1,D72+1,D71+IF($A72=E$4,0,1))</f>
        <v>65</v>
      </c>
      <c r="F72" s="2" t="n">
        <f aca="false">MIN(F71+1,E72+1,E71+IF($A72=F$4,0,1))</f>
        <v>64</v>
      </c>
      <c r="G72" s="2" t="n">
        <f aca="false">MIN(G71+1,F72+1,F71+IF($A72=G$4,0,1))</f>
        <v>64</v>
      </c>
      <c r="H72" s="2" t="n">
        <f aca="false">MIN(H71+1,G72+1,G71+IF($A72=H$4,0,1))</f>
        <v>64</v>
      </c>
      <c r="I72" s="2" t="n">
        <f aca="false">MIN(I71+1,H72+1,H71+IF($A72=I$4,0,1))</f>
        <v>64</v>
      </c>
      <c r="J72" s="2" t="n">
        <f aca="false">MIN(J71+1,I72+1,I71+IF($A72=J$4,0,1))</f>
        <v>64</v>
      </c>
      <c r="K72" s="2" t="n">
        <f aca="false">MIN(K71+1,J72+1,J71+IF($A72=K$4,0,1))</f>
        <v>63</v>
      </c>
      <c r="L72" s="2" t="n">
        <f aca="false">MIN(L71+1,K72+1,K71+IF($A72=L$4,0,1))</f>
        <v>63</v>
      </c>
      <c r="M72" s="2" t="n">
        <f aca="false">MIN(M71+1,L72+1,L71+IF($A72=M$4,0,1))</f>
        <v>63</v>
      </c>
      <c r="N72" s="2" t="n">
        <f aca="false">MIN(N71+1,M72+1,M71+IF($A72=N$4,0,1))</f>
        <v>63</v>
      </c>
      <c r="O72" s="2" t="n">
        <f aca="false">MIN(O71+1,N72+1,N71+IF($A72=O$4,0,1))</f>
        <v>62</v>
      </c>
      <c r="P72" s="2" t="n">
        <f aca="false">MIN(P71+1,O72+1,O71+IF($A72=P$4,0,1))</f>
        <v>62</v>
      </c>
      <c r="Q72" s="2" t="n">
        <f aca="false">MIN(Q71+1,P72+1,P71+IF($A72=Q$4,0,1))</f>
        <v>62</v>
      </c>
      <c r="R72" s="2" t="n">
        <f aca="false">MIN(R71+1,Q72+1,Q71+IF($A72=R$4,0,1))</f>
        <v>62</v>
      </c>
      <c r="S72" s="2" t="n">
        <f aca="false">MIN(S71+1,R72+1,R71+IF($A72=S$4,0,1))</f>
        <v>62</v>
      </c>
      <c r="T72" s="2" t="n">
        <f aca="false">MIN(T71+1,S72+1,S71+IF($A72=T$4,0,1))</f>
        <v>62</v>
      </c>
      <c r="U72" s="2" t="n">
        <f aca="false">MIN(U71+1,T72+1,T71+IF($A72=U$4,0,1))</f>
        <v>62</v>
      </c>
      <c r="V72" s="2" t="n">
        <f aca="false">MIN(V71+1,U72+1,U71+IF($A72=V$4,0,1))</f>
        <v>63</v>
      </c>
      <c r="W72" s="2" t="n">
        <f aca="false">MIN(W71+1,V72+1,V71+IF($A72=W$4,0,1))</f>
        <v>62</v>
      </c>
      <c r="X72" s="2" t="n">
        <f aca="false">MIN(X71+1,W72+1,W71+IF($A72=X$4,0,1))</f>
        <v>62</v>
      </c>
      <c r="Y72" s="2" t="n">
        <f aca="false">MIN(Y71+1,X72+1,X71+IF($A72=Y$4,0,1))</f>
        <v>62</v>
      </c>
      <c r="Z72" s="2" t="n">
        <f aca="false">MIN(Z71+1,Y72+1,Y71+IF($A72=Z$4,0,1))</f>
        <v>62</v>
      </c>
      <c r="AA72" s="2" t="n">
        <f aca="false">MIN(AA71+1,Z72+1,Z71+IF($A72=AA$4,0,1))</f>
        <v>62</v>
      </c>
      <c r="AB72" s="2" t="n">
        <f aca="false">MIN(AB71+1,AA72+1,AA71+IF($A72=AB$4,0,1))</f>
        <v>62</v>
      </c>
      <c r="AC72" s="2" t="n">
        <f aca="false">MIN(AC71+1,AB72+1,AB71+IF($A72=AC$4,0,1))</f>
        <v>62</v>
      </c>
      <c r="AD72" s="2" t="n">
        <f aca="false">MIN(AD71+1,AC72+1,AC71+IF($A72=AD$4,0,1))</f>
        <v>62</v>
      </c>
      <c r="AE72" s="2" t="n">
        <f aca="false">MIN(AE71+1,AD72+1,AD71+IF($A72=AE$4,0,1))</f>
        <v>62</v>
      </c>
      <c r="AF72" s="2" t="n">
        <f aca="false">MIN(AF71+1,AE72+1,AE71+IF($A72=AF$4,0,1))</f>
        <v>62</v>
      </c>
      <c r="AG72" s="2" t="n">
        <f aca="false">MIN(AG71+1,AF72+1,AF71+IF($A72=AG$4,0,1))</f>
        <v>62</v>
      </c>
      <c r="AH72" s="2" t="n">
        <f aca="false">MIN(AH71+1,AG72+1,AG71+IF($A72=AH$4,0,1))</f>
        <v>62</v>
      </c>
      <c r="AI72" s="2" t="n">
        <f aca="false">MIN(AI71+1,AH72+1,AH71+IF($A72=AI$4,0,1))</f>
        <v>62</v>
      </c>
      <c r="AJ72" s="2" t="n">
        <f aca="false">MIN(AJ71+1,AI72+1,AI71+IF($A72=AJ$4,0,1))</f>
        <v>62</v>
      </c>
      <c r="AK72" s="2" t="n">
        <f aca="false">MIN(AK71+1,AJ72+1,AJ71+IF($A72=AK$4,0,1))</f>
        <v>63</v>
      </c>
      <c r="AL72" s="2" t="n">
        <f aca="false">MIN(AL71+1,AK72+1,AK71+IF($A72=AL$4,0,1))</f>
        <v>63</v>
      </c>
      <c r="AM72" s="2" t="n">
        <f aca="false">MIN(AM71+1,AL72+1,AL71+IF($A72=AM$4,0,1))</f>
        <v>63</v>
      </c>
      <c r="AN72" s="2" t="n">
        <f aca="false">MIN(AN71+1,AM72+1,AM71+IF($A72=AN$4,0,1))</f>
        <v>63</v>
      </c>
      <c r="AO72" s="2" t="n">
        <f aca="false">MIN(AO71+1,AN72+1,AN71+IF($A72=AO$4,0,1))</f>
        <v>63</v>
      </c>
      <c r="AP72" s="2" t="n">
        <f aca="false">MIN(AP71+1,AO72+1,AO71+IF($A72=AP$4,0,1))</f>
        <v>63</v>
      </c>
      <c r="AQ72" s="2" t="n">
        <f aca="false">MIN(AQ71+1,AP72+1,AP71+IF($A72=AQ$4,0,1))</f>
        <v>63</v>
      </c>
      <c r="AR72" s="2" t="n">
        <f aca="false">MIN(AR71+1,AQ72+1,AQ71+IF($A72=AR$4,0,1))</f>
        <v>63</v>
      </c>
      <c r="AS72" s="2" t="n">
        <f aca="false">MIN(AS71+1,AR72+1,AR71+IF($A72=AS$4,0,1))</f>
        <v>63</v>
      </c>
      <c r="AT72" s="2" t="n">
        <f aca="false">MIN(AT71+1,AS72+1,AS71+IF($A72=AT$4,0,1))</f>
        <v>63</v>
      </c>
      <c r="AU72" s="2" t="n">
        <f aca="false">MIN(AU71+1,AT72+1,AT71+IF($A72=AU$4,0,1))</f>
        <v>63</v>
      </c>
      <c r="AV72" s="2" t="n">
        <f aca="false">MIN(AV71+1,AU72+1,AU71+IF($A72=AV$4,0,1))</f>
        <v>63</v>
      </c>
      <c r="AW72" s="2" t="n">
        <f aca="false">MIN(AW71+1,AV72+1,AV71+IF($A72=AW$4,0,1))</f>
        <v>63</v>
      </c>
      <c r="AX72" s="2" t="n">
        <f aca="false">MIN(AX71+1,AW72+1,AW71+IF($A72=AX$4,0,1))</f>
        <v>63</v>
      </c>
      <c r="AY72" s="2" t="n">
        <f aca="false">MIN(AY71+1,AX72+1,AX71+IF($A72=AY$4,0,1))</f>
        <v>63</v>
      </c>
      <c r="AZ72" s="2" t="n">
        <f aca="false">MIN(AZ71+1,AY72+1,AY71+IF($A72=AZ$4,0,1))</f>
        <v>63</v>
      </c>
      <c r="BA72" s="2" t="n">
        <f aca="false">MIN(BA71+1,AZ72+1,AZ71+IF($A72=BA$4,0,1))</f>
        <v>63</v>
      </c>
      <c r="BB72" s="2" t="n">
        <f aca="false">MIN(BB71+1,BA72+1,BA71+IF($A72=BB$4,0,1))</f>
        <v>63</v>
      </c>
      <c r="BC72" s="2" t="n">
        <f aca="false">MIN(BC71+1,BB72+1,BB71+IF($A72=BC$4,0,1))</f>
        <v>63</v>
      </c>
      <c r="BD72" s="2" t="n">
        <f aca="false">MIN(BD71+1,BC72+1,BC71+IF($A72=BD$4,0,1))</f>
        <v>63</v>
      </c>
      <c r="BE72" s="2" t="n">
        <f aca="false">MIN(BE71+1,BD72+1,BD71+IF($A72=BE$4,0,1))</f>
        <v>63</v>
      </c>
      <c r="BF72" s="2" t="n">
        <f aca="false">MIN(BF71+1,BE72+1,BE71+IF($A72=BF$4,0,1))</f>
        <v>63</v>
      </c>
      <c r="BG72" s="2" t="n">
        <f aca="false">MIN(BG71+1,BF72+1,BF71+IF($A72=BG$4,0,1))</f>
        <v>64</v>
      </c>
      <c r="BH72" s="2" t="n">
        <f aca="false">MIN(BH71+1,BG72+1,BG71+IF($A72=BH$4,0,1))</f>
        <v>64</v>
      </c>
      <c r="BI72" s="2" t="n">
        <f aca="false">MIN(BI71+1,BH72+1,BH71+IF($A72=BI$4,0,1))</f>
        <v>64</v>
      </c>
      <c r="BJ72" s="2" t="n">
        <f aca="false">MIN(BJ71+1,BI72+1,BI71+IF($A72=BJ$4,0,1))</f>
        <v>64</v>
      </c>
      <c r="BK72" s="2" t="n">
        <f aca="false">MIN(BK71+1,BJ72+1,BJ71+IF($A72=BK$4,0,1))</f>
        <v>64</v>
      </c>
      <c r="BL72" s="2" t="n">
        <f aca="false">MIN(BL71+1,BK72+1,BK71+IF($A72=BL$4,0,1))</f>
        <v>64</v>
      </c>
      <c r="BM72" s="2" t="n">
        <f aca="false">MIN(BM71+1,BL72+1,BL71+IF($A72=BM$4,0,1))</f>
        <v>64</v>
      </c>
      <c r="BN72" s="2" t="n">
        <f aca="false">MIN(BN71+1,BM72+1,BM71+IF($A72=BN$4,0,1))</f>
        <v>64</v>
      </c>
      <c r="BO72" s="2" t="n">
        <f aca="false">MIN(BO71+1,BN72+1,BN71+IF($A72=BO$4,0,1))</f>
        <v>64</v>
      </c>
      <c r="BP72" s="2" t="n">
        <f aca="false">MIN(BP71+1,BO72+1,BO71+IF($A72=BP$4,0,1))</f>
        <v>64</v>
      </c>
      <c r="BQ72" s="2" t="n">
        <f aca="false">MIN(BQ71+1,BP72+1,BP71+IF($A72=BQ$4,0,1))</f>
        <v>64</v>
      </c>
      <c r="BR72" s="2" t="n">
        <f aca="false">MIN(BR71+1,BQ72+1,BQ71+IF($A72=BR$4,0,1))</f>
        <v>64</v>
      </c>
      <c r="BS72" s="2" t="n">
        <f aca="false">MIN(BS71+1,BR72+1,BR71+IF($A72=BS$4,0,1))</f>
        <v>65</v>
      </c>
      <c r="BT72" s="2" t="n">
        <f aca="false">MIN(BT71+1,BS72+1,BS71+IF($A72=BT$4,0,1))</f>
        <v>66</v>
      </c>
      <c r="BU72" s="2" t="n">
        <f aca="false">MIN(BU71+1,BT72+1,BT71+IF($A72=BU$4,0,1))</f>
        <v>67</v>
      </c>
      <c r="BV72" s="2" t="n">
        <f aca="false">MIN(BV71+1,BU72+1,BU71+IF($A72=BV$4,0,1))</f>
        <v>68</v>
      </c>
      <c r="BW72" s="2" t="n">
        <f aca="false">MIN(BW71+1,BV72+1,BV71+IF($A72=BW$4,0,1))</f>
        <v>69</v>
      </c>
      <c r="BX72" s="2" t="n">
        <f aca="false">MIN(BX71+1,BW72+1,BW71+IF($A72=BX$4,0,1))</f>
        <v>70</v>
      </c>
      <c r="BY72" s="2" t="n">
        <f aca="false">MIN(BY71+1,BX72+1,BX71+IF($A72=BY$4,0,1))</f>
        <v>71</v>
      </c>
      <c r="BZ72" s="2" t="n">
        <f aca="false">MIN(BZ71+1,BY72+1,BY71+IF($A72=BZ$4,0,1))</f>
        <v>72</v>
      </c>
      <c r="CA72" s="2" t="n">
        <f aca="false">MIN(CA71+1,BZ72+1,BZ71+IF($A72=CA$4,0,1))</f>
        <v>73</v>
      </c>
      <c r="CB72" s="2" t="n">
        <f aca="false">MIN(CB71+1,CA72+1,CA71+IF($A72=CB$4,0,1))</f>
        <v>74</v>
      </c>
      <c r="CC72" s="2" t="n">
        <f aca="false">MIN(CC71+1,CB72+1,CB71+IF($A72=CC$4,0,1))</f>
        <v>75</v>
      </c>
      <c r="CD72" s="2" t="n">
        <f aca="false">MIN(CD71+1,CC72+1,CC71+IF($A72=CD$4,0,1))</f>
        <v>76</v>
      </c>
      <c r="CE72" s="2" t="n">
        <f aca="false">MIN(CE71+1,CD72+1,CD71+IF($A72=CE$4,0,1))</f>
        <v>77</v>
      </c>
      <c r="CF72" s="2" t="n">
        <f aca="false">MIN(CF71+1,CE72+1,CE71+IF($A72=CF$4,0,1))</f>
        <v>78</v>
      </c>
      <c r="CG72" s="2" t="n">
        <f aca="false">MIN(CG71+1,CF72+1,CF71+IF($A72=CG$4,0,1))</f>
        <v>79</v>
      </c>
      <c r="CH72" s="2" t="n">
        <f aca="false">MIN(CH71+1,CG72+1,CG71+IF($A72=CH$4,0,1))</f>
        <v>80</v>
      </c>
      <c r="CI72" s="2" t="n">
        <f aca="false">MIN(CI71+1,CH72+1,CH71+IF($A72=CI$4,0,1))</f>
        <v>80</v>
      </c>
      <c r="CJ72" s="2" t="n">
        <f aca="false">MIN(CJ71+1,CI72+1,CI71+IF($A72=CJ$4,0,1))</f>
        <v>81</v>
      </c>
      <c r="CK72" s="2" t="n">
        <f aca="false">MIN(CK71+1,CJ72+1,CJ71+IF($A72=CK$4,0,1))</f>
        <v>82</v>
      </c>
      <c r="CL72" s="2" t="n">
        <f aca="false">MIN(CL71+1,CK72+1,CK71+IF($A72=CL$4,0,1))</f>
        <v>83</v>
      </c>
      <c r="CM72" s="2" t="n">
        <f aca="false">MIN(CM71+1,CL72+1,CL71+IF($A72=CM$4,0,1))</f>
        <v>84</v>
      </c>
      <c r="CN72" s="2" t="n">
        <f aca="false">MIN(CN71+1,CM72+1,CM71+IF($A72=CN$4,0,1))</f>
        <v>85</v>
      </c>
      <c r="CO72" s="2" t="n">
        <f aca="false">MIN(CO71+1,CN72+1,CN71+IF($A72=CO$4,0,1))</f>
        <v>86</v>
      </c>
      <c r="CP72" s="2" t="n">
        <f aca="false">MIN(CP71+1,CO72+1,CO71+IF($A72=CP$4,0,1))</f>
        <v>87</v>
      </c>
      <c r="CQ72" s="2" t="n">
        <f aca="false">MIN(CQ71+1,CP72+1,CP71+IF($A72=CQ$4,0,1))</f>
        <v>88</v>
      </c>
    </row>
    <row r="73" customFormat="false" ht="15" hidden="false" customHeight="false" outlineLevel="0" collapsed="false">
      <c r="A73" s="4" t="s">
        <v>188</v>
      </c>
      <c r="B73" s="12" t="n">
        <v>68</v>
      </c>
      <c r="C73" s="2" t="n">
        <f aca="false">MIN(C72+1,B73+1,B72+IF($A73=C$4,0,1))</f>
        <v>68</v>
      </c>
      <c r="D73" s="2" t="n">
        <f aca="false">MIN(D72+1,C73+1,C72+IF($A73=D$4,0,1))</f>
        <v>67</v>
      </c>
      <c r="E73" s="2" t="n">
        <f aca="false">MIN(E72+1,D73+1,D72+IF($A73=E$4,0,1))</f>
        <v>66</v>
      </c>
      <c r="F73" s="2" t="n">
        <f aca="false">MIN(F72+1,E73+1,E72+IF($A73=F$4,0,1))</f>
        <v>65</v>
      </c>
      <c r="G73" s="2" t="n">
        <f aca="false">MIN(G72+1,F73+1,F72+IF($A73=G$4,0,1))</f>
        <v>65</v>
      </c>
      <c r="H73" s="2" t="n">
        <f aca="false">MIN(H72+1,G73+1,G72+IF($A73=H$4,0,1))</f>
        <v>65</v>
      </c>
      <c r="I73" s="2" t="n">
        <f aca="false">MIN(I72+1,H73+1,H72+IF($A73=I$4,0,1))</f>
        <v>65</v>
      </c>
      <c r="J73" s="2" t="n">
        <f aca="false">MIN(J72+1,I73+1,I72+IF($A73=J$4,0,1))</f>
        <v>65</v>
      </c>
      <c r="K73" s="2" t="n">
        <f aca="false">MIN(K72+1,J73+1,J72+IF($A73=K$4,0,1))</f>
        <v>64</v>
      </c>
      <c r="L73" s="2" t="n">
        <f aca="false">MIN(L72+1,K73+1,K72+IF($A73=L$4,0,1))</f>
        <v>64</v>
      </c>
      <c r="M73" s="2" t="n">
        <f aca="false">MIN(M72+1,L73+1,L72+IF($A73=M$4,0,1))</f>
        <v>64</v>
      </c>
      <c r="N73" s="2" t="n">
        <f aca="false">MIN(N72+1,M73+1,M72+IF($A73=N$4,0,1))</f>
        <v>64</v>
      </c>
      <c r="O73" s="2" t="n">
        <f aca="false">MIN(O72+1,N73+1,N72+IF($A73=O$4,0,1))</f>
        <v>63</v>
      </c>
      <c r="P73" s="2" t="n">
        <f aca="false">MIN(P72+1,O73+1,O72+IF($A73=P$4,0,1))</f>
        <v>63</v>
      </c>
      <c r="Q73" s="2" t="n">
        <f aca="false">MIN(Q72+1,P73+1,P72+IF($A73=Q$4,0,1))</f>
        <v>63</v>
      </c>
      <c r="R73" s="2" t="n">
        <f aca="false">MIN(R72+1,Q73+1,Q72+IF($A73=R$4,0,1))</f>
        <v>63</v>
      </c>
      <c r="S73" s="2" t="n">
        <f aca="false">MIN(S72+1,R73+1,R72+IF($A73=S$4,0,1))</f>
        <v>63</v>
      </c>
      <c r="T73" s="2" t="n">
        <f aca="false">MIN(T72+1,S73+1,S72+IF($A73=T$4,0,1))</f>
        <v>63</v>
      </c>
      <c r="U73" s="2" t="n">
        <f aca="false">MIN(U72+1,T73+1,T72+IF($A73=U$4,0,1))</f>
        <v>63</v>
      </c>
      <c r="V73" s="2" t="n">
        <f aca="false">MIN(V72+1,U73+1,U72+IF($A73=V$4,0,1))</f>
        <v>63</v>
      </c>
      <c r="W73" s="2" t="n">
        <f aca="false">MIN(W72+1,V73+1,V72+IF($A73=W$4,0,1))</f>
        <v>63</v>
      </c>
      <c r="X73" s="2" t="n">
        <f aca="false">MIN(X72+1,W73+1,W72+IF($A73=X$4,0,1))</f>
        <v>63</v>
      </c>
      <c r="Y73" s="2" t="n">
        <f aca="false">MIN(Y72+1,X73+1,X72+IF($A73=Y$4,0,1))</f>
        <v>63</v>
      </c>
      <c r="Z73" s="2" t="n">
        <f aca="false">MIN(Z72+1,Y73+1,Y72+IF($A73=Z$4,0,1))</f>
        <v>63</v>
      </c>
      <c r="AA73" s="2" t="n">
        <f aca="false">MIN(AA72+1,Z73+1,Z72+IF($A73=AA$4,0,1))</f>
        <v>63</v>
      </c>
      <c r="AB73" s="2" t="n">
        <f aca="false">MIN(AB72+1,AA73+1,AA72+IF($A73=AB$4,0,1))</f>
        <v>63</v>
      </c>
      <c r="AC73" s="2" t="n">
        <f aca="false">MIN(AC72+1,AB73+1,AB72+IF($A73=AC$4,0,1))</f>
        <v>63</v>
      </c>
      <c r="AD73" s="2" t="n">
        <f aca="false">MIN(AD72+1,AC73+1,AC72+IF($A73=AD$4,0,1))</f>
        <v>63</v>
      </c>
      <c r="AE73" s="2" t="n">
        <f aca="false">MIN(AE72+1,AD73+1,AD72+IF($A73=AE$4,0,1))</f>
        <v>63</v>
      </c>
      <c r="AF73" s="2" t="n">
        <f aca="false">MIN(AF72+1,AE73+1,AE72+IF($A73=AF$4,0,1))</f>
        <v>63</v>
      </c>
      <c r="AG73" s="2" t="n">
        <f aca="false">MIN(AG72+1,AF73+1,AF72+IF($A73=AG$4,0,1))</f>
        <v>63</v>
      </c>
      <c r="AH73" s="2" t="n">
        <f aca="false">MIN(AH72+1,AG73+1,AG72+IF($A73=AH$4,0,1))</f>
        <v>63</v>
      </c>
      <c r="AI73" s="2" t="n">
        <f aca="false">MIN(AI72+1,AH73+1,AH72+IF($A73=AI$4,0,1))</f>
        <v>63</v>
      </c>
      <c r="AJ73" s="2" t="n">
        <f aca="false">MIN(AJ72+1,AI73+1,AI72+IF($A73=AJ$4,0,1))</f>
        <v>63</v>
      </c>
      <c r="AK73" s="2" t="n">
        <f aca="false">MIN(AK72+1,AJ73+1,AJ72+IF($A73=AK$4,0,1))</f>
        <v>63</v>
      </c>
      <c r="AL73" s="2" t="n">
        <f aca="false">MIN(AL72+1,AK73+1,AK72+IF($A73=AL$4,0,1))</f>
        <v>64</v>
      </c>
      <c r="AM73" s="2" t="n">
        <f aca="false">MIN(AM72+1,AL73+1,AL72+IF($A73=AM$4,0,1))</f>
        <v>64</v>
      </c>
      <c r="AN73" s="2" t="n">
        <f aca="false">MIN(AN72+1,AM73+1,AM72+IF($A73=AN$4,0,1))</f>
        <v>64</v>
      </c>
      <c r="AO73" s="2" t="n">
        <f aca="false">MIN(AO72+1,AN73+1,AN72+IF($A73=AO$4,0,1))</f>
        <v>64</v>
      </c>
      <c r="AP73" s="2" t="n">
        <f aca="false">MIN(AP72+1,AO73+1,AO72+IF($A73=AP$4,0,1))</f>
        <v>64</v>
      </c>
      <c r="AQ73" s="2" t="n">
        <f aca="false">MIN(AQ72+1,AP73+1,AP72+IF($A73=AQ$4,0,1))</f>
        <v>64</v>
      </c>
      <c r="AR73" s="2" t="n">
        <f aca="false">MIN(AR72+1,AQ73+1,AQ72+IF($A73=AR$4,0,1))</f>
        <v>64</v>
      </c>
      <c r="AS73" s="2" t="n">
        <f aca="false">MIN(AS72+1,AR73+1,AR72+IF($A73=AS$4,0,1))</f>
        <v>64</v>
      </c>
      <c r="AT73" s="2" t="n">
        <f aca="false">MIN(AT72+1,AS73+1,AS72+IF($A73=AT$4,0,1))</f>
        <v>64</v>
      </c>
      <c r="AU73" s="2" t="n">
        <f aca="false">MIN(AU72+1,AT73+1,AT72+IF($A73=AU$4,0,1))</f>
        <v>64</v>
      </c>
      <c r="AV73" s="2" t="n">
        <f aca="false">MIN(AV72+1,AU73+1,AU72+IF($A73=AV$4,0,1))</f>
        <v>64</v>
      </c>
      <c r="AW73" s="2" t="n">
        <f aca="false">MIN(AW72+1,AV73+1,AV72+IF($A73=AW$4,0,1))</f>
        <v>64</v>
      </c>
      <c r="AX73" s="2" t="n">
        <f aca="false">MIN(AX72+1,AW73+1,AW72+IF($A73=AX$4,0,1))</f>
        <v>64</v>
      </c>
      <c r="AY73" s="2" t="n">
        <f aca="false">MIN(AY72+1,AX73+1,AX72+IF($A73=AY$4,0,1))</f>
        <v>64</v>
      </c>
      <c r="AZ73" s="2" t="n">
        <f aca="false">MIN(AZ72+1,AY73+1,AY72+IF($A73=AZ$4,0,1))</f>
        <v>64</v>
      </c>
      <c r="BA73" s="2" t="n">
        <f aca="false">MIN(BA72+1,AZ73+1,AZ72+IF($A73=BA$4,0,1))</f>
        <v>64</v>
      </c>
      <c r="BB73" s="2" t="n">
        <f aca="false">MIN(BB72+1,BA73+1,BA72+IF($A73=BB$4,0,1))</f>
        <v>64</v>
      </c>
      <c r="BC73" s="2" t="n">
        <f aca="false">MIN(BC72+1,BB73+1,BB72+IF($A73=BC$4,0,1))</f>
        <v>64</v>
      </c>
      <c r="BD73" s="2" t="n">
        <f aca="false">MIN(BD72+1,BC73+1,BC72+IF($A73=BD$4,0,1))</f>
        <v>64</v>
      </c>
      <c r="BE73" s="2" t="n">
        <f aca="false">MIN(BE72+1,BD73+1,BD72+IF($A73=BE$4,0,1))</f>
        <v>64</v>
      </c>
      <c r="BF73" s="2" t="n">
        <f aca="false">MIN(BF72+1,BE73+1,BE72+IF($A73=BF$4,0,1))</f>
        <v>64</v>
      </c>
      <c r="BG73" s="2" t="n">
        <f aca="false">MIN(BG72+1,BF73+1,BF72+IF($A73=BG$4,0,1))</f>
        <v>64</v>
      </c>
      <c r="BH73" s="2" t="n">
        <f aca="false">MIN(BH72+1,BG73+1,BG72+IF($A73=BH$4,0,1))</f>
        <v>65</v>
      </c>
      <c r="BI73" s="2" t="n">
        <f aca="false">MIN(BI72+1,BH73+1,BH72+IF($A73=BI$4,0,1))</f>
        <v>65</v>
      </c>
      <c r="BJ73" s="2" t="n">
        <f aca="false">MIN(BJ72+1,BI73+1,BI72+IF($A73=BJ$4,0,1))</f>
        <v>65</v>
      </c>
      <c r="BK73" s="2" t="n">
        <f aca="false">MIN(BK72+1,BJ73+1,BJ72+IF($A73=BK$4,0,1))</f>
        <v>65</v>
      </c>
      <c r="BL73" s="2" t="n">
        <f aca="false">MIN(BL72+1,BK73+1,BK72+IF($A73=BL$4,0,1))</f>
        <v>65</v>
      </c>
      <c r="BM73" s="2" t="n">
        <f aca="false">MIN(BM72+1,BL73+1,BL72+IF($A73=BM$4,0,1))</f>
        <v>65</v>
      </c>
      <c r="BN73" s="2" t="n">
        <f aca="false">MIN(BN72+1,BM73+1,BM72+IF($A73=BN$4,0,1))</f>
        <v>65</v>
      </c>
      <c r="BO73" s="2" t="n">
        <f aca="false">MIN(BO72+1,BN73+1,BN72+IF($A73=BO$4,0,1))</f>
        <v>65</v>
      </c>
      <c r="BP73" s="2" t="n">
        <f aca="false">MIN(BP72+1,BO73+1,BO72+IF($A73=BP$4,0,1))</f>
        <v>65</v>
      </c>
      <c r="BQ73" s="2" t="n">
        <f aca="false">MIN(BQ72+1,BP73+1,BP72+IF($A73=BQ$4,0,1))</f>
        <v>65</v>
      </c>
      <c r="BR73" s="2" t="n">
        <f aca="false">MIN(BR72+1,BQ73+1,BQ72+IF($A73=BR$4,0,1))</f>
        <v>65</v>
      </c>
      <c r="BS73" s="2" t="n">
        <f aca="false">MIN(BS72+1,BR73+1,BR72+IF($A73=BS$4,0,1))</f>
        <v>65</v>
      </c>
      <c r="BT73" s="2" t="n">
        <f aca="false">MIN(BT72+1,BS73+1,BS72+IF($A73=BT$4,0,1))</f>
        <v>66</v>
      </c>
      <c r="BU73" s="2" t="n">
        <f aca="false">MIN(BU72+1,BT73+1,BT72+IF($A73=BU$4,0,1))</f>
        <v>67</v>
      </c>
      <c r="BV73" s="2" t="n">
        <f aca="false">MIN(BV72+1,BU73+1,BU72+IF($A73=BV$4,0,1))</f>
        <v>68</v>
      </c>
      <c r="BW73" s="2" t="n">
        <f aca="false">MIN(BW72+1,BV73+1,BV72+IF($A73=BW$4,0,1))</f>
        <v>69</v>
      </c>
      <c r="BX73" s="2" t="n">
        <f aca="false">MIN(BX72+1,BW73+1,BW72+IF($A73=BX$4,0,1))</f>
        <v>70</v>
      </c>
      <c r="BY73" s="2" t="n">
        <f aca="false">MIN(BY72+1,BX73+1,BX72+IF($A73=BY$4,0,1))</f>
        <v>71</v>
      </c>
      <c r="BZ73" s="2" t="n">
        <f aca="false">MIN(BZ72+1,BY73+1,BY72+IF($A73=BZ$4,0,1))</f>
        <v>72</v>
      </c>
      <c r="CA73" s="2" t="n">
        <f aca="false">MIN(CA72+1,BZ73+1,BZ72+IF($A73=CA$4,0,1))</f>
        <v>73</v>
      </c>
      <c r="CB73" s="2" t="n">
        <f aca="false">MIN(CB72+1,CA73+1,CA72+IF($A73=CB$4,0,1))</f>
        <v>74</v>
      </c>
      <c r="CC73" s="2" t="n">
        <f aca="false">MIN(CC72+1,CB73+1,CB72+IF($A73=CC$4,0,1))</f>
        <v>75</v>
      </c>
      <c r="CD73" s="2" t="n">
        <f aca="false">MIN(CD72+1,CC73+1,CC72+IF($A73=CD$4,0,1))</f>
        <v>76</v>
      </c>
      <c r="CE73" s="2" t="n">
        <f aca="false">MIN(CE72+1,CD73+1,CD72+IF($A73=CE$4,0,1))</f>
        <v>77</v>
      </c>
      <c r="CF73" s="2" t="n">
        <f aca="false">MIN(CF72+1,CE73+1,CE72+IF($A73=CF$4,0,1))</f>
        <v>78</v>
      </c>
      <c r="CG73" s="2" t="n">
        <f aca="false">MIN(CG72+1,CF73+1,CF72+IF($A73=CG$4,0,1))</f>
        <v>79</v>
      </c>
      <c r="CH73" s="2" t="n">
        <f aca="false">MIN(CH72+1,CG73+1,CG72+IF($A73=CH$4,0,1))</f>
        <v>80</v>
      </c>
      <c r="CI73" s="2" t="n">
        <f aca="false">MIN(CI72+1,CH73+1,CH72+IF($A73=CI$4,0,1))</f>
        <v>81</v>
      </c>
      <c r="CJ73" s="2" t="n">
        <f aca="false">MIN(CJ72+1,CI73+1,CI72+IF($A73=CJ$4,0,1))</f>
        <v>81</v>
      </c>
      <c r="CK73" s="2" t="n">
        <f aca="false">MIN(CK72+1,CJ73+1,CJ72+IF($A73=CK$4,0,1))</f>
        <v>82</v>
      </c>
      <c r="CL73" s="2" t="n">
        <f aca="false">MIN(CL72+1,CK73+1,CK72+IF($A73=CL$4,0,1))</f>
        <v>83</v>
      </c>
      <c r="CM73" s="2" t="n">
        <f aca="false">MIN(CM72+1,CL73+1,CL72+IF($A73=CM$4,0,1))</f>
        <v>84</v>
      </c>
      <c r="CN73" s="2" t="n">
        <f aca="false">MIN(CN72+1,CM73+1,CM72+IF($A73=CN$4,0,1))</f>
        <v>85</v>
      </c>
      <c r="CO73" s="2" t="n">
        <f aca="false">MIN(CO72+1,CN73+1,CN72+IF($A73=CO$4,0,1))</f>
        <v>86</v>
      </c>
      <c r="CP73" s="2" t="n">
        <f aca="false">MIN(CP72+1,CO73+1,CO72+IF($A73=CP$4,0,1))</f>
        <v>87</v>
      </c>
      <c r="CQ73" s="2" t="n">
        <f aca="false">MIN(CQ72+1,CP73+1,CP72+IF($A73=CQ$4,0,1))</f>
        <v>88</v>
      </c>
    </row>
    <row r="74" customFormat="false" ht="15" hidden="false" customHeight="false" outlineLevel="0" collapsed="false">
      <c r="A74" s="4" t="s">
        <v>189</v>
      </c>
      <c r="B74" s="12" t="n">
        <v>69</v>
      </c>
      <c r="C74" s="2" t="n">
        <f aca="false">MIN(C73+1,B74+1,B73+IF($A74=C$4,0,1))</f>
        <v>69</v>
      </c>
      <c r="D74" s="2" t="n">
        <f aca="false">MIN(D73+1,C74+1,C73+IF($A74=D$4,0,1))</f>
        <v>68</v>
      </c>
      <c r="E74" s="2" t="n">
        <f aca="false">MIN(E73+1,D74+1,D73+IF($A74=E$4,0,1))</f>
        <v>67</v>
      </c>
      <c r="F74" s="2" t="n">
        <f aca="false">MIN(F73+1,E74+1,E73+IF($A74=F$4,0,1))</f>
        <v>66</v>
      </c>
      <c r="G74" s="2" t="n">
        <f aca="false">MIN(G73+1,F74+1,F73+IF($A74=G$4,0,1))</f>
        <v>66</v>
      </c>
      <c r="H74" s="2" t="n">
        <f aca="false">MIN(H73+1,G74+1,G73+IF($A74=H$4,0,1))</f>
        <v>66</v>
      </c>
      <c r="I74" s="2" t="n">
        <f aca="false">MIN(I73+1,H74+1,H73+IF($A74=I$4,0,1))</f>
        <v>66</v>
      </c>
      <c r="J74" s="2" t="n">
        <f aca="false">MIN(J73+1,I74+1,I73+IF($A74=J$4,0,1))</f>
        <v>66</v>
      </c>
      <c r="K74" s="2" t="n">
        <f aca="false">MIN(K73+1,J74+1,J73+IF($A74=K$4,0,1))</f>
        <v>65</v>
      </c>
      <c r="L74" s="2" t="n">
        <f aca="false">MIN(L73+1,K74+1,K73+IF($A74=L$4,0,1))</f>
        <v>65</v>
      </c>
      <c r="M74" s="2" t="n">
        <f aca="false">MIN(M73+1,L74+1,L73+IF($A74=M$4,0,1))</f>
        <v>65</v>
      </c>
      <c r="N74" s="2" t="n">
        <f aca="false">MIN(N73+1,M74+1,M73+IF($A74=N$4,0,1))</f>
        <v>65</v>
      </c>
      <c r="O74" s="2" t="n">
        <f aca="false">MIN(O73+1,N74+1,N73+IF($A74=O$4,0,1))</f>
        <v>64</v>
      </c>
      <c r="P74" s="2" t="n">
        <f aca="false">MIN(P73+1,O74+1,O73+IF($A74=P$4,0,1))</f>
        <v>64</v>
      </c>
      <c r="Q74" s="2" t="n">
        <f aca="false">MIN(Q73+1,P74+1,P73+IF($A74=Q$4,0,1))</f>
        <v>64</v>
      </c>
      <c r="R74" s="2" t="n">
        <f aca="false">MIN(R73+1,Q74+1,Q73+IF($A74=R$4,0,1))</f>
        <v>64</v>
      </c>
      <c r="S74" s="2" t="n">
        <f aca="false">MIN(S73+1,R74+1,R73+IF($A74=S$4,0,1))</f>
        <v>64</v>
      </c>
      <c r="T74" s="2" t="n">
        <f aca="false">MIN(T73+1,S74+1,S73+IF($A74=T$4,0,1))</f>
        <v>64</v>
      </c>
      <c r="U74" s="2" t="n">
        <f aca="false">MIN(U73+1,T74+1,T73+IF($A74=U$4,0,1))</f>
        <v>64</v>
      </c>
      <c r="V74" s="2" t="n">
        <f aca="false">MIN(V73+1,U74+1,U73+IF($A74=V$4,0,1))</f>
        <v>64</v>
      </c>
      <c r="W74" s="2" t="n">
        <f aca="false">MIN(W73+1,V74+1,V73+IF($A74=W$4,0,1))</f>
        <v>64</v>
      </c>
      <c r="X74" s="2" t="n">
        <f aca="false">MIN(X73+1,W74+1,W73+IF($A74=X$4,0,1))</f>
        <v>64</v>
      </c>
      <c r="Y74" s="2" t="n">
        <f aca="false">MIN(Y73+1,X74+1,X73+IF($A74=Y$4,0,1))</f>
        <v>64</v>
      </c>
      <c r="Z74" s="2" t="n">
        <f aca="false">MIN(Z73+1,Y74+1,Y73+IF($A74=Z$4,0,1))</f>
        <v>64</v>
      </c>
      <c r="AA74" s="2" t="n">
        <f aca="false">MIN(AA73+1,Z74+1,Z73+IF($A74=AA$4,0,1))</f>
        <v>64</v>
      </c>
      <c r="AB74" s="2" t="n">
        <f aca="false">MIN(AB73+1,AA74+1,AA73+IF($A74=AB$4,0,1))</f>
        <v>64</v>
      </c>
      <c r="AC74" s="2" t="n">
        <f aca="false">MIN(AC73+1,AB74+1,AB73+IF($A74=AC$4,0,1))</f>
        <v>64</v>
      </c>
      <c r="AD74" s="2" t="n">
        <f aca="false">MIN(AD73+1,AC74+1,AC73+IF($A74=AD$4,0,1))</f>
        <v>64</v>
      </c>
      <c r="AE74" s="2" t="n">
        <f aca="false">MIN(AE73+1,AD74+1,AD73+IF($A74=AE$4,0,1))</f>
        <v>64</v>
      </c>
      <c r="AF74" s="2" t="n">
        <f aca="false">MIN(AF73+1,AE74+1,AE73+IF($A74=AF$4,0,1))</f>
        <v>64</v>
      </c>
      <c r="AG74" s="2" t="n">
        <f aca="false">MIN(AG73+1,AF74+1,AF73+IF($A74=AG$4,0,1))</f>
        <v>64</v>
      </c>
      <c r="AH74" s="2" t="n">
        <f aca="false">MIN(AH73+1,AG74+1,AG73+IF($A74=AH$4,0,1))</f>
        <v>64</v>
      </c>
      <c r="AI74" s="2" t="n">
        <f aca="false">MIN(AI73+1,AH74+1,AH73+IF($A74=AI$4,0,1))</f>
        <v>64</v>
      </c>
      <c r="AJ74" s="2" t="n">
        <f aca="false">MIN(AJ73+1,AI74+1,AI73+IF($A74=AJ$4,0,1))</f>
        <v>64</v>
      </c>
      <c r="AK74" s="2" t="n">
        <f aca="false">MIN(AK73+1,AJ74+1,AJ73+IF($A74=AK$4,0,1))</f>
        <v>64</v>
      </c>
      <c r="AL74" s="2" t="n">
        <f aca="false">MIN(AL73+1,AK74+1,AK73+IF($A74=AL$4,0,1))</f>
        <v>64</v>
      </c>
      <c r="AM74" s="2" t="n">
        <f aca="false">MIN(AM73+1,AL74+1,AL73+IF($A74=AM$4,0,1))</f>
        <v>65</v>
      </c>
      <c r="AN74" s="2" t="n">
        <f aca="false">MIN(AN73+1,AM74+1,AM73+IF($A74=AN$4,0,1))</f>
        <v>65</v>
      </c>
      <c r="AO74" s="2" t="n">
        <f aca="false">MIN(AO73+1,AN74+1,AN73+IF($A74=AO$4,0,1))</f>
        <v>65</v>
      </c>
      <c r="AP74" s="2" t="n">
        <f aca="false">MIN(AP73+1,AO74+1,AO73+IF($A74=AP$4,0,1))</f>
        <v>65</v>
      </c>
      <c r="AQ74" s="2" t="n">
        <f aca="false">MIN(AQ73+1,AP74+1,AP73+IF($A74=AQ$4,0,1))</f>
        <v>65</v>
      </c>
      <c r="AR74" s="2" t="n">
        <f aca="false">MIN(AR73+1,AQ74+1,AQ73+IF($A74=AR$4,0,1))</f>
        <v>65</v>
      </c>
      <c r="AS74" s="2" t="n">
        <f aca="false">MIN(AS73+1,AR74+1,AR73+IF($A74=AS$4,0,1))</f>
        <v>65</v>
      </c>
      <c r="AT74" s="2" t="n">
        <f aca="false">MIN(AT73+1,AS74+1,AS73+IF($A74=AT$4,0,1))</f>
        <v>65</v>
      </c>
      <c r="AU74" s="2" t="n">
        <f aca="false">MIN(AU73+1,AT74+1,AT73+IF($A74=AU$4,0,1))</f>
        <v>65</v>
      </c>
      <c r="AV74" s="2" t="n">
        <f aca="false">MIN(AV73+1,AU74+1,AU73+IF($A74=AV$4,0,1))</f>
        <v>65</v>
      </c>
      <c r="AW74" s="2" t="n">
        <f aca="false">MIN(AW73+1,AV74+1,AV73+IF($A74=AW$4,0,1))</f>
        <v>65</v>
      </c>
      <c r="AX74" s="2" t="n">
        <f aca="false">MIN(AX73+1,AW74+1,AW73+IF($A74=AX$4,0,1))</f>
        <v>65</v>
      </c>
      <c r="AY74" s="2" t="n">
        <f aca="false">MIN(AY73+1,AX74+1,AX73+IF($A74=AY$4,0,1))</f>
        <v>65</v>
      </c>
      <c r="AZ74" s="2" t="n">
        <f aca="false">MIN(AZ73+1,AY74+1,AY73+IF($A74=AZ$4,0,1))</f>
        <v>65</v>
      </c>
      <c r="BA74" s="2" t="n">
        <f aca="false">MIN(BA73+1,AZ74+1,AZ73+IF($A74=BA$4,0,1))</f>
        <v>65</v>
      </c>
      <c r="BB74" s="2" t="n">
        <f aca="false">MIN(BB73+1,BA74+1,BA73+IF($A74=BB$4,0,1))</f>
        <v>65</v>
      </c>
      <c r="BC74" s="2" t="n">
        <f aca="false">MIN(BC73+1,BB74+1,BB73+IF($A74=BC$4,0,1))</f>
        <v>65</v>
      </c>
      <c r="BD74" s="2" t="n">
        <f aca="false">MIN(BD73+1,BC74+1,BC73+IF($A74=BD$4,0,1))</f>
        <v>65</v>
      </c>
      <c r="BE74" s="2" t="n">
        <f aca="false">MIN(BE73+1,BD74+1,BD73+IF($A74=BE$4,0,1))</f>
        <v>65</v>
      </c>
      <c r="BF74" s="2" t="n">
        <f aca="false">MIN(BF73+1,BE74+1,BE73+IF($A74=BF$4,0,1))</f>
        <v>65</v>
      </c>
      <c r="BG74" s="2" t="n">
        <f aca="false">MIN(BG73+1,BF74+1,BF73+IF($A74=BG$4,0,1))</f>
        <v>65</v>
      </c>
      <c r="BH74" s="2" t="n">
        <f aca="false">MIN(BH73+1,BG74+1,BG73+IF($A74=BH$4,0,1))</f>
        <v>65</v>
      </c>
      <c r="BI74" s="2" t="n">
        <f aca="false">MIN(BI73+1,BH74+1,BH73+IF($A74=BI$4,0,1))</f>
        <v>66</v>
      </c>
      <c r="BJ74" s="2" t="n">
        <f aca="false">MIN(BJ73+1,BI74+1,BI73+IF($A74=BJ$4,0,1))</f>
        <v>66</v>
      </c>
      <c r="BK74" s="2" t="n">
        <f aca="false">MIN(BK73+1,BJ74+1,BJ73+IF($A74=BK$4,0,1))</f>
        <v>66</v>
      </c>
      <c r="BL74" s="2" t="n">
        <f aca="false">MIN(BL73+1,BK74+1,BK73+IF($A74=BL$4,0,1))</f>
        <v>66</v>
      </c>
      <c r="BM74" s="2" t="n">
        <f aca="false">MIN(BM73+1,BL74+1,BL73+IF($A74=BM$4,0,1))</f>
        <v>66</v>
      </c>
      <c r="BN74" s="2" t="n">
        <f aca="false">MIN(BN73+1,BM74+1,BM73+IF($A74=BN$4,0,1))</f>
        <v>66</v>
      </c>
      <c r="BO74" s="2" t="n">
        <f aca="false">MIN(BO73+1,BN74+1,BN73+IF($A74=BO$4,0,1))</f>
        <v>66</v>
      </c>
      <c r="BP74" s="2" t="n">
        <f aca="false">MIN(BP73+1,BO74+1,BO73+IF($A74=BP$4,0,1))</f>
        <v>66</v>
      </c>
      <c r="BQ74" s="2" t="n">
        <f aca="false">MIN(BQ73+1,BP74+1,BP73+IF($A74=BQ$4,0,1))</f>
        <v>66</v>
      </c>
      <c r="BR74" s="2" t="n">
        <f aca="false">MIN(BR73+1,BQ74+1,BQ73+IF($A74=BR$4,0,1))</f>
        <v>66</v>
      </c>
      <c r="BS74" s="2" t="n">
        <f aca="false">MIN(BS73+1,BR74+1,BR73+IF($A74=BS$4,0,1))</f>
        <v>66</v>
      </c>
      <c r="BT74" s="2" t="n">
        <f aca="false">MIN(BT73+1,BS74+1,BS73+IF($A74=BT$4,0,1))</f>
        <v>66</v>
      </c>
      <c r="BU74" s="2" t="n">
        <f aca="false">MIN(BU73+1,BT74+1,BT73+IF($A74=BU$4,0,1))</f>
        <v>67</v>
      </c>
      <c r="BV74" s="2" t="n">
        <f aca="false">MIN(BV73+1,BU74+1,BU73+IF($A74=BV$4,0,1))</f>
        <v>68</v>
      </c>
      <c r="BW74" s="2" t="n">
        <f aca="false">MIN(BW73+1,BV74+1,BV73+IF($A74=BW$4,0,1))</f>
        <v>69</v>
      </c>
      <c r="BX74" s="2" t="n">
        <f aca="false">MIN(BX73+1,BW74+1,BW73+IF($A74=BX$4,0,1))</f>
        <v>70</v>
      </c>
      <c r="BY74" s="2" t="n">
        <f aca="false">MIN(BY73+1,BX74+1,BX73+IF($A74=BY$4,0,1))</f>
        <v>71</v>
      </c>
      <c r="BZ74" s="2" t="n">
        <f aca="false">MIN(BZ73+1,BY74+1,BY73+IF($A74=BZ$4,0,1))</f>
        <v>72</v>
      </c>
      <c r="CA74" s="2" t="n">
        <f aca="false">MIN(CA73+1,BZ74+1,BZ73+IF($A74=CA$4,0,1))</f>
        <v>73</v>
      </c>
      <c r="CB74" s="2" t="n">
        <f aca="false">MIN(CB73+1,CA74+1,CA73+IF($A74=CB$4,0,1))</f>
        <v>74</v>
      </c>
      <c r="CC74" s="2" t="n">
        <f aca="false">MIN(CC73+1,CB74+1,CB73+IF($A74=CC$4,0,1))</f>
        <v>75</v>
      </c>
      <c r="CD74" s="2" t="n">
        <f aca="false">MIN(CD73+1,CC74+1,CC73+IF($A74=CD$4,0,1))</f>
        <v>76</v>
      </c>
      <c r="CE74" s="2" t="n">
        <f aca="false">MIN(CE73+1,CD74+1,CD73+IF($A74=CE$4,0,1))</f>
        <v>77</v>
      </c>
      <c r="CF74" s="2" t="n">
        <f aca="false">MIN(CF73+1,CE74+1,CE73+IF($A74=CF$4,0,1))</f>
        <v>78</v>
      </c>
      <c r="CG74" s="2" t="n">
        <f aca="false">MIN(CG73+1,CF74+1,CF73+IF($A74=CG$4,0,1))</f>
        <v>79</v>
      </c>
      <c r="CH74" s="2" t="n">
        <f aca="false">MIN(CH73+1,CG74+1,CG73+IF($A74=CH$4,0,1))</f>
        <v>80</v>
      </c>
      <c r="CI74" s="2" t="n">
        <f aca="false">MIN(CI73+1,CH74+1,CH73+IF($A74=CI$4,0,1))</f>
        <v>81</v>
      </c>
      <c r="CJ74" s="2" t="n">
        <f aca="false">MIN(CJ73+1,CI74+1,CI73+IF($A74=CJ$4,0,1))</f>
        <v>82</v>
      </c>
      <c r="CK74" s="2" t="n">
        <f aca="false">MIN(CK73+1,CJ74+1,CJ73+IF($A74=CK$4,0,1))</f>
        <v>82</v>
      </c>
      <c r="CL74" s="2" t="n">
        <f aca="false">MIN(CL73+1,CK74+1,CK73+IF($A74=CL$4,0,1))</f>
        <v>83</v>
      </c>
      <c r="CM74" s="2" t="n">
        <f aca="false">MIN(CM73+1,CL74+1,CL73+IF($A74=CM$4,0,1))</f>
        <v>84</v>
      </c>
      <c r="CN74" s="2" t="n">
        <f aca="false">MIN(CN73+1,CM74+1,CM73+IF($A74=CN$4,0,1))</f>
        <v>85</v>
      </c>
      <c r="CO74" s="2" t="n">
        <f aca="false">MIN(CO73+1,CN74+1,CN73+IF($A74=CO$4,0,1))</f>
        <v>86</v>
      </c>
      <c r="CP74" s="2" t="n">
        <f aca="false">MIN(CP73+1,CO74+1,CO73+IF($A74=CP$4,0,1))</f>
        <v>87</v>
      </c>
      <c r="CQ74" s="2" t="n">
        <f aca="false">MIN(CQ73+1,CP74+1,CP73+IF($A74=CQ$4,0,1))</f>
        <v>88</v>
      </c>
    </row>
    <row r="75" customFormat="false" ht="15" hidden="false" customHeight="false" outlineLevel="0" collapsed="false">
      <c r="A75" s="4" t="s">
        <v>187</v>
      </c>
      <c r="B75" s="12" t="n">
        <v>70</v>
      </c>
      <c r="C75" s="2" t="n">
        <f aca="false">MIN(C74+1,B75+1,B74+IF($A75=C$4,0,1))</f>
        <v>70</v>
      </c>
      <c r="D75" s="2" t="n">
        <f aca="false">MIN(D74+1,C75+1,C74+IF($A75=D$4,0,1))</f>
        <v>69</v>
      </c>
      <c r="E75" s="2" t="n">
        <f aca="false">MIN(E74+1,D75+1,D74+IF($A75=E$4,0,1))</f>
        <v>68</v>
      </c>
      <c r="F75" s="2" t="n">
        <f aca="false">MIN(F74+1,E75+1,E74+IF($A75=F$4,0,1))</f>
        <v>67</v>
      </c>
      <c r="G75" s="2" t="n">
        <f aca="false">MIN(G74+1,F75+1,F74+IF($A75=G$4,0,1))</f>
        <v>67</v>
      </c>
      <c r="H75" s="2" t="n">
        <f aca="false">MIN(H74+1,G75+1,G74+IF($A75=H$4,0,1))</f>
        <v>67</v>
      </c>
      <c r="I75" s="2" t="n">
        <f aca="false">MIN(I74+1,H75+1,H74+IF($A75=I$4,0,1))</f>
        <v>67</v>
      </c>
      <c r="J75" s="2" t="n">
        <f aca="false">MIN(J74+1,I75+1,I74+IF($A75=J$4,0,1))</f>
        <v>67</v>
      </c>
      <c r="K75" s="2" t="n">
        <f aca="false">MIN(K74+1,J75+1,J74+IF($A75=K$4,0,1))</f>
        <v>66</v>
      </c>
      <c r="L75" s="2" t="n">
        <f aca="false">MIN(L74+1,K75+1,K74+IF($A75=L$4,0,1))</f>
        <v>66</v>
      </c>
      <c r="M75" s="2" t="n">
        <f aca="false">MIN(M74+1,L75+1,L74+IF($A75=M$4,0,1))</f>
        <v>66</v>
      </c>
      <c r="N75" s="2" t="n">
        <f aca="false">MIN(N74+1,M75+1,M74+IF($A75=N$4,0,1))</f>
        <v>66</v>
      </c>
      <c r="O75" s="2" t="n">
        <f aca="false">MIN(O74+1,N75+1,N74+IF($A75=O$4,0,1))</f>
        <v>65</v>
      </c>
      <c r="P75" s="2" t="n">
        <f aca="false">MIN(P74+1,O75+1,O74+IF($A75=P$4,0,1))</f>
        <v>65</v>
      </c>
      <c r="Q75" s="2" t="n">
        <f aca="false">MIN(Q74+1,P75+1,P74+IF($A75=Q$4,0,1))</f>
        <v>65</v>
      </c>
      <c r="R75" s="2" t="n">
        <f aca="false">MIN(R74+1,Q75+1,Q74+IF($A75=R$4,0,1))</f>
        <v>65</v>
      </c>
      <c r="S75" s="2" t="n">
        <f aca="false">MIN(S74+1,R75+1,R74+IF($A75=S$4,0,1))</f>
        <v>65</v>
      </c>
      <c r="T75" s="2" t="n">
        <f aca="false">MIN(T74+1,S75+1,S74+IF($A75=T$4,0,1))</f>
        <v>65</v>
      </c>
      <c r="U75" s="2" t="n">
        <f aca="false">MIN(U74+1,T75+1,T74+IF($A75=U$4,0,1))</f>
        <v>65</v>
      </c>
      <c r="V75" s="2" t="n">
        <f aca="false">MIN(V74+1,U75+1,U74+IF($A75=V$4,0,1))</f>
        <v>65</v>
      </c>
      <c r="W75" s="2" t="n">
        <f aca="false">MIN(W74+1,V75+1,V74+IF($A75=W$4,0,1))</f>
        <v>65</v>
      </c>
      <c r="X75" s="2" t="n">
        <f aca="false">MIN(X74+1,W75+1,W74+IF($A75=X$4,0,1))</f>
        <v>65</v>
      </c>
      <c r="Y75" s="2" t="n">
        <f aca="false">MIN(Y74+1,X75+1,X74+IF($A75=Y$4,0,1))</f>
        <v>65</v>
      </c>
      <c r="Z75" s="2" t="n">
        <f aca="false">MIN(Z74+1,Y75+1,Y74+IF($A75=Z$4,0,1))</f>
        <v>65</v>
      </c>
      <c r="AA75" s="2" t="n">
        <f aca="false">MIN(AA74+1,Z75+1,Z74+IF($A75=AA$4,0,1))</f>
        <v>65</v>
      </c>
      <c r="AB75" s="2" t="n">
        <f aca="false">MIN(AB74+1,AA75+1,AA74+IF($A75=AB$4,0,1))</f>
        <v>65</v>
      </c>
      <c r="AC75" s="2" t="n">
        <f aca="false">MIN(AC74+1,AB75+1,AB74+IF($A75=AC$4,0,1))</f>
        <v>65</v>
      </c>
      <c r="AD75" s="2" t="n">
        <f aca="false">MIN(AD74+1,AC75+1,AC74+IF($A75=AD$4,0,1))</f>
        <v>65</v>
      </c>
      <c r="AE75" s="2" t="n">
        <f aca="false">MIN(AE74+1,AD75+1,AD74+IF($A75=AE$4,0,1))</f>
        <v>65</v>
      </c>
      <c r="AF75" s="2" t="n">
        <f aca="false">MIN(AF74+1,AE75+1,AE74+IF($A75=AF$4,0,1))</f>
        <v>65</v>
      </c>
      <c r="AG75" s="2" t="n">
        <f aca="false">MIN(AG74+1,AF75+1,AF74+IF($A75=AG$4,0,1))</f>
        <v>65</v>
      </c>
      <c r="AH75" s="2" t="n">
        <f aca="false">MIN(AH74+1,AG75+1,AG74+IF($A75=AH$4,0,1))</f>
        <v>65</v>
      </c>
      <c r="AI75" s="2" t="n">
        <f aca="false">MIN(AI74+1,AH75+1,AH74+IF($A75=AI$4,0,1))</f>
        <v>65</v>
      </c>
      <c r="AJ75" s="2" t="n">
        <f aca="false">MIN(AJ74+1,AI75+1,AI74+IF($A75=AJ$4,0,1))</f>
        <v>65</v>
      </c>
      <c r="AK75" s="2" t="n">
        <f aca="false">MIN(AK74+1,AJ75+1,AJ74+IF($A75=AK$4,0,1))</f>
        <v>65</v>
      </c>
      <c r="AL75" s="2" t="n">
        <f aca="false">MIN(AL74+1,AK75+1,AK74+IF($A75=AL$4,0,1))</f>
        <v>65</v>
      </c>
      <c r="AM75" s="2" t="n">
        <f aca="false">MIN(AM74+1,AL75+1,AL74+IF($A75=AM$4,0,1))</f>
        <v>65</v>
      </c>
      <c r="AN75" s="2" t="n">
        <f aca="false">MIN(AN74+1,AM75+1,AM74+IF($A75=AN$4,0,1))</f>
        <v>66</v>
      </c>
      <c r="AO75" s="2" t="n">
        <f aca="false">MIN(AO74+1,AN75+1,AN74+IF($A75=AO$4,0,1))</f>
        <v>66</v>
      </c>
      <c r="AP75" s="2" t="n">
        <f aca="false">MIN(AP74+1,AO75+1,AO74+IF($A75=AP$4,0,1))</f>
        <v>66</v>
      </c>
      <c r="AQ75" s="2" t="n">
        <f aca="false">MIN(AQ74+1,AP75+1,AP74+IF($A75=AQ$4,0,1))</f>
        <v>66</v>
      </c>
      <c r="AR75" s="2" t="n">
        <f aca="false">MIN(AR74+1,AQ75+1,AQ74+IF($A75=AR$4,0,1))</f>
        <v>66</v>
      </c>
      <c r="AS75" s="2" t="n">
        <f aca="false">MIN(AS74+1,AR75+1,AR74+IF($A75=AS$4,0,1))</f>
        <v>66</v>
      </c>
      <c r="AT75" s="2" t="n">
        <f aca="false">MIN(AT74+1,AS75+1,AS74+IF($A75=AT$4,0,1))</f>
        <v>66</v>
      </c>
      <c r="AU75" s="2" t="n">
        <f aca="false">MIN(AU74+1,AT75+1,AT74+IF($A75=AU$4,0,1))</f>
        <v>66</v>
      </c>
      <c r="AV75" s="2" t="n">
        <f aca="false">MIN(AV74+1,AU75+1,AU74+IF($A75=AV$4,0,1))</f>
        <v>66</v>
      </c>
      <c r="AW75" s="2" t="n">
        <f aca="false">MIN(AW74+1,AV75+1,AV74+IF($A75=AW$4,0,1))</f>
        <v>66</v>
      </c>
      <c r="AX75" s="2" t="n">
        <f aca="false">MIN(AX74+1,AW75+1,AW74+IF($A75=AX$4,0,1))</f>
        <v>66</v>
      </c>
      <c r="AY75" s="2" t="n">
        <f aca="false">MIN(AY74+1,AX75+1,AX74+IF($A75=AY$4,0,1))</f>
        <v>66</v>
      </c>
      <c r="AZ75" s="2" t="n">
        <f aca="false">MIN(AZ74+1,AY75+1,AY74+IF($A75=AZ$4,0,1))</f>
        <v>66</v>
      </c>
      <c r="BA75" s="2" t="n">
        <f aca="false">MIN(BA74+1,AZ75+1,AZ74+IF($A75=BA$4,0,1))</f>
        <v>66</v>
      </c>
      <c r="BB75" s="2" t="n">
        <f aca="false">MIN(BB74+1,BA75+1,BA74+IF($A75=BB$4,0,1))</f>
        <v>66</v>
      </c>
      <c r="BC75" s="2" t="n">
        <f aca="false">MIN(BC74+1,BB75+1,BB74+IF($A75=BC$4,0,1))</f>
        <v>66</v>
      </c>
      <c r="BD75" s="2" t="n">
        <f aca="false">MIN(BD74+1,BC75+1,BC74+IF($A75=BD$4,0,1))</f>
        <v>66</v>
      </c>
      <c r="BE75" s="2" t="n">
        <f aca="false">MIN(BE74+1,BD75+1,BD74+IF($A75=BE$4,0,1))</f>
        <v>66</v>
      </c>
      <c r="BF75" s="2" t="n">
        <f aca="false">MIN(BF74+1,BE75+1,BE74+IF($A75=BF$4,0,1))</f>
        <v>66</v>
      </c>
      <c r="BG75" s="2" t="n">
        <f aca="false">MIN(BG74+1,BF75+1,BF74+IF($A75=BG$4,0,1))</f>
        <v>66</v>
      </c>
      <c r="BH75" s="2" t="n">
        <f aca="false">MIN(BH74+1,BG75+1,BG74+IF($A75=BH$4,0,1))</f>
        <v>66</v>
      </c>
      <c r="BI75" s="2" t="n">
        <f aca="false">MIN(BI74+1,BH75+1,BH74+IF($A75=BI$4,0,1))</f>
        <v>66</v>
      </c>
      <c r="BJ75" s="2" t="n">
        <f aca="false">MIN(BJ74+1,BI75+1,BI74+IF($A75=BJ$4,0,1))</f>
        <v>67</v>
      </c>
      <c r="BK75" s="2" t="n">
        <f aca="false">MIN(BK74+1,BJ75+1,BJ74+IF($A75=BK$4,0,1))</f>
        <v>67</v>
      </c>
      <c r="BL75" s="2" t="n">
        <f aca="false">MIN(BL74+1,BK75+1,BK74+IF($A75=BL$4,0,1))</f>
        <v>67</v>
      </c>
      <c r="BM75" s="2" t="n">
        <f aca="false">MIN(BM74+1,BL75+1,BL74+IF($A75=BM$4,0,1))</f>
        <v>67</v>
      </c>
      <c r="BN75" s="2" t="n">
        <f aca="false">MIN(BN74+1,BM75+1,BM74+IF($A75=BN$4,0,1))</f>
        <v>67</v>
      </c>
      <c r="BO75" s="2" t="n">
        <f aca="false">MIN(BO74+1,BN75+1,BN74+IF($A75=BO$4,0,1))</f>
        <v>67</v>
      </c>
      <c r="BP75" s="2" t="n">
        <f aca="false">MIN(BP74+1,BO75+1,BO74+IF($A75=BP$4,0,1))</f>
        <v>67</v>
      </c>
      <c r="BQ75" s="2" t="n">
        <f aca="false">MIN(BQ74+1,BP75+1,BP74+IF($A75=BQ$4,0,1))</f>
        <v>67</v>
      </c>
      <c r="BR75" s="2" t="n">
        <f aca="false">MIN(BR74+1,BQ75+1,BQ74+IF($A75=BR$4,0,1))</f>
        <v>67</v>
      </c>
      <c r="BS75" s="2" t="n">
        <f aca="false">MIN(BS74+1,BR75+1,BR74+IF($A75=BS$4,0,1))</f>
        <v>67</v>
      </c>
      <c r="BT75" s="2" t="n">
        <f aca="false">MIN(BT74+1,BS75+1,BS74+IF($A75=BT$4,0,1))</f>
        <v>67</v>
      </c>
      <c r="BU75" s="2" t="n">
        <f aca="false">MIN(BU74+1,BT75+1,BT74+IF($A75=BU$4,0,1))</f>
        <v>67</v>
      </c>
      <c r="BV75" s="2" t="n">
        <f aca="false">MIN(BV74+1,BU75+1,BU74+IF($A75=BV$4,0,1))</f>
        <v>68</v>
      </c>
      <c r="BW75" s="2" t="n">
        <f aca="false">MIN(BW74+1,BV75+1,BV74+IF($A75=BW$4,0,1))</f>
        <v>69</v>
      </c>
      <c r="BX75" s="2" t="n">
        <f aca="false">MIN(BX74+1,BW75+1,BW74+IF($A75=BX$4,0,1))</f>
        <v>70</v>
      </c>
      <c r="BY75" s="2" t="n">
        <f aca="false">MIN(BY74+1,BX75+1,BX74+IF($A75=BY$4,0,1))</f>
        <v>71</v>
      </c>
      <c r="BZ75" s="2" t="n">
        <f aca="false">MIN(BZ74+1,BY75+1,BY74+IF($A75=BZ$4,0,1))</f>
        <v>72</v>
      </c>
      <c r="CA75" s="2" t="n">
        <f aca="false">MIN(CA74+1,BZ75+1,BZ74+IF($A75=CA$4,0,1))</f>
        <v>73</v>
      </c>
      <c r="CB75" s="2" t="n">
        <f aca="false">MIN(CB74+1,CA75+1,CA74+IF($A75=CB$4,0,1))</f>
        <v>74</v>
      </c>
      <c r="CC75" s="2" t="n">
        <f aca="false">MIN(CC74+1,CB75+1,CB74+IF($A75=CC$4,0,1))</f>
        <v>75</v>
      </c>
      <c r="CD75" s="2" t="n">
        <f aca="false">MIN(CD74+1,CC75+1,CC74+IF($A75=CD$4,0,1))</f>
        <v>76</v>
      </c>
      <c r="CE75" s="2" t="n">
        <f aca="false">MIN(CE74+1,CD75+1,CD74+IF($A75=CE$4,0,1))</f>
        <v>77</v>
      </c>
      <c r="CF75" s="2" t="n">
        <f aca="false">MIN(CF74+1,CE75+1,CE74+IF($A75=CF$4,0,1))</f>
        <v>78</v>
      </c>
      <c r="CG75" s="2" t="n">
        <f aca="false">MIN(CG74+1,CF75+1,CF74+IF($A75=CG$4,0,1))</f>
        <v>79</v>
      </c>
      <c r="CH75" s="2" t="n">
        <f aca="false">MIN(CH74+1,CG75+1,CG74+IF($A75=CH$4,0,1))</f>
        <v>80</v>
      </c>
      <c r="CI75" s="2" t="n">
        <f aca="false">MIN(CI74+1,CH75+1,CH74+IF($A75=CI$4,0,1))</f>
        <v>81</v>
      </c>
      <c r="CJ75" s="2" t="n">
        <f aca="false">MIN(CJ74+1,CI75+1,CI74+IF($A75=CJ$4,0,1))</f>
        <v>82</v>
      </c>
      <c r="CK75" s="2" t="n">
        <f aca="false">MIN(CK74+1,CJ75+1,CJ74+IF($A75=CK$4,0,1))</f>
        <v>83</v>
      </c>
      <c r="CL75" s="2" t="n">
        <f aca="false">MIN(CL74+1,CK75+1,CK74+IF($A75=CL$4,0,1))</f>
        <v>83</v>
      </c>
      <c r="CM75" s="2" t="n">
        <f aca="false">MIN(CM74+1,CL75+1,CL74+IF($A75=CM$4,0,1))</f>
        <v>84</v>
      </c>
      <c r="CN75" s="2" t="n">
        <f aca="false">MIN(CN74+1,CM75+1,CM74+IF($A75=CN$4,0,1))</f>
        <v>85</v>
      </c>
      <c r="CO75" s="2" t="n">
        <f aca="false">MIN(CO74+1,CN75+1,CN74+IF($A75=CO$4,0,1))</f>
        <v>86</v>
      </c>
      <c r="CP75" s="2" t="n">
        <f aca="false">MIN(CP74+1,CO75+1,CO74+IF($A75=CP$4,0,1))</f>
        <v>87</v>
      </c>
      <c r="CQ75" s="2" t="n">
        <f aca="false">MIN(CQ74+1,CP75+1,CP74+IF($A75=CQ$4,0,1))</f>
        <v>88</v>
      </c>
    </row>
    <row r="76" customFormat="false" ht="15" hidden="false" customHeight="false" outlineLevel="0" collapsed="false">
      <c r="A76" s="4" t="s">
        <v>97</v>
      </c>
      <c r="B76" s="12" t="n">
        <v>71</v>
      </c>
      <c r="C76" s="2" t="n">
        <f aca="false">MIN(C75+1,B76+1,B75+IF($A76=C$4,0,1))</f>
        <v>71</v>
      </c>
      <c r="D76" s="2" t="n">
        <f aca="false">MIN(D75+1,C76+1,C75+IF($A76=D$4,0,1))</f>
        <v>70</v>
      </c>
      <c r="E76" s="2" t="n">
        <f aca="false">MIN(E75+1,D76+1,D75+IF($A76=E$4,0,1))</f>
        <v>69</v>
      </c>
      <c r="F76" s="2" t="n">
        <f aca="false">MIN(F75+1,E76+1,E75+IF($A76=F$4,0,1))</f>
        <v>68</v>
      </c>
      <c r="G76" s="2" t="n">
        <f aca="false">MIN(G75+1,F76+1,F75+IF($A76=G$4,0,1))</f>
        <v>68</v>
      </c>
      <c r="H76" s="2" t="n">
        <f aca="false">MIN(H75+1,G76+1,G75+IF($A76=H$4,0,1))</f>
        <v>68</v>
      </c>
      <c r="I76" s="2" t="n">
        <f aca="false">MIN(I75+1,H76+1,H75+IF($A76=I$4,0,1))</f>
        <v>68</v>
      </c>
      <c r="J76" s="2" t="n">
        <f aca="false">MIN(J75+1,I76+1,I75+IF($A76=J$4,0,1))</f>
        <v>68</v>
      </c>
      <c r="K76" s="2" t="n">
        <f aca="false">MIN(K75+1,J76+1,J75+IF($A76=K$4,0,1))</f>
        <v>67</v>
      </c>
      <c r="L76" s="2" t="n">
        <f aca="false">MIN(L75+1,K76+1,K75+IF($A76=L$4,0,1))</f>
        <v>67</v>
      </c>
      <c r="M76" s="2" t="n">
        <f aca="false">MIN(M75+1,L76+1,L75+IF($A76=M$4,0,1))</f>
        <v>67</v>
      </c>
      <c r="N76" s="2" t="n">
        <f aca="false">MIN(N75+1,M76+1,M75+IF($A76=N$4,0,1))</f>
        <v>67</v>
      </c>
      <c r="O76" s="2" t="n">
        <f aca="false">MIN(O75+1,N76+1,N75+IF($A76=O$4,0,1))</f>
        <v>66</v>
      </c>
      <c r="P76" s="2" t="n">
        <f aca="false">MIN(P75+1,O76+1,O75+IF($A76=P$4,0,1))</f>
        <v>66</v>
      </c>
      <c r="Q76" s="2" t="n">
        <f aca="false">MIN(Q75+1,P76+1,P75+IF($A76=Q$4,0,1))</f>
        <v>66</v>
      </c>
      <c r="R76" s="2" t="n">
        <f aca="false">MIN(R75+1,Q76+1,Q75+IF($A76=R$4,0,1))</f>
        <v>66</v>
      </c>
      <c r="S76" s="2" t="n">
        <f aca="false">MIN(S75+1,R76+1,R75+IF($A76=S$4,0,1))</f>
        <v>66</v>
      </c>
      <c r="T76" s="2" t="n">
        <f aca="false">MIN(T75+1,S76+1,S75+IF($A76=T$4,0,1))</f>
        <v>66</v>
      </c>
      <c r="U76" s="2" t="n">
        <f aca="false">MIN(U75+1,T76+1,T75+IF($A76=U$4,0,1))</f>
        <v>65</v>
      </c>
      <c r="V76" s="2" t="n">
        <f aca="false">MIN(V75+1,U76+1,U75+IF($A76=V$4,0,1))</f>
        <v>66</v>
      </c>
      <c r="W76" s="2" t="n">
        <f aca="false">MIN(W75+1,V76+1,V75+IF($A76=W$4,0,1))</f>
        <v>66</v>
      </c>
      <c r="X76" s="2" t="n">
        <f aca="false">MIN(X75+1,W76+1,W75+IF($A76=X$4,0,1))</f>
        <v>66</v>
      </c>
      <c r="Y76" s="2" t="n">
        <f aca="false">MIN(Y75+1,X76+1,X75+IF($A76=Y$4,0,1))</f>
        <v>66</v>
      </c>
      <c r="Z76" s="2" t="n">
        <f aca="false">MIN(Z75+1,Y76+1,Y75+IF($A76=Z$4,0,1))</f>
        <v>66</v>
      </c>
      <c r="AA76" s="2" t="n">
        <f aca="false">MIN(AA75+1,Z76+1,Z75+IF($A76=AA$4,0,1))</f>
        <v>66</v>
      </c>
      <c r="AB76" s="2" t="n">
        <f aca="false">MIN(AB75+1,AA76+1,AA75+IF($A76=AB$4,0,1))</f>
        <v>66</v>
      </c>
      <c r="AC76" s="2" t="n">
        <f aca="false">MIN(AC75+1,AB76+1,AB75+IF($A76=AC$4,0,1))</f>
        <v>66</v>
      </c>
      <c r="AD76" s="2" t="n">
        <f aca="false">MIN(AD75+1,AC76+1,AC75+IF($A76=AD$4,0,1))</f>
        <v>66</v>
      </c>
      <c r="AE76" s="2" t="n">
        <f aca="false">MIN(AE75+1,AD76+1,AD75+IF($A76=AE$4,0,1))</f>
        <v>66</v>
      </c>
      <c r="AF76" s="2" t="n">
        <f aca="false">MIN(AF75+1,AE76+1,AE75+IF($A76=AF$4,0,1))</f>
        <v>66</v>
      </c>
      <c r="AG76" s="2" t="n">
        <f aca="false">MIN(AG75+1,AF76+1,AF75+IF($A76=AG$4,0,1))</f>
        <v>66</v>
      </c>
      <c r="AH76" s="2" t="n">
        <f aca="false">MIN(AH75+1,AG76+1,AG75+IF($A76=AH$4,0,1))</f>
        <v>66</v>
      </c>
      <c r="AI76" s="2" t="n">
        <f aca="false">MIN(AI75+1,AH76+1,AH75+IF($A76=AI$4,0,1))</f>
        <v>66</v>
      </c>
      <c r="AJ76" s="2" t="n">
        <f aca="false">MIN(AJ75+1,AI76+1,AI75+IF($A76=AJ$4,0,1))</f>
        <v>66</v>
      </c>
      <c r="AK76" s="2" t="n">
        <f aca="false">MIN(AK75+1,AJ76+1,AJ75+IF($A76=AK$4,0,1))</f>
        <v>66</v>
      </c>
      <c r="AL76" s="2" t="n">
        <f aca="false">MIN(AL75+1,AK76+1,AK75+IF($A76=AL$4,0,1))</f>
        <v>66</v>
      </c>
      <c r="AM76" s="2" t="n">
        <f aca="false">MIN(AM75+1,AL76+1,AL75+IF($A76=AM$4,0,1))</f>
        <v>66</v>
      </c>
      <c r="AN76" s="2" t="n">
        <f aca="false">MIN(AN75+1,AM76+1,AM75+IF($A76=AN$4,0,1))</f>
        <v>66</v>
      </c>
      <c r="AO76" s="2" t="n">
        <f aca="false">MIN(AO75+1,AN76+1,AN75+IF($A76=AO$4,0,1))</f>
        <v>67</v>
      </c>
      <c r="AP76" s="2" t="n">
        <f aca="false">MIN(AP75+1,AO76+1,AO75+IF($A76=AP$4,0,1))</f>
        <v>67</v>
      </c>
      <c r="AQ76" s="2" t="n">
        <f aca="false">MIN(AQ75+1,AP76+1,AP75+IF($A76=AQ$4,0,1))</f>
        <v>67</v>
      </c>
      <c r="AR76" s="2" t="n">
        <f aca="false">MIN(AR75+1,AQ76+1,AQ75+IF($A76=AR$4,0,1))</f>
        <v>67</v>
      </c>
      <c r="AS76" s="2" t="n">
        <f aca="false">MIN(AS75+1,AR76+1,AR75+IF($A76=AS$4,0,1))</f>
        <v>67</v>
      </c>
      <c r="AT76" s="2" t="n">
        <f aca="false">MIN(AT75+1,AS76+1,AS75+IF($A76=AT$4,0,1))</f>
        <v>67</v>
      </c>
      <c r="AU76" s="2" t="n">
        <f aca="false">MIN(AU75+1,AT76+1,AT75+IF($A76=AU$4,0,1))</f>
        <v>67</v>
      </c>
      <c r="AV76" s="2" t="n">
        <f aca="false">MIN(AV75+1,AU76+1,AU75+IF($A76=AV$4,0,1))</f>
        <v>67</v>
      </c>
      <c r="AW76" s="2" t="n">
        <f aca="false">MIN(AW75+1,AV76+1,AV75+IF($A76=AW$4,0,1))</f>
        <v>67</v>
      </c>
      <c r="AX76" s="2" t="n">
        <f aca="false">MIN(AX75+1,AW76+1,AW75+IF($A76=AX$4,0,1))</f>
        <v>67</v>
      </c>
      <c r="AY76" s="2" t="n">
        <f aca="false">MIN(AY75+1,AX76+1,AX75+IF($A76=AY$4,0,1))</f>
        <v>67</v>
      </c>
      <c r="AZ76" s="2" t="n">
        <f aca="false">MIN(AZ75+1,AY76+1,AY75+IF($A76=AZ$4,0,1))</f>
        <v>67</v>
      </c>
      <c r="BA76" s="2" t="n">
        <f aca="false">MIN(BA75+1,AZ76+1,AZ75+IF($A76=BA$4,0,1))</f>
        <v>67</v>
      </c>
      <c r="BB76" s="2" t="n">
        <f aca="false">MIN(BB75+1,BA76+1,BA75+IF($A76=BB$4,0,1))</f>
        <v>67</v>
      </c>
      <c r="BC76" s="2" t="n">
        <f aca="false">MIN(BC75+1,BB76+1,BB75+IF($A76=BC$4,0,1))</f>
        <v>67</v>
      </c>
      <c r="BD76" s="2" t="n">
        <f aca="false">MIN(BD75+1,BC76+1,BC75+IF($A76=BD$4,0,1))</f>
        <v>67</v>
      </c>
      <c r="BE76" s="2" t="n">
        <f aca="false">MIN(BE75+1,BD76+1,BD75+IF($A76=BE$4,0,1))</f>
        <v>67</v>
      </c>
      <c r="BF76" s="2" t="n">
        <f aca="false">MIN(BF75+1,BE76+1,BE75+IF($A76=BF$4,0,1))</f>
        <v>67</v>
      </c>
      <c r="BG76" s="2" t="n">
        <f aca="false">MIN(BG75+1,BF76+1,BF75+IF($A76=BG$4,0,1))</f>
        <v>67</v>
      </c>
      <c r="BH76" s="2" t="n">
        <f aca="false">MIN(BH75+1,BG76+1,BG75+IF($A76=BH$4,0,1))</f>
        <v>67</v>
      </c>
      <c r="BI76" s="2" t="n">
        <f aca="false">MIN(BI75+1,BH76+1,BH75+IF($A76=BI$4,0,1))</f>
        <v>67</v>
      </c>
      <c r="BJ76" s="2" t="n">
        <f aca="false">MIN(BJ75+1,BI76+1,BI75+IF($A76=BJ$4,0,1))</f>
        <v>67</v>
      </c>
      <c r="BK76" s="2" t="n">
        <f aca="false">MIN(BK75+1,BJ76+1,BJ75+IF($A76=BK$4,0,1))</f>
        <v>68</v>
      </c>
      <c r="BL76" s="2" t="n">
        <f aca="false">MIN(BL75+1,BK76+1,BK75+IF($A76=BL$4,0,1))</f>
        <v>68</v>
      </c>
      <c r="BM76" s="2" t="n">
        <f aca="false">MIN(BM75+1,BL76+1,BL75+IF($A76=BM$4,0,1))</f>
        <v>68</v>
      </c>
      <c r="BN76" s="2" t="n">
        <f aca="false">MIN(BN75+1,BM76+1,BM75+IF($A76=BN$4,0,1))</f>
        <v>68</v>
      </c>
      <c r="BO76" s="2" t="n">
        <f aca="false">MIN(BO75+1,BN76+1,BN75+IF($A76=BO$4,0,1))</f>
        <v>68</v>
      </c>
      <c r="BP76" s="2" t="n">
        <f aca="false">MIN(BP75+1,BO76+1,BO75+IF($A76=BP$4,0,1))</f>
        <v>68</v>
      </c>
      <c r="BQ76" s="2" t="n">
        <f aca="false">MIN(BQ75+1,BP76+1,BP75+IF($A76=BQ$4,0,1))</f>
        <v>68</v>
      </c>
      <c r="BR76" s="2" t="n">
        <f aca="false">MIN(BR75+1,BQ76+1,BQ75+IF($A76=BR$4,0,1))</f>
        <v>68</v>
      </c>
      <c r="BS76" s="2" t="n">
        <f aca="false">MIN(BS75+1,BR76+1,BR75+IF($A76=BS$4,0,1))</f>
        <v>68</v>
      </c>
      <c r="BT76" s="2" t="n">
        <f aca="false">MIN(BT75+1,BS76+1,BS75+IF($A76=BT$4,0,1))</f>
        <v>68</v>
      </c>
      <c r="BU76" s="2" t="n">
        <f aca="false">MIN(BU75+1,BT76+1,BT75+IF($A76=BU$4,0,1))</f>
        <v>68</v>
      </c>
      <c r="BV76" s="2" t="n">
        <f aca="false">MIN(BV75+1,BU76+1,BU75+IF($A76=BV$4,0,1))</f>
        <v>68</v>
      </c>
      <c r="BW76" s="2" t="n">
        <f aca="false">MIN(BW75+1,BV76+1,BV75+IF($A76=BW$4,0,1))</f>
        <v>69</v>
      </c>
      <c r="BX76" s="2" t="n">
        <f aca="false">MIN(BX75+1,BW76+1,BW75+IF($A76=BX$4,0,1))</f>
        <v>70</v>
      </c>
      <c r="BY76" s="2" t="n">
        <f aca="false">MIN(BY75+1,BX76+1,BX75+IF($A76=BY$4,0,1))</f>
        <v>71</v>
      </c>
      <c r="BZ76" s="2" t="n">
        <f aca="false">MIN(BZ75+1,BY76+1,BY75+IF($A76=BZ$4,0,1))</f>
        <v>72</v>
      </c>
      <c r="CA76" s="2" t="n">
        <f aca="false">MIN(CA75+1,BZ76+1,BZ75+IF($A76=CA$4,0,1))</f>
        <v>73</v>
      </c>
      <c r="CB76" s="2" t="n">
        <f aca="false">MIN(CB75+1,CA76+1,CA75+IF($A76=CB$4,0,1))</f>
        <v>74</v>
      </c>
      <c r="CC76" s="2" t="n">
        <f aca="false">MIN(CC75+1,CB76+1,CB75+IF($A76=CC$4,0,1))</f>
        <v>75</v>
      </c>
      <c r="CD76" s="2" t="n">
        <f aca="false">MIN(CD75+1,CC76+1,CC75+IF($A76=CD$4,0,1))</f>
        <v>76</v>
      </c>
      <c r="CE76" s="2" t="n">
        <f aca="false">MIN(CE75+1,CD76+1,CD75+IF($A76=CE$4,0,1))</f>
        <v>77</v>
      </c>
      <c r="CF76" s="2" t="n">
        <f aca="false">MIN(CF75+1,CE76+1,CE75+IF($A76=CF$4,0,1))</f>
        <v>78</v>
      </c>
      <c r="CG76" s="2" t="n">
        <f aca="false">MIN(CG75+1,CF76+1,CF75+IF($A76=CG$4,0,1))</f>
        <v>79</v>
      </c>
      <c r="CH76" s="2" t="n">
        <f aca="false">MIN(CH75+1,CG76+1,CG75+IF($A76=CH$4,0,1))</f>
        <v>80</v>
      </c>
      <c r="CI76" s="2" t="n">
        <f aca="false">MIN(CI75+1,CH76+1,CH75+IF($A76=CI$4,0,1))</f>
        <v>81</v>
      </c>
      <c r="CJ76" s="2" t="n">
        <f aca="false">MIN(CJ75+1,CI76+1,CI75+IF($A76=CJ$4,0,1))</f>
        <v>82</v>
      </c>
      <c r="CK76" s="2" t="n">
        <f aca="false">MIN(CK75+1,CJ76+1,CJ75+IF($A76=CK$4,0,1))</f>
        <v>83</v>
      </c>
      <c r="CL76" s="2" t="n">
        <f aca="false">MIN(CL75+1,CK76+1,CK75+IF($A76=CL$4,0,1))</f>
        <v>84</v>
      </c>
      <c r="CM76" s="2" t="n">
        <f aca="false">MIN(CM75+1,CL76+1,CL75+IF($A76=CM$4,0,1))</f>
        <v>84</v>
      </c>
      <c r="CN76" s="2" t="n">
        <f aca="false">MIN(CN75+1,CM76+1,CM75+IF($A76=CN$4,0,1))</f>
        <v>85</v>
      </c>
      <c r="CO76" s="2" t="n">
        <f aca="false">MIN(CO75+1,CN76+1,CN75+IF($A76=CO$4,0,1))</f>
        <v>86</v>
      </c>
      <c r="CP76" s="2" t="n">
        <f aca="false">MIN(CP75+1,CO76+1,CO75+IF($A76=CP$4,0,1))</f>
        <v>87</v>
      </c>
      <c r="CQ76" s="2" t="n">
        <f aca="false">MIN(CQ75+1,CP76+1,CP75+IF($A76=CQ$4,0,1))</f>
        <v>88</v>
      </c>
    </row>
    <row r="77" customFormat="false" ht="15" hidden="false" customHeight="false" outlineLevel="0" collapsed="false">
      <c r="A77" s="4" t="s">
        <v>190</v>
      </c>
      <c r="B77" s="12" t="n">
        <v>72</v>
      </c>
      <c r="C77" s="2" t="n">
        <f aca="false">MIN(C76+1,B77+1,B76+IF($A77=C$4,0,1))</f>
        <v>72</v>
      </c>
      <c r="D77" s="2" t="n">
        <f aca="false">MIN(D76+1,C77+1,C76+IF($A77=D$4,0,1))</f>
        <v>71</v>
      </c>
      <c r="E77" s="2" t="n">
        <f aca="false">MIN(E76+1,D77+1,D76+IF($A77=E$4,0,1))</f>
        <v>70</v>
      </c>
      <c r="F77" s="2" t="n">
        <f aca="false">MIN(F76+1,E77+1,E76+IF($A77=F$4,0,1))</f>
        <v>69</v>
      </c>
      <c r="G77" s="2" t="n">
        <f aca="false">MIN(G76+1,F77+1,F76+IF($A77=G$4,0,1))</f>
        <v>69</v>
      </c>
      <c r="H77" s="2" t="n">
        <f aca="false">MIN(H76+1,G77+1,G76+IF($A77=H$4,0,1))</f>
        <v>69</v>
      </c>
      <c r="I77" s="2" t="n">
        <f aca="false">MIN(I76+1,H77+1,H76+IF($A77=I$4,0,1))</f>
        <v>69</v>
      </c>
      <c r="J77" s="2" t="n">
        <f aca="false">MIN(J76+1,I77+1,I76+IF($A77=J$4,0,1))</f>
        <v>69</v>
      </c>
      <c r="K77" s="2" t="n">
        <f aca="false">MIN(K76+1,J77+1,J76+IF($A77=K$4,0,1))</f>
        <v>68</v>
      </c>
      <c r="L77" s="2" t="n">
        <f aca="false">MIN(L76+1,K77+1,K76+IF($A77=L$4,0,1))</f>
        <v>68</v>
      </c>
      <c r="M77" s="2" t="n">
        <f aca="false">MIN(M76+1,L77+1,L76+IF($A77=M$4,0,1))</f>
        <v>68</v>
      </c>
      <c r="N77" s="2" t="n">
        <f aca="false">MIN(N76+1,M77+1,M76+IF($A77=N$4,0,1))</f>
        <v>68</v>
      </c>
      <c r="O77" s="2" t="n">
        <f aca="false">MIN(O76+1,N77+1,N76+IF($A77=O$4,0,1))</f>
        <v>67</v>
      </c>
      <c r="P77" s="2" t="n">
        <f aca="false">MIN(P76+1,O77+1,O76+IF($A77=P$4,0,1))</f>
        <v>67</v>
      </c>
      <c r="Q77" s="2" t="n">
        <f aca="false">MIN(Q76+1,P77+1,P76+IF($A77=Q$4,0,1))</f>
        <v>67</v>
      </c>
      <c r="R77" s="2" t="n">
        <f aca="false">MIN(R76+1,Q77+1,Q76+IF($A77=R$4,0,1))</f>
        <v>67</v>
      </c>
      <c r="S77" s="2" t="n">
        <f aca="false">MIN(S76+1,R77+1,R76+IF($A77=S$4,0,1))</f>
        <v>67</v>
      </c>
      <c r="T77" s="2" t="n">
        <f aca="false">MIN(T76+1,S77+1,S76+IF($A77=T$4,0,1))</f>
        <v>67</v>
      </c>
      <c r="U77" s="2" t="n">
        <f aca="false">MIN(U76+1,T77+1,T76+IF($A77=U$4,0,1))</f>
        <v>66</v>
      </c>
      <c r="V77" s="2" t="n">
        <f aca="false">MIN(V76+1,U77+1,U76+IF($A77=V$4,0,1))</f>
        <v>66</v>
      </c>
      <c r="W77" s="2" t="n">
        <f aca="false">MIN(W76+1,V77+1,V76+IF($A77=W$4,0,1))</f>
        <v>67</v>
      </c>
      <c r="X77" s="2" t="n">
        <f aca="false">MIN(X76+1,W77+1,W76+IF($A77=X$4,0,1))</f>
        <v>67</v>
      </c>
      <c r="Y77" s="2" t="n">
        <f aca="false">MIN(Y76+1,X77+1,X76+IF($A77=Y$4,0,1))</f>
        <v>67</v>
      </c>
      <c r="Z77" s="2" t="n">
        <f aca="false">MIN(Z76+1,Y77+1,Y76+IF($A77=Z$4,0,1))</f>
        <v>67</v>
      </c>
      <c r="AA77" s="2" t="n">
        <f aca="false">MIN(AA76+1,Z77+1,Z76+IF($A77=AA$4,0,1))</f>
        <v>67</v>
      </c>
      <c r="AB77" s="2" t="n">
        <f aca="false">MIN(AB76+1,AA77+1,AA76+IF($A77=AB$4,0,1))</f>
        <v>67</v>
      </c>
      <c r="AC77" s="2" t="n">
        <f aca="false">MIN(AC76+1,AB77+1,AB76+IF($A77=AC$4,0,1))</f>
        <v>67</v>
      </c>
      <c r="AD77" s="2" t="n">
        <f aca="false">MIN(AD76+1,AC77+1,AC76+IF($A77=AD$4,0,1))</f>
        <v>67</v>
      </c>
      <c r="AE77" s="2" t="n">
        <f aca="false">MIN(AE76+1,AD77+1,AD76+IF($A77=AE$4,0,1))</f>
        <v>67</v>
      </c>
      <c r="AF77" s="2" t="n">
        <f aca="false">MIN(AF76+1,AE77+1,AE76+IF($A77=AF$4,0,1))</f>
        <v>67</v>
      </c>
      <c r="AG77" s="2" t="n">
        <f aca="false">MIN(AG76+1,AF77+1,AF76+IF($A77=AG$4,0,1))</f>
        <v>67</v>
      </c>
      <c r="AH77" s="2" t="n">
        <f aca="false">MIN(AH76+1,AG77+1,AG76+IF($A77=AH$4,0,1))</f>
        <v>67</v>
      </c>
      <c r="AI77" s="2" t="n">
        <f aca="false">MIN(AI76+1,AH77+1,AH76+IF($A77=AI$4,0,1))</f>
        <v>67</v>
      </c>
      <c r="AJ77" s="2" t="n">
        <f aca="false">MIN(AJ76+1,AI77+1,AI76+IF($A77=AJ$4,0,1))</f>
        <v>67</v>
      </c>
      <c r="AK77" s="2" t="n">
        <f aca="false">MIN(AK76+1,AJ77+1,AJ76+IF($A77=AK$4,0,1))</f>
        <v>67</v>
      </c>
      <c r="AL77" s="2" t="n">
        <f aca="false">MIN(AL76+1,AK77+1,AK76+IF($A77=AL$4,0,1))</f>
        <v>67</v>
      </c>
      <c r="AM77" s="2" t="n">
        <f aca="false">MIN(AM76+1,AL77+1,AL76+IF($A77=AM$4,0,1))</f>
        <v>67</v>
      </c>
      <c r="AN77" s="2" t="n">
        <f aca="false">MIN(AN76+1,AM77+1,AM76+IF($A77=AN$4,0,1))</f>
        <v>67</v>
      </c>
      <c r="AO77" s="2" t="n">
        <f aca="false">MIN(AO76+1,AN77+1,AN76+IF($A77=AO$4,0,1))</f>
        <v>67</v>
      </c>
      <c r="AP77" s="2" t="n">
        <f aca="false">MIN(AP76+1,AO77+1,AO76+IF($A77=AP$4,0,1))</f>
        <v>68</v>
      </c>
      <c r="AQ77" s="2" t="n">
        <f aca="false">MIN(AQ76+1,AP77+1,AP76+IF($A77=AQ$4,0,1))</f>
        <v>68</v>
      </c>
      <c r="AR77" s="2" t="n">
        <f aca="false">MIN(AR76+1,AQ77+1,AQ76+IF($A77=AR$4,0,1))</f>
        <v>68</v>
      </c>
      <c r="AS77" s="2" t="n">
        <f aca="false">MIN(AS76+1,AR77+1,AR76+IF($A77=AS$4,0,1))</f>
        <v>68</v>
      </c>
      <c r="AT77" s="2" t="n">
        <f aca="false">MIN(AT76+1,AS77+1,AS76+IF($A77=AT$4,0,1))</f>
        <v>68</v>
      </c>
      <c r="AU77" s="2" t="n">
        <f aca="false">MIN(AU76+1,AT77+1,AT76+IF($A77=AU$4,0,1))</f>
        <v>68</v>
      </c>
      <c r="AV77" s="2" t="n">
        <f aca="false">MIN(AV76+1,AU77+1,AU76+IF($A77=AV$4,0,1))</f>
        <v>68</v>
      </c>
      <c r="AW77" s="2" t="n">
        <f aca="false">MIN(AW76+1,AV77+1,AV76+IF($A77=AW$4,0,1))</f>
        <v>68</v>
      </c>
      <c r="AX77" s="2" t="n">
        <f aca="false">MIN(AX76+1,AW77+1,AW76+IF($A77=AX$4,0,1))</f>
        <v>68</v>
      </c>
      <c r="AY77" s="2" t="n">
        <f aca="false">MIN(AY76+1,AX77+1,AX76+IF($A77=AY$4,0,1))</f>
        <v>68</v>
      </c>
      <c r="AZ77" s="2" t="n">
        <f aca="false">MIN(AZ76+1,AY77+1,AY76+IF($A77=AZ$4,0,1))</f>
        <v>68</v>
      </c>
      <c r="BA77" s="2" t="n">
        <f aca="false">MIN(BA76+1,AZ77+1,AZ76+IF($A77=BA$4,0,1))</f>
        <v>68</v>
      </c>
      <c r="BB77" s="2" t="n">
        <f aca="false">MIN(BB76+1,BA77+1,BA76+IF($A77=BB$4,0,1))</f>
        <v>68</v>
      </c>
      <c r="BC77" s="2" t="n">
        <f aca="false">MIN(BC76+1,BB77+1,BB76+IF($A77=BC$4,0,1))</f>
        <v>68</v>
      </c>
      <c r="BD77" s="2" t="n">
        <f aca="false">MIN(BD76+1,BC77+1,BC76+IF($A77=BD$4,0,1))</f>
        <v>68</v>
      </c>
      <c r="BE77" s="2" t="n">
        <f aca="false">MIN(BE76+1,BD77+1,BD76+IF($A77=BE$4,0,1))</f>
        <v>68</v>
      </c>
      <c r="BF77" s="2" t="n">
        <f aca="false">MIN(BF76+1,BE77+1,BE76+IF($A77=BF$4,0,1))</f>
        <v>68</v>
      </c>
      <c r="BG77" s="2" t="n">
        <f aca="false">MIN(BG76+1,BF77+1,BF76+IF($A77=BG$4,0,1))</f>
        <v>68</v>
      </c>
      <c r="BH77" s="2" t="n">
        <f aca="false">MIN(BH76+1,BG77+1,BG76+IF($A77=BH$4,0,1))</f>
        <v>68</v>
      </c>
      <c r="BI77" s="2" t="n">
        <f aca="false">MIN(BI76+1,BH77+1,BH76+IF($A77=BI$4,0,1))</f>
        <v>68</v>
      </c>
      <c r="BJ77" s="2" t="n">
        <f aca="false">MIN(BJ76+1,BI77+1,BI76+IF($A77=BJ$4,0,1))</f>
        <v>68</v>
      </c>
      <c r="BK77" s="2" t="n">
        <f aca="false">MIN(BK76+1,BJ77+1,BJ76+IF($A77=BK$4,0,1))</f>
        <v>68</v>
      </c>
      <c r="BL77" s="2" t="n">
        <f aca="false">MIN(BL76+1,BK77+1,BK76+IF($A77=BL$4,0,1))</f>
        <v>69</v>
      </c>
      <c r="BM77" s="2" t="n">
        <f aca="false">MIN(BM76+1,BL77+1,BL76+IF($A77=BM$4,0,1))</f>
        <v>69</v>
      </c>
      <c r="BN77" s="2" t="n">
        <f aca="false">MIN(BN76+1,BM77+1,BM76+IF($A77=BN$4,0,1))</f>
        <v>69</v>
      </c>
      <c r="BO77" s="2" t="n">
        <f aca="false">MIN(BO76+1,BN77+1,BN76+IF($A77=BO$4,0,1))</f>
        <v>69</v>
      </c>
      <c r="BP77" s="2" t="n">
        <f aca="false">MIN(BP76+1,BO77+1,BO76+IF($A77=BP$4,0,1))</f>
        <v>69</v>
      </c>
      <c r="BQ77" s="2" t="n">
        <f aca="false">MIN(BQ76+1,BP77+1,BP76+IF($A77=BQ$4,0,1))</f>
        <v>69</v>
      </c>
      <c r="BR77" s="2" t="n">
        <f aca="false">MIN(BR76+1,BQ77+1,BQ76+IF($A77=BR$4,0,1))</f>
        <v>69</v>
      </c>
      <c r="BS77" s="2" t="n">
        <f aca="false">MIN(BS76+1,BR77+1,BR76+IF($A77=BS$4,0,1))</f>
        <v>69</v>
      </c>
      <c r="BT77" s="2" t="n">
        <f aca="false">MIN(BT76+1,BS77+1,BS76+IF($A77=BT$4,0,1))</f>
        <v>69</v>
      </c>
      <c r="BU77" s="2" t="n">
        <f aca="false">MIN(BU76+1,BT77+1,BT76+IF($A77=BU$4,0,1))</f>
        <v>69</v>
      </c>
      <c r="BV77" s="2" t="n">
        <f aca="false">MIN(BV76+1,BU77+1,BU76+IF($A77=BV$4,0,1))</f>
        <v>69</v>
      </c>
      <c r="BW77" s="2" t="n">
        <f aca="false">MIN(BW76+1,BV77+1,BV76+IF($A77=BW$4,0,1))</f>
        <v>69</v>
      </c>
      <c r="BX77" s="2" t="n">
        <f aca="false">MIN(BX76+1,BW77+1,BW76+IF($A77=BX$4,0,1))</f>
        <v>70</v>
      </c>
      <c r="BY77" s="2" t="n">
        <f aca="false">MIN(BY76+1,BX77+1,BX76+IF($A77=BY$4,0,1))</f>
        <v>71</v>
      </c>
      <c r="BZ77" s="2" t="n">
        <f aca="false">MIN(BZ76+1,BY77+1,BY76+IF($A77=BZ$4,0,1))</f>
        <v>72</v>
      </c>
      <c r="CA77" s="2" t="n">
        <f aca="false">MIN(CA76+1,BZ77+1,BZ76+IF($A77=CA$4,0,1))</f>
        <v>73</v>
      </c>
      <c r="CB77" s="2" t="n">
        <f aca="false">MIN(CB76+1,CA77+1,CA76+IF($A77=CB$4,0,1))</f>
        <v>74</v>
      </c>
      <c r="CC77" s="2" t="n">
        <f aca="false">MIN(CC76+1,CB77+1,CB76+IF($A77=CC$4,0,1))</f>
        <v>75</v>
      </c>
      <c r="CD77" s="2" t="n">
        <f aca="false">MIN(CD76+1,CC77+1,CC76+IF($A77=CD$4,0,1))</f>
        <v>76</v>
      </c>
      <c r="CE77" s="2" t="n">
        <f aca="false">MIN(CE76+1,CD77+1,CD76+IF($A77=CE$4,0,1))</f>
        <v>77</v>
      </c>
      <c r="CF77" s="2" t="n">
        <f aca="false">MIN(CF76+1,CE77+1,CE76+IF($A77=CF$4,0,1))</f>
        <v>78</v>
      </c>
      <c r="CG77" s="2" t="n">
        <f aca="false">MIN(CG76+1,CF77+1,CF76+IF($A77=CG$4,0,1))</f>
        <v>79</v>
      </c>
      <c r="CH77" s="2" t="n">
        <f aca="false">MIN(CH76+1,CG77+1,CG76+IF($A77=CH$4,0,1))</f>
        <v>80</v>
      </c>
      <c r="CI77" s="2" t="n">
        <f aca="false">MIN(CI76+1,CH77+1,CH76+IF($A77=CI$4,0,1))</f>
        <v>81</v>
      </c>
      <c r="CJ77" s="2" t="n">
        <f aca="false">MIN(CJ76+1,CI77+1,CI76+IF($A77=CJ$4,0,1))</f>
        <v>82</v>
      </c>
      <c r="CK77" s="2" t="n">
        <f aca="false">MIN(CK76+1,CJ77+1,CJ76+IF($A77=CK$4,0,1))</f>
        <v>83</v>
      </c>
      <c r="CL77" s="2" t="n">
        <f aca="false">MIN(CL76+1,CK77+1,CK76+IF($A77=CL$4,0,1))</f>
        <v>84</v>
      </c>
      <c r="CM77" s="2" t="n">
        <f aca="false">MIN(CM76+1,CL77+1,CL76+IF($A77=CM$4,0,1))</f>
        <v>85</v>
      </c>
      <c r="CN77" s="2" t="n">
        <f aca="false">MIN(CN76+1,CM77+1,CM76+IF($A77=CN$4,0,1))</f>
        <v>85</v>
      </c>
      <c r="CO77" s="2" t="n">
        <f aca="false">MIN(CO76+1,CN77+1,CN76+IF($A77=CO$4,0,1))</f>
        <v>86</v>
      </c>
      <c r="CP77" s="2" t="n">
        <f aca="false">MIN(CP76+1,CO77+1,CO76+IF($A77=CP$4,0,1))</f>
        <v>87</v>
      </c>
      <c r="CQ77" s="2" t="n">
        <f aca="false">MIN(CQ76+1,CP77+1,CP76+IF($A77=CQ$4,0,1))</f>
        <v>88</v>
      </c>
    </row>
    <row r="78" customFormat="false" ht="15" hidden="false" customHeight="false" outlineLevel="0" collapsed="false">
      <c r="A78" s="4" t="s">
        <v>191</v>
      </c>
      <c r="B78" s="12" t="n">
        <v>73</v>
      </c>
      <c r="C78" s="2" t="n">
        <f aca="false">MIN(C77+1,B78+1,B77+IF($A78=C$4,0,1))</f>
        <v>73</v>
      </c>
      <c r="D78" s="2" t="n">
        <f aca="false">MIN(D77+1,C78+1,C77+IF($A78=D$4,0,1))</f>
        <v>72</v>
      </c>
      <c r="E78" s="2" t="n">
        <f aca="false">MIN(E77+1,D78+1,D77+IF($A78=E$4,0,1))</f>
        <v>71</v>
      </c>
      <c r="F78" s="2" t="n">
        <f aca="false">MIN(F77+1,E78+1,E77+IF($A78=F$4,0,1))</f>
        <v>70</v>
      </c>
      <c r="G78" s="2" t="n">
        <f aca="false">MIN(G77+1,F78+1,F77+IF($A78=G$4,0,1))</f>
        <v>70</v>
      </c>
      <c r="H78" s="2" t="n">
        <f aca="false">MIN(H77+1,G78+1,G77+IF($A78=H$4,0,1))</f>
        <v>70</v>
      </c>
      <c r="I78" s="2" t="n">
        <f aca="false">MIN(I77+1,H78+1,H77+IF($A78=I$4,0,1))</f>
        <v>70</v>
      </c>
      <c r="J78" s="2" t="n">
        <f aca="false">MIN(J77+1,I78+1,I77+IF($A78=J$4,0,1))</f>
        <v>70</v>
      </c>
      <c r="K78" s="2" t="n">
        <f aca="false">MIN(K77+1,J78+1,J77+IF($A78=K$4,0,1))</f>
        <v>69</v>
      </c>
      <c r="L78" s="2" t="n">
        <f aca="false">MIN(L77+1,K78+1,K77+IF($A78=L$4,0,1))</f>
        <v>69</v>
      </c>
      <c r="M78" s="2" t="n">
        <f aca="false">MIN(M77+1,L78+1,L77+IF($A78=M$4,0,1))</f>
        <v>69</v>
      </c>
      <c r="N78" s="2" t="n">
        <f aca="false">MIN(N77+1,M78+1,M77+IF($A78=N$4,0,1))</f>
        <v>69</v>
      </c>
      <c r="O78" s="2" t="n">
        <f aca="false">MIN(O77+1,N78+1,N77+IF($A78=O$4,0,1))</f>
        <v>68</v>
      </c>
      <c r="P78" s="2" t="n">
        <f aca="false">MIN(P77+1,O78+1,O77+IF($A78=P$4,0,1))</f>
        <v>68</v>
      </c>
      <c r="Q78" s="2" t="n">
        <f aca="false">MIN(Q77+1,P78+1,P77+IF($A78=Q$4,0,1))</f>
        <v>68</v>
      </c>
      <c r="R78" s="2" t="n">
        <f aca="false">MIN(R77+1,Q78+1,Q77+IF($A78=R$4,0,1))</f>
        <v>68</v>
      </c>
      <c r="S78" s="2" t="n">
        <f aca="false">MIN(S77+1,R78+1,R77+IF($A78=S$4,0,1))</f>
        <v>68</v>
      </c>
      <c r="T78" s="2" t="n">
        <f aca="false">MIN(T77+1,S78+1,S77+IF($A78=T$4,0,1))</f>
        <v>68</v>
      </c>
      <c r="U78" s="2" t="n">
        <f aca="false">MIN(U77+1,T78+1,T77+IF($A78=U$4,0,1))</f>
        <v>67</v>
      </c>
      <c r="V78" s="2" t="n">
        <f aca="false">MIN(V77+1,U78+1,U77+IF($A78=V$4,0,1))</f>
        <v>67</v>
      </c>
      <c r="W78" s="2" t="n">
        <f aca="false">MIN(W77+1,V78+1,V77+IF($A78=W$4,0,1))</f>
        <v>67</v>
      </c>
      <c r="X78" s="2" t="n">
        <f aca="false">MIN(X77+1,W78+1,W77+IF($A78=X$4,0,1))</f>
        <v>68</v>
      </c>
      <c r="Y78" s="2" t="n">
        <f aca="false">MIN(Y77+1,X78+1,X77+IF($A78=Y$4,0,1))</f>
        <v>68</v>
      </c>
      <c r="Z78" s="2" t="n">
        <f aca="false">MIN(Z77+1,Y78+1,Y77+IF($A78=Z$4,0,1))</f>
        <v>68</v>
      </c>
      <c r="AA78" s="2" t="n">
        <f aca="false">MIN(AA77+1,Z78+1,Z77+IF($A78=AA$4,0,1))</f>
        <v>68</v>
      </c>
      <c r="AB78" s="2" t="n">
        <f aca="false">MIN(AB77+1,AA78+1,AA77+IF($A78=AB$4,0,1))</f>
        <v>68</v>
      </c>
      <c r="AC78" s="2" t="n">
        <f aca="false">MIN(AC77+1,AB78+1,AB77+IF($A78=AC$4,0,1))</f>
        <v>68</v>
      </c>
      <c r="AD78" s="2" t="n">
        <f aca="false">MIN(AD77+1,AC78+1,AC77+IF($A78=AD$4,0,1))</f>
        <v>68</v>
      </c>
      <c r="AE78" s="2" t="n">
        <f aca="false">MIN(AE77+1,AD78+1,AD77+IF($A78=AE$4,0,1))</f>
        <v>68</v>
      </c>
      <c r="AF78" s="2" t="n">
        <f aca="false">MIN(AF77+1,AE78+1,AE77+IF($A78=AF$4,0,1))</f>
        <v>68</v>
      </c>
      <c r="AG78" s="2" t="n">
        <f aca="false">MIN(AG77+1,AF78+1,AF77+IF($A78=AG$4,0,1))</f>
        <v>68</v>
      </c>
      <c r="AH78" s="2" t="n">
        <f aca="false">MIN(AH77+1,AG78+1,AG77+IF($A78=AH$4,0,1))</f>
        <v>68</v>
      </c>
      <c r="AI78" s="2" t="n">
        <f aca="false">MIN(AI77+1,AH78+1,AH77+IF($A78=AI$4,0,1))</f>
        <v>68</v>
      </c>
      <c r="AJ78" s="2" t="n">
        <f aca="false">MIN(AJ77+1,AI78+1,AI77+IF($A78=AJ$4,0,1))</f>
        <v>68</v>
      </c>
      <c r="AK78" s="2" t="n">
        <f aca="false">MIN(AK77+1,AJ78+1,AJ77+IF($A78=AK$4,0,1))</f>
        <v>68</v>
      </c>
      <c r="AL78" s="2" t="n">
        <f aca="false">MIN(AL77+1,AK78+1,AK77+IF($A78=AL$4,0,1))</f>
        <v>68</v>
      </c>
      <c r="AM78" s="2" t="n">
        <f aca="false">MIN(AM77+1,AL78+1,AL77+IF($A78=AM$4,0,1))</f>
        <v>68</v>
      </c>
      <c r="AN78" s="2" t="n">
        <f aca="false">MIN(AN77+1,AM78+1,AM77+IF($A78=AN$4,0,1))</f>
        <v>68</v>
      </c>
      <c r="AO78" s="2" t="n">
        <f aca="false">MIN(AO77+1,AN78+1,AN77+IF($A78=AO$4,0,1))</f>
        <v>68</v>
      </c>
      <c r="AP78" s="2" t="n">
        <f aca="false">MIN(AP77+1,AO78+1,AO77+IF($A78=AP$4,0,1))</f>
        <v>68</v>
      </c>
      <c r="AQ78" s="2" t="n">
        <f aca="false">MIN(AQ77+1,AP78+1,AP77+IF($A78=AQ$4,0,1))</f>
        <v>69</v>
      </c>
      <c r="AR78" s="2" t="n">
        <f aca="false">MIN(AR77+1,AQ78+1,AQ77+IF($A78=AR$4,0,1))</f>
        <v>69</v>
      </c>
      <c r="AS78" s="2" t="n">
        <f aca="false">MIN(AS77+1,AR78+1,AR77+IF($A78=AS$4,0,1))</f>
        <v>69</v>
      </c>
      <c r="AT78" s="2" t="n">
        <f aca="false">MIN(AT77+1,AS78+1,AS77+IF($A78=AT$4,0,1))</f>
        <v>69</v>
      </c>
      <c r="AU78" s="2" t="n">
        <f aca="false">MIN(AU77+1,AT78+1,AT77+IF($A78=AU$4,0,1))</f>
        <v>69</v>
      </c>
      <c r="AV78" s="2" t="n">
        <f aca="false">MIN(AV77+1,AU78+1,AU77+IF($A78=AV$4,0,1))</f>
        <v>69</v>
      </c>
      <c r="AW78" s="2" t="n">
        <f aca="false">MIN(AW77+1,AV78+1,AV77+IF($A78=AW$4,0,1))</f>
        <v>69</v>
      </c>
      <c r="AX78" s="2" t="n">
        <f aca="false">MIN(AX77+1,AW78+1,AW77+IF($A78=AX$4,0,1))</f>
        <v>69</v>
      </c>
      <c r="AY78" s="2" t="n">
        <f aca="false">MIN(AY77+1,AX78+1,AX77+IF($A78=AY$4,0,1))</f>
        <v>69</v>
      </c>
      <c r="AZ78" s="2" t="n">
        <f aca="false">MIN(AZ77+1,AY78+1,AY77+IF($A78=AZ$4,0,1))</f>
        <v>69</v>
      </c>
      <c r="BA78" s="2" t="n">
        <f aca="false">MIN(BA77+1,AZ78+1,AZ77+IF($A78=BA$4,0,1))</f>
        <v>69</v>
      </c>
      <c r="BB78" s="2" t="n">
        <f aca="false">MIN(BB77+1,BA78+1,BA77+IF($A78=BB$4,0,1))</f>
        <v>69</v>
      </c>
      <c r="BC78" s="2" t="n">
        <f aca="false">MIN(BC77+1,BB78+1,BB77+IF($A78=BC$4,0,1))</f>
        <v>69</v>
      </c>
      <c r="BD78" s="2" t="n">
        <f aca="false">MIN(BD77+1,BC78+1,BC77+IF($A78=BD$4,0,1))</f>
        <v>69</v>
      </c>
      <c r="BE78" s="2" t="n">
        <f aca="false">MIN(BE77+1,BD78+1,BD77+IF($A78=BE$4,0,1))</f>
        <v>69</v>
      </c>
      <c r="BF78" s="2" t="n">
        <f aca="false">MIN(BF77+1,BE78+1,BE77+IF($A78=BF$4,0,1))</f>
        <v>69</v>
      </c>
      <c r="BG78" s="2" t="n">
        <f aca="false">MIN(BG77+1,BF78+1,BF77+IF($A78=BG$4,0,1))</f>
        <v>69</v>
      </c>
      <c r="BH78" s="2" t="n">
        <f aca="false">MIN(BH77+1,BG78+1,BG77+IF($A78=BH$4,0,1))</f>
        <v>69</v>
      </c>
      <c r="BI78" s="2" t="n">
        <f aca="false">MIN(BI77+1,BH78+1,BH77+IF($A78=BI$4,0,1))</f>
        <v>69</v>
      </c>
      <c r="BJ78" s="2" t="n">
        <f aca="false">MIN(BJ77+1,BI78+1,BI77+IF($A78=BJ$4,0,1))</f>
        <v>69</v>
      </c>
      <c r="BK78" s="2" t="n">
        <f aca="false">MIN(BK77+1,BJ78+1,BJ77+IF($A78=BK$4,0,1))</f>
        <v>69</v>
      </c>
      <c r="BL78" s="2" t="n">
        <f aca="false">MIN(BL77+1,BK78+1,BK77+IF($A78=BL$4,0,1))</f>
        <v>69</v>
      </c>
      <c r="BM78" s="2" t="n">
        <f aca="false">MIN(BM77+1,BL78+1,BL77+IF($A78=BM$4,0,1))</f>
        <v>70</v>
      </c>
      <c r="BN78" s="2" t="n">
        <f aca="false">MIN(BN77+1,BM78+1,BM77+IF($A78=BN$4,0,1))</f>
        <v>70</v>
      </c>
      <c r="BO78" s="2" t="n">
        <f aca="false">MIN(BO77+1,BN78+1,BN77+IF($A78=BO$4,0,1))</f>
        <v>70</v>
      </c>
      <c r="BP78" s="2" t="n">
        <f aca="false">MIN(BP77+1,BO78+1,BO77+IF($A78=BP$4,0,1))</f>
        <v>70</v>
      </c>
      <c r="BQ78" s="2" t="n">
        <f aca="false">MIN(BQ77+1,BP78+1,BP77+IF($A78=BQ$4,0,1))</f>
        <v>70</v>
      </c>
      <c r="BR78" s="2" t="n">
        <f aca="false">MIN(BR77+1,BQ78+1,BQ77+IF($A78=BR$4,0,1))</f>
        <v>70</v>
      </c>
      <c r="BS78" s="2" t="n">
        <f aca="false">MIN(BS77+1,BR78+1,BR77+IF($A78=BS$4,0,1))</f>
        <v>70</v>
      </c>
      <c r="BT78" s="2" t="n">
        <f aca="false">MIN(BT77+1,BS78+1,BS77+IF($A78=BT$4,0,1))</f>
        <v>70</v>
      </c>
      <c r="BU78" s="2" t="n">
        <f aca="false">MIN(BU77+1,BT78+1,BT77+IF($A78=BU$4,0,1))</f>
        <v>70</v>
      </c>
      <c r="BV78" s="2" t="n">
        <f aca="false">MIN(BV77+1,BU78+1,BU77+IF($A78=BV$4,0,1))</f>
        <v>70</v>
      </c>
      <c r="BW78" s="2" t="n">
        <f aca="false">MIN(BW77+1,BV78+1,BV77+IF($A78=BW$4,0,1))</f>
        <v>70</v>
      </c>
      <c r="BX78" s="2" t="n">
        <f aca="false">MIN(BX77+1,BW78+1,BW77+IF($A78=BX$4,0,1))</f>
        <v>70</v>
      </c>
      <c r="BY78" s="2" t="n">
        <f aca="false">MIN(BY77+1,BX78+1,BX77+IF($A78=BY$4,0,1))</f>
        <v>71</v>
      </c>
      <c r="BZ78" s="2" t="n">
        <f aca="false">MIN(BZ77+1,BY78+1,BY77+IF($A78=BZ$4,0,1))</f>
        <v>72</v>
      </c>
      <c r="CA78" s="2" t="n">
        <f aca="false">MIN(CA77+1,BZ78+1,BZ77+IF($A78=CA$4,0,1))</f>
        <v>73</v>
      </c>
      <c r="CB78" s="2" t="n">
        <f aca="false">MIN(CB77+1,CA78+1,CA77+IF($A78=CB$4,0,1))</f>
        <v>74</v>
      </c>
      <c r="CC78" s="2" t="n">
        <f aca="false">MIN(CC77+1,CB78+1,CB77+IF($A78=CC$4,0,1))</f>
        <v>75</v>
      </c>
      <c r="CD78" s="2" t="n">
        <f aca="false">MIN(CD77+1,CC78+1,CC77+IF($A78=CD$4,0,1))</f>
        <v>76</v>
      </c>
      <c r="CE78" s="2" t="n">
        <f aca="false">MIN(CE77+1,CD78+1,CD77+IF($A78=CE$4,0,1))</f>
        <v>77</v>
      </c>
      <c r="CF78" s="2" t="n">
        <f aca="false">MIN(CF77+1,CE78+1,CE77+IF($A78=CF$4,0,1))</f>
        <v>78</v>
      </c>
      <c r="CG78" s="2" t="n">
        <f aca="false">MIN(CG77+1,CF78+1,CF77+IF($A78=CG$4,0,1))</f>
        <v>79</v>
      </c>
      <c r="CH78" s="2" t="n">
        <f aca="false">MIN(CH77+1,CG78+1,CG77+IF($A78=CH$4,0,1))</f>
        <v>80</v>
      </c>
      <c r="CI78" s="2" t="n">
        <f aca="false">MIN(CI77+1,CH78+1,CH77+IF($A78=CI$4,0,1))</f>
        <v>81</v>
      </c>
      <c r="CJ78" s="2" t="n">
        <f aca="false">MIN(CJ77+1,CI78+1,CI77+IF($A78=CJ$4,0,1))</f>
        <v>82</v>
      </c>
      <c r="CK78" s="2" t="n">
        <f aca="false">MIN(CK77+1,CJ78+1,CJ77+IF($A78=CK$4,0,1))</f>
        <v>83</v>
      </c>
      <c r="CL78" s="2" t="n">
        <f aca="false">MIN(CL77+1,CK78+1,CK77+IF($A78=CL$4,0,1))</f>
        <v>84</v>
      </c>
      <c r="CM78" s="2" t="n">
        <f aca="false">MIN(CM77+1,CL78+1,CL77+IF($A78=CM$4,0,1))</f>
        <v>85</v>
      </c>
      <c r="CN78" s="2" t="n">
        <f aca="false">MIN(CN77+1,CM78+1,CM77+IF($A78=CN$4,0,1))</f>
        <v>86</v>
      </c>
      <c r="CO78" s="2" t="n">
        <f aca="false">MIN(CO77+1,CN78+1,CN77+IF($A78=CO$4,0,1))</f>
        <v>86</v>
      </c>
      <c r="CP78" s="2" t="n">
        <f aca="false">MIN(CP77+1,CO78+1,CO77+IF($A78=CP$4,0,1))</f>
        <v>87</v>
      </c>
      <c r="CQ78" s="2" t="n">
        <f aca="false">MIN(CQ77+1,CP78+1,CP77+IF($A78=CQ$4,0,1))</f>
        <v>88</v>
      </c>
    </row>
    <row r="79" customFormat="false" ht="15" hidden="false" customHeight="false" outlineLevel="0" collapsed="false">
      <c r="A79" s="4" t="s">
        <v>89</v>
      </c>
      <c r="B79" s="12" t="n">
        <v>74</v>
      </c>
      <c r="C79" s="2" t="n">
        <f aca="false">MIN(C78+1,B79+1,B78+IF($A79=C$4,0,1))</f>
        <v>74</v>
      </c>
      <c r="D79" s="2" t="n">
        <f aca="false">MIN(D78+1,C79+1,C78+IF($A79=D$4,0,1))</f>
        <v>73</v>
      </c>
      <c r="E79" s="2" t="n">
        <f aca="false">MIN(E78+1,D79+1,D78+IF($A79=E$4,0,1))</f>
        <v>72</v>
      </c>
      <c r="F79" s="2" t="n">
        <f aca="false">MIN(F78+1,E79+1,E78+IF($A79=F$4,0,1))</f>
        <v>71</v>
      </c>
      <c r="G79" s="2" t="n">
        <f aca="false">MIN(G78+1,F79+1,F78+IF($A79=G$4,0,1))</f>
        <v>71</v>
      </c>
      <c r="H79" s="2" t="n">
        <f aca="false">MIN(H78+1,G79+1,G78+IF($A79=H$4,0,1))</f>
        <v>71</v>
      </c>
      <c r="I79" s="2" t="n">
        <f aca="false">MIN(I78+1,H79+1,H78+IF($A79=I$4,0,1))</f>
        <v>71</v>
      </c>
      <c r="J79" s="2" t="n">
        <f aca="false">MIN(J78+1,I79+1,I78+IF($A79=J$4,0,1))</f>
        <v>71</v>
      </c>
      <c r="K79" s="2" t="n">
        <f aca="false">MIN(K78+1,J79+1,J78+IF($A79=K$4,0,1))</f>
        <v>70</v>
      </c>
      <c r="L79" s="2" t="n">
        <f aca="false">MIN(L78+1,K79+1,K78+IF($A79=L$4,0,1))</f>
        <v>70</v>
      </c>
      <c r="M79" s="2" t="n">
        <f aca="false">MIN(M78+1,L79+1,L78+IF($A79=M$4,0,1))</f>
        <v>70</v>
      </c>
      <c r="N79" s="2" t="n">
        <f aca="false">MIN(N78+1,M79+1,M78+IF($A79=N$4,0,1))</f>
        <v>70</v>
      </c>
      <c r="O79" s="2" t="n">
        <f aca="false">MIN(O78+1,N79+1,N78+IF($A79=O$4,0,1))</f>
        <v>69</v>
      </c>
      <c r="P79" s="2" t="n">
        <f aca="false">MIN(P78+1,O79+1,O78+IF($A79=P$4,0,1))</f>
        <v>69</v>
      </c>
      <c r="Q79" s="2" t="n">
        <f aca="false">MIN(Q78+1,P79+1,P78+IF($A79=Q$4,0,1))</f>
        <v>69</v>
      </c>
      <c r="R79" s="2" t="n">
        <f aca="false">MIN(R78+1,Q79+1,Q78+IF($A79=R$4,0,1))</f>
        <v>69</v>
      </c>
      <c r="S79" s="2" t="n">
        <f aca="false">MIN(S78+1,R79+1,R78+IF($A79=S$4,0,1))</f>
        <v>69</v>
      </c>
      <c r="T79" s="2" t="n">
        <f aca="false">MIN(T78+1,S79+1,S78+IF($A79=T$4,0,1))</f>
        <v>69</v>
      </c>
      <c r="U79" s="2" t="n">
        <f aca="false">MIN(U78+1,T79+1,T78+IF($A79=U$4,0,1))</f>
        <v>68</v>
      </c>
      <c r="V79" s="2" t="n">
        <f aca="false">MIN(V78+1,U79+1,U78+IF($A79=V$4,0,1))</f>
        <v>68</v>
      </c>
      <c r="W79" s="2" t="n">
        <f aca="false">MIN(W78+1,V79+1,V78+IF($A79=W$4,0,1))</f>
        <v>68</v>
      </c>
      <c r="X79" s="2" t="n">
        <f aca="false">MIN(X78+1,W79+1,W78+IF($A79=X$4,0,1))</f>
        <v>68</v>
      </c>
      <c r="Y79" s="2" t="n">
        <f aca="false">MIN(Y78+1,X79+1,X78+IF($A79=Y$4,0,1))</f>
        <v>69</v>
      </c>
      <c r="Z79" s="2" t="n">
        <f aca="false">MIN(Z78+1,Y79+1,Y78+IF($A79=Z$4,0,1))</f>
        <v>69</v>
      </c>
      <c r="AA79" s="2" t="n">
        <f aca="false">MIN(AA78+1,Z79+1,Z78+IF($A79=AA$4,0,1))</f>
        <v>69</v>
      </c>
      <c r="AB79" s="2" t="n">
        <f aca="false">MIN(AB78+1,AA79+1,AA78+IF($A79=AB$4,0,1))</f>
        <v>69</v>
      </c>
      <c r="AC79" s="2" t="n">
        <f aca="false">MIN(AC78+1,AB79+1,AB78+IF($A79=AC$4,0,1))</f>
        <v>69</v>
      </c>
      <c r="AD79" s="2" t="n">
        <f aca="false">MIN(AD78+1,AC79+1,AC78+IF($A79=AD$4,0,1))</f>
        <v>69</v>
      </c>
      <c r="AE79" s="2" t="n">
        <f aca="false">MIN(AE78+1,AD79+1,AD78+IF($A79=AE$4,0,1))</f>
        <v>69</v>
      </c>
      <c r="AF79" s="2" t="n">
        <f aca="false">MIN(AF78+1,AE79+1,AE78+IF($A79=AF$4,0,1))</f>
        <v>69</v>
      </c>
      <c r="AG79" s="2" t="n">
        <f aca="false">MIN(AG78+1,AF79+1,AF78+IF($A79=AG$4,0,1))</f>
        <v>69</v>
      </c>
      <c r="AH79" s="2" t="n">
        <f aca="false">MIN(AH78+1,AG79+1,AG78+IF($A79=AH$4,0,1))</f>
        <v>69</v>
      </c>
      <c r="AI79" s="2" t="n">
        <f aca="false">MIN(AI78+1,AH79+1,AH78+IF($A79=AI$4,0,1))</f>
        <v>69</v>
      </c>
      <c r="AJ79" s="2" t="n">
        <f aca="false">MIN(AJ78+1,AI79+1,AI78+IF($A79=AJ$4,0,1))</f>
        <v>69</v>
      </c>
      <c r="AK79" s="2" t="n">
        <f aca="false">MIN(AK78+1,AJ79+1,AJ78+IF($A79=AK$4,0,1))</f>
        <v>69</v>
      </c>
      <c r="AL79" s="2" t="n">
        <f aca="false">MIN(AL78+1,AK79+1,AK78+IF($A79=AL$4,0,1))</f>
        <v>69</v>
      </c>
      <c r="AM79" s="2" t="n">
        <f aca="false">MIN(AM78+1,AL79+1,AL78+IF($A79=AM$4,0,1))</f>
        <v>69</v>
      </c>
      <c r="AN79" s="2" t="n">
        <f aca="false">MIN(AN78+1,AM79+1,AM78+IF($A79=AN$4,0,1))</f>
        <v>69</v>
      </c>
      <c r="AO79" s="2" t="n">
        <f aca="false">MIN(AO78+1,AN79+1,AN78+IF($A79=AO$4,0,1))</f>
        <v>69</v>
      </c>
      <c r="AP79" s="2" t="n">
        <f aca="false">MIN(AP78+1,AO79+1,AO78+IF($A79=AP$4,0,1))</f>
        <v>69</v>
      </c>
      <c r="AQ79" s="2" t="n">
        <f aca="false">MIN(AQ78+1,AP79+1,AP78+IF($A79=AQ$4,0,1))</f>
        <v>69</v>
      </c>
      <c r="AR79" s="2" t="n">
        <f aca="false">MIN(AR78+1,AQ79+1,AQ78+IF($A79=AR$4,0,1))</f>
        <v>70</v>
      </c>
      <c r="AS79" s="2" t="n">
        <f aca="false">MIN(AS78+1,AR79+1,AR78+IF($A79=AS$4,0,1))</f>
        <v>70</v>
      </c>
      <c r="AT79" s="2" t="n">
        <f aca="false">MIN(AT78+1,AS79+1,AS78+IF($A79=AT$4,0,1))</f>
        <v>70</v>
      </c>
      <c r="AU79" s="2" t="n">
        <f aca="false">MIN(AU78+1,AT79+1,AT78+IF($A79=AU$4,0,1))</f>
        <v>70</v>
      </c>
      <c r="AV79" s="2" t="n">
        <f aca="false">MIN(AV78+1,AU79+1,AU78+IF($A79=AV$4,0,1))</f>
        <v>70</v>
      </c>
      <c r="AW79" s="2" t="n">
        <f aca="false">MIN(AW78+1,AV79+1,AV78+IF($A79=AW$4,0,1))</f>
        <v>70</v>
      </c>
      <c r="AX79" s="2" t="n">
        <f aca="false">MIN(AX78+1,AW79+1,AW78+IF($A79=AX$4,0,1))</f>
        <v>70</v>
      </c>
      <c r="AY79" s="2" t="n">
        <f aca="false">MIN(AY78+1,AX79+1,AX78+IF($A79=AY$4,0,1))</f>
        <v>70</v>
      </c>
      <c r="AZ79" s="2" t="n">
        <f aca="false">MIN(AZ78+1,AY79+1,AY78+IF($A79=AZ$4,0,1))</f>
        <v>70</v>
      </c>
      <c r="BA79" s="2" t="n">
        <f aca="false">MIN(BA78+1,AZ79+1,AZ78+IF($A79=BA$4,0,1))</f>
        <v>70</v>
      </c>
      <c r="BB79" s="2" t="n">
        <f aca="false">MIN(BB78+1,BA79+1,BA78+IF($A79=BB$4,0,1))</f>
        <v>70</v>
      </c>
      <c r="BC79" s="2" t="n">
        <f aca="false">MIN(BC78+1,BB79+1,BB78+IF($A79=BC$4,0,1))</f>
        <v>70</v>
      </c>
      <c r="BD79" s="2" t="n">
        <f aca="false">MIN(BD78+1,BC79+1,BC78+IF($A79=BD$4,0,1))</f>
        <v>70</v>
      </c>
      <c r="BE79" s="2" t="n">
        <f aca="false">MIN(BE78+1,BD79+1,BD78+IF($A79=BE$4,0,1))</f>
        <v>70</v>
      </c>
      <c r="BF79" s="2" t="n">
        <f aca="false">MIN(BF78+1,BE79+1,BE78+IF($A79=BF$4,0,1))</f>
        <v>70</v>
      </c>
      <c r="BG79" s="2" t="n">
        <f aca="false">MIN(BG78+1,BF79+1,BF78+IF($A79=BG$4,0,1))</f>
        <v>70</v>
      </c>
      <c r="BH79" s="2" t="n">
        <f aca="false">MIN(BH78+1,BG79+1,BG78+IF($A79=BH$4,0,1))</f>
        <v>70</v>
      </c>
      <c r="BI79" s="2" t="n">
        <f aca="false">MIN(BI78+1,BH79+1,BH78+IF($A79=BI$4,0,1))</f>
        <v>70</v>
      </c>
      <c r="BJ79" s="2" t="n">
        <f aca="false">MIN(BJ78+1,BI79+1,BI78+IF($A79=BJ$4,0,1))</f>
        <v>70</v>
      </c>
      <c r="BK79" s="2" t="n">
        <f aca="false">MIN(BK78+1,BJ79+1,BJ78+IF($A79=BK$4,0,1))</f>
        <v>70</v>
      </c>
      <c r="BL79" s="2" t="n">
        <f aca="false">MIN(BL78+1,BK79+1,BK78+IF($A79=BL$4,0,1))</f>
        <v>69</v>
      </c>
      <c r="BM79" s="2" t="n">
        <f aca="false">MIN(BM78+1,BL79+1,BL78+IF($A79=BM$4,0,1))</f>
        <v>70</v>
      </c>
      <c r="BN79" s="2" t="n">
        <f aca="false">MIN(BN78+1,BM79+1,BM78+IF($A79=BN$4,0,1))</f>
        <v>71</v>
      </c>
      <c r="BO79" s="2" t="n">
        <f aca="false">MIN(BO78+1,BN79+1,BN78+IF($A79=BO$4,0,1))</f>
        <v>71</v>
      </c>
      <c r="BP79" s="2" t="n">
        <f aca="false">MIN(BP78+1,BO79+1,BO78+IF($A79=BP$4,0,1))</f>
        <v>71</v>
      </c>
      <c r="BQ79" s="2" t="n">
        <f aca="false">MIN(BQ78+1,BP79+1,BP78+IF($A79=BQ$4,0,1))</f>
        <v>71</v>
      </c>
      <c r="BR79" s="2" t="n">
        <f aca="false">MIN(BR78+1,BQ79+1,BQ78+IF($A79=BR$4,0,1))</f>
        <v>71</v>
      </c>
      <c r="BS79" s="2" t="n">
        <f aca="false">MIN(BS78+1,BR79+1,BR78+IF($A79=BS$4,0,1))</f>
        <v>71</v>
      </c>
      <c r="BT79" s="2" t="n">
        <f aca="false">MIN(BT78+1,BS79+1,BS78+IF($A79=BT$4,0,1))</f>
        <v>71</v>
      </c>
      <c r="BU79" s="2" t="n">
        <f aca="false">MIN(BU78+1,BT79+1,BT78+IF($A79=BU$4,0,1))</f>
        <v>71</v>
      </c>
      <c r="BV79" s="2" t="n">
        <f aca="false">MIN(BV78+1,BU79+1,BU78+IF($A79=BV$4,0,1))</f>
        <v>71</v>
      </c>
      <c r="BW79" s="2" t="n">
        <f aca="false">MIN(BW78+1,BV79+1,BV78+IF($A79=BW$4,0,1))</f>
        <v>71</v>
      </c>
      <c r="BX79" s="2" t="n">
        <f aca="false">MIN(BX78+1,BW79+1,BW78+IF($A79=BX$4,0,1))</f>
        <v>71</v>
      </c>
      <c r="BY79" s="2" t="n">
        <f aca="false">MIN(BY78+1,BX79+1,BX78+IF($A79=BY$4,0,1))</f>
        <v>71</v>
      </c>
      <c r="BZ79" s="2" t="n">
        <f aca="false">MIN(BZ78+1,BY79+1,BY78+IF($A79=BZ$4,0,1))</f>
        <v>72</v>
      </c>
      <c r="CA79" s="2" t="n">
        <f aca="false">MIN(CA78+1,BZ79+1,BZ78+IF($A79=CA$4,0,1))</f>
        <v>73</v>
      </c>
      <c r="CB79" s="2" t="n">
        <f aca="false">MIN(CB78+1,CA79+1,CA78+IF($A79=CB$4,0,1))</f>
        <v>74</v>
      </c>
      <c r="CC79" s="2" t="n">
        <f aca="false">MIN(CC78+1,CB79+1,CB78+IF($A79=CC$4,0,1))</f>
        <v>75</v>
      </c>
      <c r="CD79" s="2" t="n">
        <f aca="false">MIN(CD78+1,CC79+1,CC78+IF($A79=CD$4,0,1))</f>
        <v>76</v>
      </c>
      <c r="CE79" s="2" t="n">
        <f aca="false">MIN(CE78+1,CD79+1,CD78+IF($A79=CE$4,0,1))</f>
        <v>77</v>
      </c>
      <c r="CF79" s="2" t="n">
        <f aca="false">MIN(CF78+1,CE79+1,CE78+IF($A79=CF$4,0,1))</f>
        <v>78</v>
      </c>
      <c r="CG79" s="2" t="n">
        <f aca="false">MIN(CG78+1,CF79+1,CF78+IF($A79=CG$4,0,1))</f>
        <v>79</v>
      </c>
      <c r="CH79" s="2" t="n">
        <f aca="false">MIN(CH78+1,CG79+1,CG78+IF($A79=CH$4,0,1))</f>
        <v>80</v>
      </c>
      <c r="CI79" s="2" t="n">
        <f aca="false">MIN(CI78+1,CH79+1,CH78+IF($A79=CI$4,0,1))</f>
        <v>81</v>
      </c>
      <c r="CJ79" s="2" t="n">
        <f aca="false">MIN(CJ78+1,CI79+1,CI78+IF($A79=CJ$4,0,1))</f>
        <v>82</v>
      </c>
      <c r="CK79" s="2" t="n">
        <f aca="false">MIN(CK78+1,CJ79+1,CJ78+IF($A79=CK$4,0,1))</f>
        <v>83</v>
      </c>
      <c r="CL79" s="2" t="n">
        <f aca="false">MIN(CL78+1,CK79+1,CK78+IF($A79=CL$4,0,1))</f>
        <v>84</v>
      </c>
      <c r="CM79" s="2" t="n">
        <f aca="false">MIN(CM78+1,CL79+1,CL78+IF($A79=CM$4,0,1))</f>
        <v>85</v>
      </c>
      <c r="CN79" s="2" t="n">
        <f aca="false">MIN(CN78+1,CM79+1,CM78+IF($A79=CN$4,0,1))</f>
        <v>86</v>
      </c>
      <c r="CO79" s="2" t="n">
        <f aca="false">MIN(CO78+1,CN79+1,CN78+IF($A79=CO$4,0,1))</f>
        <v>87</v>
      </c>
      <c r="CP79" s="2" t="n">
        <f aca="false">MIN(CP78+1,CO79+1,CO78+IF($A79=CP$4,0,1))</f>
        <v>87</v>
      </c>
      <c r="CQ79" s="2" t="n">
        <f aca="false">MIN(CQ78+1,CP79+1,CP78+IF($A79=CQ$4,0,1))</f>
        <v>88</v>
      </c>
    </row>
    <row r="80" customFormat="false" ht="15" hidden="false" customHeight="false" outlineLevel="0" collapsed="false">
      <c r="A80" s="4" t="s">
        <v>67</v>
      </c>
      <c r="B80" s="12" t="n">
        <v>75</v>
      </c>
      <c r="C80" s="2" t="n">
        <f aca="false">MIN(C79+1,B80+1,B79+IF($A80=C$4,0,1))</f>
        <v>75</v>
      </c>
      <c r="D80" s="2" t="n">
        <f aca="false">MIN(D79+1,C80+1,C79+IF($A80=D$4,0,1))</f>
        <v>74</v>
      </c>
      <c r="E80" s="2" t="n">
        <f aca="false">MIN(E79+1,D80+1,D79+IF($A80=E$4,0,1))</f>
        <v>73</v>
      </c>
      <c r="F80" s="2" t="n">
        <f aca="false">MIN(F79+1,E80+1,E79+IF($A80=F$4,0,1))</f>
        <v>72</v>
      </c>
      <c r="G80" s="2" t="n">
        <f aca="false">MIN(G79+1,F80+1,F79+IF($A80=G$4,0,1))</f>
        <v>72</v>
      </c>
      <c r="H80" s="2" t="n">
        <f aca="false">MIN(H79+1,G80+1,G79+IF($A80=H$4,0,1))</f>
        <v>72</v>
      </c>
      <c r="I80" s="2" t="n">
        <f aca="false">MIN(I79+1,H80+1,H79+IF($A80=I$4,0,1))</f>
        <v>72</v>
      </c>
      <c r="J80" s="2" t="n">
        <f aca="false">MIN(J79+1,I80+1,I79+IF($A80=J$4,0,1))</f>
        <v>72</v>
      </c>
      <c r="K80" s="2" t="n">
        <f aca="false">MIN(K79+1,J80+1,J79+IF($A80=K$4,0,1))</f>
        <v>71</v>
      </c>
      <c r="L80" s="2" t="n">
        <f aca="false">MIN(L79+1,K80+1,K79+IF($A80=L$4,0,1))</f>
        <v>71</v>
      </c>
      <c r="M80" s="2" t="n">
        <f aca="false">MIN(M79+1,L80+1,L79+IF($A80=M$4,0,1))</f>
        <v>71</v>
      </c>
      <c r="N80" s="2" t="n">
        <f aca="false">MIN(N79+1,M80+1,M79+IF($A80=N$4,0,1))</f>
        <v>71</v>
      </c>
      <c r="O80" s="2" t="n">
        <f aca="false">MIN(O79+1,N80+1,N79+IF($A80=O$4,0,1))</f>
        <v>70</v>
      </c>
      <c r="P80" s="2" t="n">
        <f aca="false">MIN(P79+1,O80+1,O79+IF($A80=P$4,0,1))</f>
        <v>70</v>
      </c>
      <c r="Q80" s="2" t="n">
        <f aca="false">MIN(Q79+1,P80+1,P79+IF($A80=Q$4,0,1))</f>
        <v>70</v>
      </c>
      <c r="R80" s="2" t="n">
        <f aca="false">MIN(R79+1,Q80+1,Q79+IF($A80=R$4,0,1))</f>
        <v>70</v>
      </c>
      <c r="S80" s="2" t="n">
        <f aca="false">MIN(S79+1,R80+1,R79+IF($A80=S$4,0,1))</f>
        <v>70</v>
      </c>
      <c r="T80" s="2" t="n">
        <f aca="false">MIN(T79+1,S80+1,S79+IF($A80=T$4,0,1))</f>
        <v>70</v>
      </c>
      <c r="U80" s="2" t="n">
        <f aca="false">MIN(U79+1,T80+1,T79+IF($A80=U$4,0,1))</f>
        <v>69</v>
      </c>
      <c r="V80" s="2" t="n">
        <f aca="false">MIN(V79+1,U80+1,U79+IF($A80=V$4,0,1))</f>
        <v>69</v>
      </c>
      <c r="W80" s="2" t="n">
        <f aca="false">MIN(W79+1,V80+1,V79+IF($A80=W$4,0,1))</f>
        <v>69</v>
      </c>
      <c r="X80" s="2" t="n">
        <f aca="false">MIN(X79+1,W80+1,W79+IF($A80=X$4,0,1))</f>
        <v>69</v>
      </c>
      <c r="Y80" s="2" t="n">
        <f aca="false">MIN(Y79+1,X80+1,X79+IF($A80=Y$4,0,1))</f>
        <v>69</v>
      </c>
      <c r="Z80" s="2" t="n">
        <f aca="false">MIN(Z79+1,Y80+1,Y79+IF($A80=Z$4,0,1))</f>
        <v>70</v>
      </c>
      <c r="AA80" s="2" t="n">
        <f aca="false">MIN(AA79+1,Z80+1,Z79+IF($A80=AA$4,0,1))</f>
        <v>70</v>
      </c>
      <c r="AB80" s="2" t="n">
        <f aca="false">MIN(AB79+1,AA80+1,AA79+IF($A80=AB$4,0,1))</f>
        <v>70</v>
      </c>
      <c r="AC80" s="2" t="n">
        <f aca="false">MIN(AC79+1,AB80+1,AB79+IF($A80=AC$4,0,1))</f>
        <v>70</v>
      </c>
      <c r="AD80" s="2" t="n">
        <f aca="false">MIN(AD79+1,AC80+1,AC79+IF($A80=AD$4,0,1))</f>
        <v>70</v>
      </c>
      <c r="AE80" s="2" t="n">
        <f aca="false">MIN(AE79+1,AD80+1,AD79+IF($A80=AE$4,0,1))</f>
        <v>70</v>
      </c>
      <c r="AF80" s="2" t="n">
        <f aca="false">MIN(AF79+1,AE80+1,AE79+IF($A80=AF$4,0,1))</f>
        <v>70</v>
      </c>
      <c r="AG80" s="2" t="n">
        <f aca="false">MIN(AG79+1,AF80+1,AF79+IF($A80=AG$4,0,1))</f>
        <v>70</v>
      </c>
      <c r="AH80" s="2" t="n">
        <f aca="false">MIN(AH79+1,AG80+1,AG79+IF($A80=AH$4,0,1))</f>
        <v>70</v>
      </c>
      <c r="AI80" s="2" t="n">
        <f aca="false">MIN(AI79+1,AH80+1,AH79+IF($A80=AI$4,0,1))</f>
        <v>70</v>
      </c>
      <c r="AJ80" s="2" t="n">
        <f aca="false">MIN(AJ79+1,AI80+1,AI79+IF($A80=AJ$4,0,1))</f>
        <v>70</v>
      </c>
      <c r="AK80" s="2" t="n">
        <f aca="false">MIN(AK79+1,AJ80+1,AJ79+IF($A80=AK$4,0,1))</f>
        <v>70</v>
      </c>
      <c r="AL80" s="2" t="n">
        <f aca="false">MIN(AL79+1,AK80+1,AK79+IF($A80=AL$4,0,1))</f>
        <v>70</v>
      </c>
      <c r="AM80" s="2" t="n">
        <f aca="false">MIN(AM79+1,AL80+1,AL79+IF($A80=AM$4,0,1))</f>
        <v>70</v>
      </c>
      <c r="AN80" s="2" t="n">
        <f aca="false">MIN(AN79+1,AM80+1,AM79+IF($A80=AN$4,0,1))</f>
        <v>70</v>
      </c>
      <c r="AO80" s="2" t="n">
        <f aca="false">MIN(AO79+1,AN80+1,AN79+IF($A80=AO$4,0,1))</f>
        <v>70</v>
      </c>
      <c r="AP80" s="2" t="n">
        <f aca="false">MIN(AP79+1,AO80+1,AO79+IF($A80=AP$4,0,1))</f>
        <v>70</v>
      </c>
      <c r="AQ80" s="2" t="n">
        <f aca="false">MIN(AQ79+1,AP80+1,AP79+IF($A80=AQ$4,0,1))</f>
        <v>70</v>
      </c>
      <c r="AR80" s="2" t="n">
        <f aca="false">MIN(AR79+1,AQ80+1,AQ79+IF($A80=AR$4,0,1))</f>
        <v>70</v>
      </c>
      <c r="AS80" s="2" t="n">
        <f aca="false">MIN(AS79+1,AR80+1,AR79+IF($A80=AS$4,0,1))</f>
        <v>71</v>
      </c>
      <c r="AT80" s="2" t="n">
        <f aca="false">MIN(AT79+1,AS80+1,AS79+IF($A80=AT$4,0,1))</f>
        <v>71</v>
      </c>
      <c r="AU80" s="2" t="n">
        <f aca="false">MIN(AU79+1,AT80+1,AT79+IF($A80=AU$4,0,1))</f>
        <v>71</v>
      </c>
      <c r="AV80" s="2" t="n">
        <f aca="false">MIN(AV79+1,AU80+1,AU79+IF($A80=AV$4,0,1))</f>
        <v>71</v>
      </c>
      <c r="AW80" s="2" t="n">
        <f aca="false">MIN(AW79+1,AV80+1,AV79+IF($A80=AW$4,0,1))</f>
        <v>71</v>
      </c>
      <c r="AX80" s="2" t="n">
        <f aca="false">MIN(AX79+1,AW80+1,AW79+IF($A80=AX$4,0,1))</f>
        <v>71</v>
      </c>
      <c r="AY80" s="2" t="n">
        <f aca="false">MIN(AY79+1,AX80+1,AX79+IF($A80=AY$4,0,1))</f>
        <v>71</v>
      </c>
      <c r="AZ80" s="2" t="n">
        <f aca="false">MIN(AZ79+1,AY80+1,AY79+IF($A80=AZ$4,0,1))</f>
        <v>71</v>
      </c>
      <c r="BA80" s="2" t="n">
        <f aca="false">MIN(BA79+1,AZ80+1,AZ79+IF($A80=BA$4,0,1))</f>
        <v>71</v>
      </c>
      <c r="BB80" s="2" t="n">
        <f aca="false">MIN(BB79+1,BA80+1,BA79+IF($A80=BB$4,0,1))</f>
        <v>71</v>
      </c>
      <c r="BC80" s="2" t="n">
        <f aca="false">MIN(BC79+1,BB80+1,BB79+IF($A80=BC$4,0,1))</f>
        <v>71</v>
      </c>
      <c r="BD80" s="2" t="n">
        <f aca="false">MIN(BD79+1,BC80+1,BC79+IF($A80=BD$4,0,1))</f>
        <v>71</v>
      </c>
      <c r="BE80" s="2" t="n">
        <f aca="false">MIN(BE79+1,BD80+1,BD79+IF($A80=BE$4,0,1))</f>
        <v>71</v>
      </c>
      <c r="BF80" s="2" t="n">
        <f aca="false">MIN(BF79+1,BE80+1,BE79+IF($A80=BF$4,0,1))</f>
        <v>71</v>
      </c>
      <c r="BG80" s="2" t="n">
        <f aca="false">MIN(BG79+1,BF80+1,BF79+IF($A80=BG$4,0,1))</f>
        <v>71</v>
      </c>
      <c r="BH80" s="2" t="n">
        <f aca="false">MIN(BH79+1,BG80+1,BG79+IF($A80=BH$4,0,1))</f>
        <v>71</v>
      </c>
      <c r="BI80" s="2" t="n">
        <f aca="false">MIN(BI79+1,BH80+1,BH79+IF($A80=BI$4,0,1))</f>
        <v>71</v>
      </c>
      <c r="BJ80" s="2" t="n">
        <f aca="false">MIN(BJ79+1,BI80+1,BI79+IF($A80=BJ$4,0,1))</f>
        <v>71</v>
      </c>
      <c r="BK80" s="2" t="n">
        <f aca="false">MIN(BK79+1,BJ80+1,BJ79+IF($A80=BK$4,0,1))</f>
        <v>71</v>
      </c>
      <c r="BL80" s="2" t="n">
        <f aca="false">MIN(BL79+1,BK80+1,BK79+IF($A80=BL$4,0,1))</f>
        <v>70</v>
      </c>
      <c r="BM80" s="2" t="n">
        <f aca="false">MIN(BM79+1,BL80+1,BL79+IF($A80=BM$4,0,1))</f>
        <v>70</v>
      </c>
      <c r="BN80" s="2" t="n">
        <f aca="false">MIN(BN79+1,BM80+1,BM79+IF($A80=BN$4,0,1))</f>
        <v>71</v>
      </c>
      <c r="BO80" s="2" t="n">
        <f aca="false">MIN(BO79+1,BN80+1,BN79+IF($A80=BO$4,0,1))</f>
        <v>72</v>
      </c>
      <c r="BP80" s="2" t="n">
        <f aca="false">MIN(BP79+1,BO80+1,BO79+IF($A80=BP$4,0,1))</f>
        <v>72</v>
      </c>
      <c r="BQ80" s="2" t="n">
        <f aca="false">MIN(BQ79+1,BP80+1,BP79+IF($A80=BQ$4,0,1))</f>
        <v>72</v>
      </c>
      <c r="BR80" s="2" t="n">
        <f aca="false">MIN(BR79+1,BQ80+1,BQ79+IF($A80=BR$4,0,1))</f>
        <v>72</v>
      </c>
      <c r="BS80" s="2" t="n">
        <f aca="false">MIN(BS79+1,BR80+1,BR79+IF($A80=BS$4,0,1))</f>
        <v>72</v>
      </c>
      <c r="BT80" s="2" t="n">
        <f aca="false">MIN(BT79+1,BS80+1,BS79+IF($A80=BT$4,0,1))</f>
        <v>72</v>
      </c>
      <c r="BU80" s="2" t="n">
        <f aca="false">MIN(BU79+1,BT80+1,BT79+IF($A80=BU$4,0,1))</f>
        <v>72</v>
      </c>
      <c r="BV80" s="2" t="n">
        <f aca="false">MIN(BV79+1,BU80+1,BU79+IF($A80=BV$4,0,1))</f>
        <v>72</v>
      </c>
      <c r="BW80" s="2" t="n">
        <f aca="false">MIN(BW79+1,BV80+1,BV79+IF($A80=BW$4,0,1))</f>
        <v>72</v>
      </c>
      <c r="BX80" s="2" t="n">
        <f aca="false">MIN(BX79+1,BW80+1,BW79+IF($A80=BX$4,0,1))</f>
        <v>72</v>
      </c>
      <c r="BY80" s="2" t="n">
        <f aca="false">MIN(BY79+1,BX80+1,BX79+IF($A80=BY$4,0,1))</f>
        <v>72</v>
      </c>
      <c r="BZ80" s="2" t="n">
        <f aca="false">MIN(BZ79+1,BY80+1,BY79+IF($A80=BZ$4,0,1))</f>
        <v>72</v>
      </c>
      <c r="CA80" s="2" t="n">
        <f aca="false">MIN(CA79+1,BZ80+1,BZ79+IF($A80=CA$4,0,1))</f>
        <v>73</v>
      </c>
      <c r="CB80" s="2" t="n">
        <f aca="false">MIN(CB79+1,CA80+1,CA79+IF($A80=CB$4,0,1))</f>
        <v>74</v>
      </c>
      <c r="CC80" s="2" t="n">
        <f aca="false">MIN(CC79+1,CB80+1,CB79+IF($A80=CC$4,0,1))</f>
        <v>75</v>
      </c>
      <c r="CD80" s="2" t="n">
        <f aca="false">MIN(CD79+1,CC80+1,CC79+IF($A80=CD$4,0,1))</f>
        <v>76</v>
      </c>
      <c r="CE80" s="2" t="n">
        <f aca="false">MIN(CE79+1,CD80+1,CD79+IF($A80=CE$4,0,1))</f>
        <v>77</v>
      </c>
      <c r="CF80" s="2" t="n">
        <f aca="false">MIN(CF79+1,CE80+1,CE79+IF($A80=CF$4,0,1))</f>
        <v>78</v>
      </c>
      <c r="CG80" s="2" t="n">
        <f aca="false">MIN(CG79+1,CF80+1,CF79+IF($A80=CG$4,0,1))</f>
        <v>79</v>
      </c>
      <c r="CH80" s="2" t="n">
        <f aca="false">MIN(CH79+1,CG80+1,CG79+IF($A80=CH$4,0,1))</f>
        <v>80</v>
      </c>
      <c r="CI80" s="2" t="n">
        <f aca="false">MIN(CI79+1,CH80+1,CH79+IF($A80=CI$4,0,1))</f>
        <v>81</v>
      </c>
      <c r="CJ80" s="2" t="n">
        <f aca="false">MIN(CJ79+1,CI80+1,CI79+IF($A80=CJ$4,0,1))</f>
        <v>82</v>
      </c>
      <c r="CK80" s="2" t="n">
        <f aca="false">MIN(CK79+1,CJ80+1,CJ79+IF($A80=CK$4,0,1))</f>
        <v>83</v>
      </c>
      <c r="CL80" s="2" t="n">
        <f aca="false">MIN(CL79+1,CK80+1,CK79+IF($A80=CL$4,0,1))</f>
        <v>84</v>
      </c>
      <c r="CM80" s="2" t="n">
        <f aca="false">MIN(CM79+1,CL80+1,CL79+IF($A80=CM$4,0,1))</f>
        <v>85</v>
      </c>
      <c r="CN80" s="2" t="n">
        <f aca="false">MIN(CN79+1,CM80+1,CM79+IF($A80=CN$4,0,1))</f>
        <v>86</v>
      </c>
      <c r="CO80" s="2" t="n">
        <f aca="false">MIN(CO79+1,CN80+1,CN79+IF($A80=CO$4,0,1))</f>
        <v>87</v>
      </c>
      <c r="CP80" s="2" t="n">
        <f aca="false">MIN(CP79+1,CO80+1,CO79+IF($A80=CP$4,0,1))</f>
        <v>88</v>
      </c>
      <c r="CQ80" s="2" t="n">
        <f aca="false">MIN(CQ79+1,CP80+1,CP79+IF($A80=CQ$4,0,1))</f>
        <v>88</v>
      </c>
    </row>
    <row r="81" customFormat="false" ht="15" hidden="false" customHeight="false" outlineLevel="0" collapsed="false">
      <c r="A81" s="4" t="s">
        <v>92</v>
      </c>
      <c r="B81" s="12" t="n">
        <v>76</v>
      </c>
      <c r="C81" s="2" t="n">
        <f aca="false">MIN(C80+1,B81+1,B80+IF($A81=C$4,0,1))</f>
        <v>76</v>
      </c>
      <c r="D81" s="2" t="n">
        <f aca="false">MIN(D80+1,C81+1,C80+IF($A81=D$4,0,1))</f>
        <v>75</v>
      </c>
      <c r="E81" s="2" t="n">
        <f aca="false">MIN(E80+1,D81+1,D80+IF($A81=E$4,0,1))</f>
        <v>74</v>
      </c>
      <c r="F81" s="2" t="n">
        <f aca="false">MIN(F80+1,E81+1,E80+IF($A81=F$4,0,1))</f>
        <v>73</v>
      </c>
      <c r="G81" s="2" t="n">
        <f aca="false">MIN(G80+1,F81+1,F80+IF($A81=G$4,0,1))</f>
        <v>73</v>
      </c>
      <c r="H81" s="2" t="n">
        <f aca="false">MIN(H80+1,G81+1,G80+IF($A81=H$4,0,1))</f>
        <v>73</v>
      </c>
      <c r="I81" s="2" t="n">
        <f aca="false">MIN(I80+1,H81+1,H80+IF($A81=I$4,0,1))</f>
        <v>73</v>
      </c>
      <c r="J81" s="2" t="n">
        <f aca="false">MIN(J80+1,I81+1,I80+IF($A81=J$4,0,1))</f>
        <v>73</v>
      </c>
      <c r="K81" s="2" t="n">
        <f aca="false">MIN(K80+1,J81+1,J80+IF($A81=K$4,0,1))</f>
        <v>72</v>
      </c>
      <c r="L81" s="2" t="n">
        <f aca="false">MIN(L80+1,K81+1,K80+IF($A81=L$4,0,1))</f>
        <v>72</v>
      </c>
      <c r="M81" s="2" t="n">
        <f aca="false">MIN(M80+1,L81+1,L80+IF($A81=M$4,0,1))</f>
        <v>72</v>
      </c>
      <c r="N81" s="2" t="n">
        <f aca="false">MIN(N80+1,M81+1,M80+IF($A81=N$4,0,1))</f>
        <v>71</v>
      </c>
      <c r="O81" s="2" t="n">
        <f aca="false">MIN(O80+1,N81+1,N80+IF($A81=O$4,0,1))</f>
        <v>71</v>
      </c>
      <c r="P81" s="2" t="n">
        <f aca="false">MIN(P80+1,O81+1,O80+IF($A81=P$4,0,1))</f>
        <v>71</v>
      </c>
      <c r="Q81" s="2" t="n">
        <f aca="false">MIN(Q80+1,P81+1,P80+IF($A81=Q$4,0,1))</f>
        <v>71</v>
      </c>
      <c r="R81" s="2" t="n">
        <f aca="false">MIN(R80+1,Q81+1,Q80+IF($A81=R$4,0,1))</f>
        <v>71</v>
      </c>
      <c r="S81" s="2" t="n">
        <f aca="false">MIN(S80+1,R81+1,R80+IF($A81=S$4,0,1))</f>
        <v>71</v>
      </c>
      <c r="T81" s="2" t="n">
        <f aca="false">MIN(T80+1,S81+1,S80+IF($A81=T$4,0,1))</f>
        <v>71</v>
      </c>
      <c r="U81" s="2" t="n">
        <f aca="false">MIN(U80+1,T81+1,T80+IF($A81=U$4,0,1))</f>
        <v>70</v>
      </c>
      <c r="V81" s="2" t="n">
        <f aca="false">MIN(V80+1,U81+1,U80+IF($A81=V$4,0,1))</f>
        <v>70</v>
      </c>
      <c r="W81" s="2" t="n">
        <f aca="false">MIN(W80+1,V81+1,V80+IF($A81=W$4,0,1))</f>
        <v>70</v>
      </c>
      <c r="X81" s="2" t="n">
        <f aca="false">MIN(X80+1,W81+1,W80+IF($A81=X$4,0,1))</f>
        <v>70</v>
      </c>
      <c r="Y81" s="2" t="n">
        <f aca="false">MIN(Y80+1,X81+1,X80+IF($A81=Y$4,0,1))</f>
        <v>70</v>
      </c>
      <c r="Z81" s="2" t="n">
        <f aca="false">MIN(Z80+1,Y81+1,Y80+IF($A81=Z$4,0,1))</f>
        <v>70</v>
      </c>
      <c r="AA81" s="2" t="n">
        <f aca="false">MIN(AA80+1,Z81+1,Z80+IF($A81=AA$4,0,1))</f>
        <v>71</v>
      </c>
      <c r="AB81" s="2" t="n">
        <f aca="false">MIN(AB80+1,AA81+1,AA80+IF($A81=AB$4,0,1))</f>
        <v>71</v>
      </c>
      <c r="AC81" s="2" t="n">
        <f aca="false">MIN(AC80+1,AB81+1,AB80+IF($A81=AC$4,0,1))</f>
        <v>71</v>
      </c>
      <c r="AD81" s="2" t="n">
        <f aca="false">MIN(AD80+1,AC81+1,AC80+IF($A81=AD$4,0,1))</f>
        <v>71</v>
      </c>
      <c r="AE81" s="2" t="n">
        <f aca="false">MIN(AE80+1,AD81+1,AD80+IF($A81=AE$4,0,1))</f>
        <v>71</v>
      </c>
      <c r="AF81" s="2" t="n">
        <f aca="false">MIN(AF80+1,AE81+1,AE80+IF($A81=AF$4,0,1))</f>
        <v>71</v>
      </c>
      <c r="AG81" s="2" t="n">
        <f aca="false">MIN(AG80+1,AF81+1,AF80+IF($A81=AG$4,0,1))</f>
        <v>71</v>
      </c>
      <c r="AH81" s="2" t="n">
        <f aca="false">MIN(AH80+1,AG81+1,AG80+IF($A81=AH$4,0,1))</f>
        <v>71</v>
      </c>
      <c r="AI81" s="2" t="n">
        <f aca="false">MIN(AI80+1,AH81+1,AH80+IF($A81=AI$4,0,1))</f>
        <v>71</v>
      </c>
      <c r="AJ81" s="2" t="n">
        <f aca="false">MIN(AJ80+1,AI81+1,AI80+IF($A81=AJ$4,0,1))</f>
        <v>71</v>
      </c>
      <c r="AK81" s="2" t="n">
        <f aca="false">MIN(AK80+1,AJ81+1,AJ80+IF($A81=AK$4,0,1))</f>
        <v>71</v>
      </c>
      <c r="AL81" s="2" t="n">
        <f aca="false">MIN(AL80+1,AK81+1,AK80+IF($A81=AL$4,0,1))</f>
        <v>71</v>
      </c>
      <c r="AM81" s="2" t="n">
        <f aca="false">MIN(AM80+1,AL81+1,AL80+IF($A81=AM$4,0,1))</f>
        <v>71</v>
      </c>
      <c r="AN81" s="2" t="n">
        <f aca="false">MIN(AN80+1,AM81+1,AM80+IF($A81=AN$4,0,1))</f>
        <v>71</v>
      </c>
      <c r="AO81" s="2" t="n">
        <f aca="false">MIN(AO80+1,AN81+1,AN80+IF($A81=AO$4,0,1))</f>
        <v>71</v>
      </c>
      <c r="AP81" s="2" t="n">
        <f aca="false">MIN(AP80+1,AO81+1,AO80+IF($A81=AP$4,0,1))</f>
        <v>71</v>
      </c>
      <c r="AQ81" s="2" t="n">
        <f aca="false">MIN(AQ80+1,AP81+1,AP80+IF($A81=AQ$4,0,1))</f>
        <v>71</v>
      </c>
      <c r="AR81" s="2" t="n">
        <f aca="false">MIN(AR80+1,AQ81+1,AQ80+IF($A81=AR$4,0,1))</f>
        <v>71</v>
      </c>
      <c r="AS81" s="2" t="n">
        <f aca="false">MIN(AS80+1,AR81+1,AR80+IF($A81=AS$4,0,1))</f>
        <v>71</v>
      </c>
      <c r="AT81" s="2" t="n">
        <f aca="false">MIN(AT80+1,AS81+1,AS80+IF($A81=AT$4,0,1))</f>
        <v>72</v>
      </c>
      <c r="AU81" s="2" t="n">
        <f aca="false">MIN(AU80+1,AT81+1,AT80+IF($A81=AU$4,0,1))</f>
        <v>72</v>
      </c>
      <c r="AV81" s="2" t="n">
        <f aca="false">MIN(AV80+1,AU81+1,AU80+IF($A81=AV$4,0,1))</f>
        <v>72</v>
      </c>
      <c r="AW81" s="2" t="n">
        <f aca="false">MIN(AW80+1,AV81+1,AV80+IF($A81=AW$4,0,1))</f>
        <v>72</v>
      </c>
      <c r="AX81" s="2" t="n">
        <f aca="false">MIN(AX80+1,AW81+1,AW80+IF($A81=AX$4,0,1))</f>
        <v>72</v>
      </c>
      <c r="AY81" s="2" t="n">
        <f aca="false">MIN(AY80+1,AX81+1,AX80+IF($A81=AY$4,0,1))</f>
        <v>72</v>
      </c>
      <c r="AZ81" s="2" t="n">
        <f aca="false">MIN(AZ80+1,AY81+1,AY80+IF($A81=AZ$4,0,1))</f>
        <v>72</v>
      </c>
      <c r="BA81" s="2" t="n">
        <f aca="false">MIN(BA80+1,AZ81+1,AZ80+IF($A81=BA$4,0,1))</f>
        <v>72</v>
      </c>
      <c r="BB81" s="2" t="n">
        <f aca="false">MIN(BB80+1,BA81+1,BA80+IF($A81=BB$4,0,1))</f>
        <v>72</v>
      </c>
      <c r="BC81" s="2" t="n">
        <f aca="false">MIN(BC80+1,BB81+1,BB80+IF($A81=BC$4,0,1))</f>
        <v>72</v>
      </c>
      <c r="BD81" s="2" t="n">
        <f aca="false">MIN(BD80+1,BC81+1,BC80+IF($A81=BD$4,0,1))</f>
        <v>72</v>
      </c>
      <c r="BE81" s="2" t="n">
        <f aca="false">MIN(BE80+1,BD81+1,BD80+IF($A81=BE$4,0,1))</f>
        <v>72</v>
      </c>
      <c r="BF81" s="2" t="n">
        <f aca="false">MIN(BF80+1,BE81+1,BE80+IF($A81=BF$4,0,1))</f>
        <v>72</v>
      </c>
      <c r="BG81" s="2" t="n">
        <f aca="false">MIN(BG80+1,BF81+1,BF80+IF($A81=BG$4,0,1))</f>
        <v>72</v>
      </c>
      <c r="BH81" s="2" t="n">
        <f aca="false">MIN(BH80+1,BG81+1,BG80+IF($A81=BH$4,0,1))</f>
        <v>72</v>
      </c>
      <c r="BI81" s="2" t="n">
        <f aca="false">MIN(BI80+1,BH81+1,BH80+IF($A81=BI$4,0,1))</f>
        <v>71</v>
      </c>
      <c r="BJ81" s="2" t="n">
        <f aca="false">MIN(BJ80+1,BI81+1,BI80+IF($A81=BJ$4,0,1))</f>
        <v>72</v>
      </c>
      <c r="BK81" s="2" t="n">
        <f aca="false">MIN(BK80+1,BJ81+1,BJ80+IF($A81=BK$4,0,1))</f>
        <v>72</v>
      </c>
      <c r="BL81" s="2" t="n">
        <f aca="false">MIN(BL80+1,BK81+1,BK80+IF($A81=BL$4,0,1))</f>
        <v>71</v>
      </c>
      <c r="BM81" s="2" t="n">
        <f aca="false">MIN(BM80+1,BL81+1,BL80+IF($A81=BM$4,0,1))</f>
        <v>71</v>
      </c>
      <c r="BN81" s="2" t="n">
        <f aca="false">MIN(BN80+1,BM81+1,BM80+IF($A81=BN$4,0,1))</f>
        <v>71</v>
      </c>
      <c r="BO81" s="2" t="n">
        <f aca="false">MIN(BO80+1,BN81+1,BN80+IF($A81=BO$4,0,1))</f>
        <v>72</v>
      </c>
      <c r="BP81" s="2" t="n">
        <f aca="false">MIN(BP80+1,BO81+1,BO80+IF($A81=BP$4,0,1))</f>
        <v>73</v>
      </c>
      <c r="BQ81" s="2" t="n">
        <f aca="false">MIN(BQ80+1,BP81+1,BP80+IF($A81=BQ$4,0,1))</f>
        <v>73</v>
      </c>
      <c r="BR81" s="2" t="n">
        <f aca="false">MIN(BR80+1,BQ81+1,BQ80+IF($A81=BR$4,0,1))</f>
        <v>73</v>
      </c>
      <c r="BS81" s="2" t="n">
        <f aca="false">MIN(BS80+1,BR81+1,BR80+IF($A81=BS$4,0,1))</f>
        <v>73</v>
      </c>
      <c r="BT81" s="2" t="n">
        <f aca="false">MIN(BT80+1,BS81+1,BS80+IF($A81=BT$4,0,1))</f>
        <v>73</v>
      </c>
      <c r="BU81" s="2" t="n">
        <f aca="false">MIN(BU80+1,BT81+1,BT80+IF($A81=BU$4,0,1))</f>
        <v>73</v>
      </c>
      <c r="BV81" s="2" t="n">
        <f aca="false">MIN(BV80+1,BU81+1,BU80+IF($A81=BV$4,0,1))</f>
        <v>73</v>
      </c>
      <c r="BW81" s="2" t="n">
        <f aca="false">MIN(BW80+1,BV81+1,BV80+IF($A81=BW$4,0,1))</f>
        <v>73</v>
      </c>
      <c r="BX81" s="2" t="n">
        <f aca="false">MIN(BX80+1,BW81+1,BW80+IF($A81=BX$4,0,1))</f>
        <v>73</v>
      </c>
      <c r="BY81" s="2" t="n">
        <f aca="false">MIN(BY80+1,BX81+1,BX80+IF($A81=BY$4,0,1))</f>
        <v>73</v>
      </c>
      <c r="BZ81" s="2" t="n">
        <f aca="false">MIN(BZ80+1,BY81+1,BY80+IF($A81=BZ$4,0,1))</f>
        <v>73</v>
      </c>
      <c r="CA81" s="2" t="n">
        <f aca="false">MIN(CA80+1,BZ81+1,BZ80+IF($A81=CA$4,0,1))</f>
        <v>73</v>
      </c>
      <c r="CB81" s="2" t="n">
        <f aca="false">MIN(CB80+1,CA81+1,CA80+IF($A81=CB$4,0,1))</f>
        <v>74</v>
      </c>
      <c r="CC81" s="2" t="n">
        <f aca="false">MIN(CC80+1,CB81+1,CB80+IF($A81=CC$4,0,1))</f>
        <v>75</v>
      </c>
      <c r="CD81" s="2" t="n">
        <f aca="false">MIN(CD80+1,CC81+1,CC80+IF($A81=CD$4,0,1))</f>
        <v>76</v>
      </c>
      <c r="CE81" s="2" t="n">
        <f aca="false">MIN(CE80+1,CD81+1,CD80+IF($A81=CE$4,0,1))</f>
        <v>77</v>
      </c>
      <c r="CF81" s="2" t="n">
        <f aca="false">MIN(CF80+1,CE81+1,CE80+IF($A81=CF$4,0,1))</f>
        <v>78</v>
      </c>
      <c r="CG81" s="2" t="n">
        <f aca="false">MIN(CG80+1,CF81+1,CF80+IF($A81=CG$4,0,1))</f>
        <v>79</v>
      </c>
      <c r="CH81" s="2" t="n">
        <f aca="false">MIN(CH80+1,CG81+1,CG80+IF($A81=CH$4,0,1))</f>
        <v>80</v>
      </c>
      <c r="CI81" s="2" t="n">
        <f aca="false">MIN(CI80+1,CH81+1,CH80+IF($A81=CI$4,0,1))</f>
        <v>81</v>
      </c>
      <c r="CJ81" s="2" t="n">
        <f aca="false">MIN(CJ80+1,CI81+1,CI80+IF($A81=CJ$4,0,1))</f>
        <v>82</v>
      </c>
      <c r="CK81" s="2" t="n">
        <f aca="false">MIN(CK80+1,CJ81+1,CJ80+IF($A81=CK$4,0,1))</f>
        <v>83</v>
      </c>
      <c r="CL81" s="2" t="n">
        <f aca="false">MIN(CL80+1,CK81+1,CK80+IF($A81=CL$4,0,1))</f>
        <v>84</v>
      </c>
      <c r="CM81" s="2" t="n">
        <f aca="false">MIN(CM80+1,CL81+1,CL80+IF($A81=CM$4,0,1))</f>
        <v>85</v>
      </c>
      <c r="CN81" s="2" t="n">
        <f aca="false">MIN(CN80+1,CM81+1,CM80+IF($A81=CN$4,0,1))</f>
        <v>86</v>
      </c>
      <c r="CO81" s="2" t="n">
        <f aca="false">MIN(CO80+1,CN81+1,CN80+IF($A81=CO$4,0,1))</f>
        <v>87</v>
      </c>
      <c r="CP81" s="2" t="n">
        <f aca="false">MIN(CP80+1,CO81+1,CO80+IF($A81=CP$4,0,1))</f>
        <v>88</v>
      </c>
      <c r="CQ81" s="2" t="n">
        <f aca="false">MIN(CQ80+1,CP81+1,CP80+IF($A81=CQ$4,0,1))</f>
        <v>89</v>
      </c>
    </row>
    <row r="82" customFormat="false" ht="15" hidden="false" customHeight="false" outlineLevel="0" collapsed="false">
      <c r="A82" s="4" t="s">
        <v>156</v>
      </c>
      <c r="B82" s="12" t="n">
        <v>77</v>
      </c>
      <c r="C82" s="2" t="n">
        <f aca="false">MIN(C81+1,B82+1,B81+IF($A82=C$4,0,1))</f>
        <v>77</v>
      </c>
      <c r="D82" s="2" t="n">
        <f aca="false">MIN(D81+1,C82+1,C81+IF($A82=D$4,0,1))</f>
        <v>76</v>
      </c>
      <c r="E82" s="2" t="n">
        <f aca="false">MIN(E81+1,D82+1,D81+IF($A82=E$4,0,1))</f>
        <v>75</v>
      </c>
      <c r="F82" s="2" t="n">
        <f aca="false">MIN(F81+1,E82+1,E81+IF($A82=F$4,0,1))</f>
        <v>74</v>
      </c>
      <c r="G82" s="2" t="n">
        <f aca="false">MIN(G81+1,F82+1,F81+IF($A82=G$4,0,1))</f>
        <v>74</v>
      </c>
      <c r="H82" s="2" t="n">
        <f aca="false">MIN(H81+1,G82+1,G81+IF($A82=H$4,0,1))</f>
        <v>74</v>
      </c>
      <c r="I82" s="2" t="n">
        <f aca="false">MIN(I81+1,H82+1,H81+IF($A82=I$4,0,1))</f>
        <v>74</v>
      </c>
      <c r="J82" s="2" t="n">
        <f aca="false">MIN(J81+1,I82+1,I81+IF($A82=J$4,0,1))</f>
        <v>74</v>
      </c>
      <c r="K82" s="2" t="n">
        <f aca="false">MIN(K81+1,J82+1,J81+IF($A82=K$4,0,1))</f>
        <v>73</v>
      </c>
      <c r="L82" s="2" t="n">
        <f aca="false">MIN(L81+1,K82+1,K81+IF($A82=L$4,0,1))</f>
        <v>73</v>
      </c>
      <c r="M82" s="2" t="n">
        <f aca="false">MIN(M81+1,L82+1,L81+IF($A82=M$4,0,1))</f>
        <v>73</v>
      </c>
      <c r="N82" s="2" t="n">
        <f aca="false">MIN(N81+1,M82+1,M81+IF($A82=N$4,0,1))</f>
        <v>72</v>
      </c>
      <c r="O82" s="2" t="n">
        <f aca="false">MIN(O81+1,N82+1,N81+IF($A82=O$4,0,1))</f>
        <v>72</v>
      </c>
      <c r="P82" s="2" t="n">
        <f aca="false">MIN(P81+1,O82+1,O81+IF($A82=P$4,0,1))</f>
        <v>72</v>
      </c>
      <c r="Q82" s="2" t="n">
        <f aca="false">MIN(Q81+1,P82+1,P81+IF($A82=Q$4,0,1))</f>
        <v>72</v>
      </c>
      <c r="R82" s="2" t="n">
        <f aca="false">MIN(R81+1,Q82+1,Q81+IF($A82=R$4,0,1))</f>
        <v>72</v>
      </c>
      <c r="S82" s="2" t="n">
        <f aca="false">MIN(S81+1,R82+1,R81+IF($A82=S$4,0,1))</f>
        <v>72</v>
      </c>
      <c r="T82" s="2" t="n">
        <f aca="false">MIN(T81+1,S82+1,S81+IF($A82=T$4,0,1))</f>
        <v>72</v>
      </c>
      <c r="U82" s="2" t="n">
        <f aca="false">MIN(U81+1,T82+1,T81+IF($A82=U$4,0,1))</f>
        <v>71</v>
      </c>
      <c r="V82" s="2" t="n">
        <f aca="false">MIN(V81+1,U82+1,U81+IF($A82=V$4,0,1))</f>
        <v>71</v>
      </c>
      <c r="W82" s="2" t="n">
        <f aca="false">MIN(W81+1,V82+1,V81+IF($A82=W$4,0,1))</f>
        <v>71</v>
      </c>
      <c r="X82" s="2" t="n">
        <f aca="false">MIN(X81+1,W82+1,W81+IF($A82=X$4,0,1))</f>
        <v>71</v>
      </c>
      <c r="Y82" s="2" t="n">
        <f aca="false">MIN(Y81+1,X82+1,X81+IF($A82=Y$4,0,1))</f>
        <v>71</v>
      </c>
      <c r="Z82" s="2" t="n">
        <f aca="false">MIN(Z81+1,Y82+1,Y81+IF($A82=Z$4,0,1))</f>
        <v>71</v>
      </c>
      <c r="AA82" s="2" t="n">
        <f aca="false">MIN(AA81+1,Z82+1,Z81+IF($A82=AA$4,0,1))</f>
        <v>71</v>
      </c>
      <c r="AB82" s="2" t="n">
        <f aca="false">MIN(AB81+1,AA82+1,AA81+IF($A82=AB$4,0,1))</f>
        <v>72</v>
      </c>
      <c r="AC82" s="2" t="n">
        <f aca="false">MIN(AC81+1,AB82+1,AB81+IF($A82=AC$4,0,1))</f>
        <v>72</v>
      </c>
      <c r="AD82" s="2" t="n">
        <f aca="false">MIN(AD81+1,AC82+1,AC81+IF($A82=AD$4,0,1))</f>
        <v>72</v>
      </c>
      <c r="AE82" s="2" t="n">
        <f aca="false">MIN(AE81+1,AD82+1,AD81+IF($A82=AE$4,0,1))</f>
        <v>72</v>
      </c>
      <c r="AF82" s="2" t="n">
        <f aca="false">MIN(AF81+1,AE82+1,AE81+IF($A82=AF$4,0,1))</f>
        <v>72</v>
      </c>
      <c r="AG82" s="2" t="n">
        <f aca="false">MIN(AG81+1,AF82+1,AF81+IF($A82=AG$4,0,1))</f>
        <v>72</v>
      </c>
      <c r="AH82" s="2" t="n">
        <f aca="false">MIN(AH81+1,AG82+1,AG81+IF($A82=AH$4,0,1))</f>
        <v>72</v>
      </c>
      <c r="AI82" s="2" t="n">
        <f aca="false">MIN(AI81+1,AH82+1,AH81+IF($A82=AI$4,0,1))</f>
        <v>72</v>
      </c>
      <c r="AJ82" s="2" t="n">
        <f aca="false">MIN(AJ81+1,AI82+1,AI81+IF($A82=AJ$4,0,1))</f>
        <v>72</v>
      </c>
      <c r="AK82" s="2" t="n">
        <f aca="false">MIN(AK81+1,AJ82+1,AJ81+IF($A82=AK$4,0,1))</f>
        <v>72</v>
      </c>
      <c r="AL82" s="2" t="n">
        <f aca="false">MIN(AL81+1,AK82+1,AK81+IF($A82=AL$4,0,1))</f>
        <v>72</v>
      </c>
      <c r="AM82" s="2" t="n">
        <f aca="false">MIN(AM81+1,AL82+1,AL81+IF($A82=AM$4,0,1))</f>
        <v>72</v>
      </c>
      <c r="AN82" s="2" t="n">
        <f aca="false">MIN(AN81+1,AM82+1,AM81+IF($A82=AN$4,0,1))</f>
        <v>72</v>
      </c>
      <c r="AO82" s="2" t="n">
        <f aca="false">MIN(AO81+1,AN82+1,AN81+IF($A82=AO$4,0,1))</f>
        <v>72</v>
      </c>
      <c r="AP82" s="2" t="n">
        <f aca="false">MIN(AP81+1,AO82+1,AO81+IF($A82=AP$4,0,1))</f>
        <v>72</v>
      </c>
      <c r="AQ82" s="2" t="n">
        <f aca="false">MIN(AQ81+1,AP82+1,AP81+IF($A82=AQ$4,0,1))</f>
        <v>72</v>
      </c>
      <c r="AR82" s="2" t="n">
        <f aca="false">MIN(AR81+1,AQ82+1,AQ81+IF($A82=AR$4,0,1))</f>
        <v>72</v>
      </c>
      <c r="AS82" s="2" t="n">
        <f aca="false">MIN(AS81+1,AR82+1,AR81+IF($A82=AS$4,0,1))</f>
        <v>72</v>
      </c>
      <c r="AT82" s="2" t="n">
        <f aca="false">MIN(AT81+1,AS82+1,AS81+IF($A82=AT$4,0,1))</f>
        <v>72</v>
      </c>
      <c r="AU82" s="2" t="n">
        <f aca="false">MIN(AU81+1,AT82+1,AT81+IF($A82=AU$4,0,1))</f>
        <v>73</v>
      </c>
      <c r="AV82" s="2" t="n">
        <f aca="false">MIN(AV81+1,AU82+1,AU81+IF($A82=AV$4,0,1))</f>
        <v>73</v>
      </c>
      <c r="AW82" s="2" t="n">
        <f aca="false">MIN(AW81+1,AV82+1,AV81+IF($A82=AW$4,0,1))</f>
        <v>73</v>
      </c>
      <c r="AX82" s="2" t="n">
        <f aca="false">MIN(AX81+1,AW82+1,AW81+IF($A82=AX$4,0,1))</f>
        <v>73</v>
      </c>
      <c r="AY82" s="2" t="n">
        <f aca="false">MIN(AY81+1,AX82+1,AX81+IF($A82=AY$4,0,1))</f>
        <v>73</v>
      </c>
      <c r="AZ82" s="2" t="n">
        <f aca="false">MIN(AZ81+1,AY82+1,AY81+IF($A82=AZ$4,0,1))</f>
        <v>73</v>
      </c>
      <c r="BA82" s="2" t="n">
        <f aca="false">MIN(BA81+1,AZ82+1,AZ81+IF($A82=BA$4,0,1))</f>
        <v>73</v>
      </c>
      <c r="BB82" s="2" t="n">
        <f aca="false">MIN(BB81+1,BA82+1,BA81+IF($A82=BB$4,0,1))</f>
        <v>73</v>
      </c>
      <c r="BC82" s="2" t="n">
        <f aca="false">MIN(BC81+1,BB82+1,BB81+IF($A82=BC$4,0,1))</f>
        <v>73</v>
      </c>
      <c r="BD82" s="2" t="n">
        <f aca="false">MIN(BD81+1,BC82+1,BC81+IF($A82=BD$4,0,1))</f>
        <v>73</v>
      </c>
      <c r="BE82" s="2" t="n">
        <f aca="false">MIN(BE81+1,BD82+1,BD81+IF($A82=BE$4,0,1))</f>
        <v>73</v>
      </c>
      <c r="BF82" s="2" t="n">
        <f aca="false">MIN(BF81+1,BE82+1,BE81+IF($A82=BF$4,0,1))</f>
        <v>73</v>
      </c>
      <c r="BG82" s="2" t="n">
        <f aca="false">MIN(BG81+1,BF82+1,BF81+IF($A82=BG$4,0,1))</f>
        <v>73</v>
      </c>
      <c r="BH82" s="2" t="n">
        <f aca="false">MIN(BH81+1,BG82+1,BG81+IF($A82=BH$4,0,1))</f>
        <v>73</v>
      </c>
      <c r="BI82" s="2" t="n">
        <f aca="false">MIN(BI81+1,BH82+1,BH81+IF($A82=BI$4,0,1))</f>
        <v>72</v>
      </c>
      <c r="BJ82" s="2" t="n">
        <f aca="false">MIN(BJ81+1,BI82+1,BI81+IF($A82=BJ$4,0,1))</f>
        <v>72</v>
      </c>
      <c r="BK82" s="2" t="n">
        <f aca="false">MIN(BK81+1,BJ82+1,BJ81+IF($A82=BK$4,0,1))</f>
        <v>73</v>
      </c>
      <c r="BL82" s="2" t="n">
        <f aca="false">MIN(BL81+1,BK82+1,BK81+IF($A82=BL$4,0,1))</f>
        <v>72</v>
      </c>
      <c r="BM82" s="2" t="n">
        <f aca="false">MIN(BM81+1,BL82+1,BL81+IF($A82=BM$4,0,1))</f>
        <v>72</v>
      </c>
      <c r="BN82" s="2" t="n">
        <f aca="false">MIN(BN81+1,BM82+1,BM81+IF($A82=BN$4,0,1))</f>
        <v>72</v>
      </c>
      <c r="BO82" s="2" t="n">
        <f aca="false">MIN(BO81+1,BN82+1,BN81+IF($A82=BO$4,0,1))</f>
        <v>72</v>
      </c>
      <c r="BP82" s="2" t="n">
        <f aca="false">MIN(BP81+1,BO82+1,BO81+IF($A82=BP$4,0,1))</f>
        <v>73</v>
      </c>
      <c r="BQ82" s="2" t="n">
        <f aca="false">MIN(BQ81+1,BP82+1,BP81+IF($A82=BQ$4,0,1))</f>
        <v>74</v>
      </c>
      <c r="BR82" s="2" t="n">
        <f aca="false">MIN(BR81+1,BQ82+1,BQ81+IF($A82=BR$4,0,1))</f>
        <v>74</v>
      </c>
      <c r="BS82" s="2" t="n">
        <f aca="false">MIN(BS81+1,BR82+1,BR81+IF($A82=BS$4,0,1))</f>
        <v>74</v>
      </c>
      <c r="BT82" s="2" t="n">
        <f aca="false">MIN(BT81+1,BS82+1,BS81+IF($A82=BT$4,0,1))</f>
        <v>74</v>
      </c>
      <c r="BU82" s="2" t="n">
        <f aca="false">MIN(BU81+1,BT82+1,BT81+IF($A82=BU$4,0,1))</f>
        <v>74</v>
      </c>
      <c r="BV82" s="2" t="n">
        <f aca="false">MIN(BV81+1,BU82+1,BU81+IF($A82=BV$4,0,1))</f>
        <v>74</v>
      </c>
      <c r="BW82" s="2" t="n">
        <f aca="false">MIN(BW81+1,BV82+1,BV81+IF($A82=BW$4,0,1))</f>
        <v>74</v>
      </c>
      <c r="BX82" s="2" t="n">
        <f aca="false">MIN(BX81+1,BW82+1,BW81+IF($A82=BX$4,0,1))</f>
        <v>74</v>
      </c>
      <c r="BY82" s="2" t="n">
        <f aca="false">MIN(BY81+1,BX82+1,BX81+IF($A82=BY$4,0,1))</f>
        <v>74</v>
      </c>
      <c r="BZ82" s="2" t="n">
        <f aca="false">MIN(BZ81+1,BY82+1,BY81+IF($A82=BZ$4,0,1))</f>
        <v>74</v>
      </c>
      <c r="CA82" s="2" t="n">
        <f aca="false">MIN(CA81+1,BZ82+1,BZ81+IF($A82=CA$4,0,1))</f>
        <v>74</v>
      </c>
      <c r="CB82" s="2" t="n">
        <f aca="false">MIN(CB81+1,CA82+1,CA81+IF($A82=CB$4,0,1))</f>
        <v>74</v>
      </c>
      <c r="CC82" s="2" t="n">
        <f aca="false">MIN(CC81+1,CB82+1,CB81+IF($A82=CC$4,0,1))</f>
        <v>75</v>
      </c>
      <c r="CD82" s="2" t="n">
        <f aca="false">MIN(CD81+1,CC82+1,CC81+IF($A82=CD$4,0,1))</f>
        <v>76</v>
      </c>
      <c r="CE82" s="2" t="n">
        <f aca="false">MIN(CE81+1,CD82+1,CD81+IF($A82=CE$4,0,1))</f>
        <v>77</v>
      </c>
      <c r="CF82" s="2" t="n">
        <f aca="false">MIN(CF81+1,CE82+1,CE81+IF($A82=CF$4,0,1))</f>
        <v>78</v>
      </c>
      <c r="CG82" s="2" t="n">
        <f aca="false">MIN(CG81+1,CF82+1,CF81+IF($A82=CG$4,0,1))</f>
        <v>79</v>
      </c>
      <c r="CH82" s="2" t="n">
        <f aca="false">MIN(CH81+1,CG82+1,CG81+IF($A82=CH$4,0,1))</f>
        <v>80</v>
      </c>
      <c r="CI82" s="2" t="n">
        <f aca="false">MIN(CI81+1,CH82+1,CH81+IF($A82=CI$4,0,1))</f>
        <v>81</v>
      </c>
      <c r="CJ82" s="2" t="n">
        <f aca="false">MIN(CJ81+1,CI82+1,CI81+IF($A82=CJ$4,0,1))</f>
        <v>82</v>
      </c>
      <c r="CK82" s="2" t="n">
        <f aca="false">MIN(CK81+1,CJ82+1,CJ81+IF($A82=CK$4,0,1))</f>
        <v>83</v>
      </c>
      <c r="CL82" s="2" t="n">
        <f aca="false">MIN(CL81+1,CK82+1,CK81+IF($A82=CL$4,0,1))</f>
        <v>84</v>
      </c>
      <c r="CM82" s="2" t="n">
        <f aca="false">MIN(CM81+1,CL82+1,CL81+IF($A82=CM$4,0,1))</f>
        <v>85</v>
      </c>
      <c r="CN82" s="2" t="n">
        <f aca="false">MIN(CN81+1,CM82+1,CM81+IF($A82=CN$4,0,1))</f>
        <v>86</v>
      </c>
      <c r="CO82" s="2" t="n">
        <f aca="false">MIN(CO81+1,CN82+1,CN81+IF($A82=CO$4,0,1))</f>
        <v>87</v>
      </c>
      <c r="CP82" s="2" t="n">
        <f aca="false">MIN(CP81+1,CO82+1,CO81+IF($A82=CP$4,0,1))</f>
        <v>88</v>
      </c>
      <c r="CQ82" s="2" t="n">
        <f aca="false">MIN(CQ81+1,CP82+1,CP81+IF($A82=CQ$4,0,1))</f>
        <v>89</v>
      </c>
    </row>
    <row r="83" customFormat="false" ht="15" hidden="false" customHeight="false" outlineLevel="0" collapsed="false">
      <c r="A83" s="4" t="s">
        <v>182</v>
      </c>
      <c r="B83" s="12" t="n">
        <v>78</v>
      </c>
      <c r="C83" s="2" t="n">
        <f aca="false">MIN(C82+1,B83+1,B82+IF($A83=C$4,0,1))</f>
        <v>78</v>
      </c>
      <c r="D83" s="2" t="n">
        <f aca="false">MIN(D82+1,C83+1,C82+IF($A83=D$4,0,1))</f>
        <v>77</v>
      </c>
      <c r="E83" s="2" t="n">
        <f aca="false">MIN(E82+1,D83+1,D82+IF($A83=E$4,0,1))</f>
        <v>76</v>
      </c>
      <c r="F83" s="2" t="n">
        <f aca="false">MIN(F82+1,E83+1,E82+IF($A83=F$4,0,1))</f>
        <v>75</v>
      </c>
      <c r="G83" s="2" t="n">
        <f aca="false">MIN(G82+1,F83+1,F82+IF($A83=G$4,0,1))</f>
        <v>75</v>
      </c>
      <c r="H83" s="2" t="n">
        <f aca="false">MIN(H82+1,G83+1,G82+IF($A83=H$4,0,1))</f>
        <v>75</v>
      </c>
      <c r="I83" s="2" t="n">
        <f aca="false">MIN(I82+1,H83+1,H82+IF($A83=I$4,0,1))</f>
        <v>75</v>
      </c>
      <c r="J83" s="2" t="n">
        <f aca="false">MIN(J82+1,I83+1,I82+IF($A83=J$4,0,1))</f>
        <v>75</v>
      </c>
      <c r="K83" s="2" t="n">
        <f aca="false">MIN(K82+1,J83+1,J82+IF($A83=K$4,0,1))</f>
        <v>74</v>
      </c>
      <c r="L83" s="2" t="n">
        <f aca="false">MIN(L82+1,K83+1,K82+IF($A83=L$4,0,1))</f>
        <v>74</v>
      </c>
      <c r="M83" s="2" t="n">
        <f aca="false">MIN(M82+1,L83+1,L82+IF($A83=M$4,0,1))</f>
        <v>74</v>
      </c>
      <c r="N83" s="2" t="n">
        <f aca="false">MIN(N82+1,M83+1,M82+IF($A83=N$4,0,1))</f>
        <v>73</v>
      </c>
      <c r="O83" s="2" t="n">
        <f aca="false">MIN(O82+1,N83+1,N82+IF($A83=O$4,0,1))</f>
        <v>73</v>
      </c>
      <c r="P83" s="2" t="n">
        <f aca="false">MIN(P82+1,O83+1,O82+IF($A83=P$4,0,1))</f>
        <v>73</v>
      </c>
      <c r="Q83" s="2" t="n">
        <f aca="false">MIN(Q82+1,P83+1,P82+IF($A83=Q$4,0,1))</f>
        <v>73</v>
      </c>
      <c r="R83" s="2" t="n">
        <f aca="false">MIN(R82+1,Q83+1,Q82+IF($A83=R$4,0,1))</f>
        <v>73</v>
      </c>
      <c r="S83" s="2" t="n">
        <f aca="false">MIN(S82+1,R83+1,R82+IF($A83=S$4,0,1))</f>
        <v>73</v>
      </c>
      <c r="T83" s="2" t="n">
        <f aca="false">MIN(T82+1,S83+1,S82+IF($A83=T$4,0,1))</f>
        <v>73</v>
      </c>
      <c r="U83" s="2" t="n">
        <f aca="false">MIN(U82+1,T83+1,T82+IF($A83=U$4,0,1))</f>
        <v>72</v>
      </c>
      <c r="V83" s="2" t="n">
        <f aca="false">MIN(V82+1,U83+1,U82+IF($A83=V$4,0,1))</f>
        <v>72</v>
      </c>
      <c r="W83" s="2" t="n">
        <f aca="false">MIN(W82+1,V83+1,V82+IF($A83=W$4,0,1))</f>
        <v>72</v>
      </c>
      <c r="X83" s="2" t="n">
        <f aca="false">MIN(X82+1,W83+1,W82+IF($A83=X$4,0,1))</f>
        <v>72</v>
      </c>
      <c r="Y83" s="2" t="n">
        <f aca="false">MIN(Y82+1,X83+1,X82+IF($A83=Y$4,0,1))</f>
        <v>72</v>
      </c>
      <c r="Z83" s="2" t="n">
        <f aca="false">MIN(Z82+1,Y83+1,Y82+IF($A83=Z$4,0,1))</f>
        <v>72</v>
      </c>
      <c r="AA83" s="2" t="n">
        <f aca="false">MIN(AA82+1,Z83+1,Z82+IF($A83=AA$4,0,1))</f>
        <v>72</v>
      </c>
      <c r="AB83" s="2" t="n">
        <f aca="false">MIN(AB82+1,AA83+1,AA82+IF($A83=AB$4,0,1))</f>
        <v>72</v>
      </c>
      <c r="AC83" s="2" t="n">
        <f aca="false">MIN(AC82+1,AB83+1,AB82+IF($A83=AC$4,0,1))</f>
        <v>73</v>
      </c>
      <c r="AD83" s="2" t="n">
        <f aca="false">MIN(AD82+1,AC83+1,AC82+IF($A83=AD$4,0,1))</f>
        <v>73</v>
      </c>
      <c r="AE83" s="2" t="n">
        <f aca="false">MIN(AE82+1,AD83+1,AD82+IF($A83=AE$4,0,1))</f>
        <v>73</v>
      </c>
      <c r="AF83" s="2" t="n">
        <f aca="false">MIN(AF82+1,AE83+1,AE82+IF($A83=AF$4,0,1))</f>
        <v>73</v>
      </c>
      <c r="AG83" s="2" t="n">
        <f aca="false">MIN(AG82+1,AF83+1,AF82+IF($A83=AG$4,0,1))</f>
        <v>73</v>
      </c>
      <c r="AH83" s="2" t="n">
        <f aca="false">MIN(AH82+1,AG83+1,AG82+IF($A83=AH$4,0,1))</f>
        <v>73</v>
      </c>
      <c r="AI83" s="2" t="n">
        <f aca="false">MIN(AI82+1,AH83+1,AH82+IF($A83=AI$4,0,1))</f>
        <v>73</v>
      </c>
      <c r="AJ83" s="2" t="n">
        <f aca="false">MIN(AJ82+1,AI83+1,AI82+IF($A83=AJ$4,0,1))</f>
        <v>73</v>
      </c>
      <c r="AK83" s="2" t="n">
        <f aca="false">MIN(AK82+1,AJ83+1,AJ82+IF($A83=AK$4,0,1))</f>
        <v>73</v>
      </c>
      <c r="AL83" s="2" t="n">
        <f aca="false">MIN(AL82+1,AK83+1,AK82+IF($A83=AL$4,0,1))</f>
        <v>73</v>
      </c>
      <c r="AM83" s="2" t="n">
        <f aca="false">MIN(AM82+1,AL83+1,AL82+IF($A83=AM$4,0,1))</f>
        <v>73</v>
      </c>
      <c r="AN83" s="2" t="n">
        <f aca="false">MIN(AN82+1,AM83+1,AM82+IF($A83=AN$4,0,1))</f>
        <v>73</v>
      </c>
      <c r="AO83" s="2" t="n">
        <f aca="false">MIN(AO82+1,AN83+1,AN82+IF($A83=AO$4,0,1))</f>
        <v>73</v>
      </c>
      <c r="AP83" s="2" t="n">
        <f aca="false">MIN(AP82+1,AO83+1,AO82+IF($A83=AP$4,0,1))</f>
        <v>73</v>
      </c>
      <c r="AQ83" s="2" t="n">
        <f aca="false">MIN(AQ82+1,AP83+1,AP82+IF($A83=AQ$4,0,1))</f>
        <v>73</v>
      </c>
      <c r="AR83" s="2" t="n">
        <f aca="false">MIN(AR82+1,AQ83+1,AQ82+IF($A83=AR$4,0,1))</f>
        <v>73</v>
      </c>
      <c r="AS83" s="2" t="n">
        <f aca="false">MIN(AS82+1,AR83+1,AR82+IF($A83=AS$4,0,1))</f>
        <v>73</v>
      </c>
      <c r="AT83" s="2" t="n">
        <f aca="false">MIN(AT82+1,AS83+1,AS82+IF($A83=AT$4,0,1))</f>
        <v>73</v>
      </c>
      <c r="AU83" s="2" t="n">
        <f aca="false">MIN(AU82+1,AT83+1,AT82+IF($A83=AU$4,0,1))</f>
        <v>73</v>
      </c>
      <c r="AV83" s="2" t="n">
        <f aca="false">MIN(AV82+1,AU83+1,AU82+IF($A83=AV$4,0,1))</f>
        <v>74</v>
      </c>
      <c r="AW83" s="2" t="n">
        <f aca="false">MIN(AW82+1,AV83+1,AV82+IF($A83=AW$4,0,1))</f>
        <v>74</v>
      </c>
      <c r="AX83" s="2" t="n">
        <f aca="false">MIN(AX82+1,AW83+1,AW82+IF($A83=AX$4,0,1))</f>
        <v>74</v>
      </c>
      <c r="AY83" s="2" t="n">
        <f aca="false">MIN(AY82+1,AX83+1,AX82+IF($A83=AY$4,0,1))</f>
        <v>74</v>
      </c>
      <c r="AZ83" s="2" t="n">
        <f aca="false">MIN(AZ82+1,AY83+1,AY82+IF($A83=AZ$4,0,1))</f>
        <v>74</v>
      </c>
      <c r="BA83" s="2" t="n">
        <f aca="false">MIN(BA82+1,AZ83+1,AZ82+IF($A83=BA$4,0,1))</f>
        <v>74</v>
      </c>
      <c r="BB83" s="2" t="n">
        <f aca="false">MIN(BB82+1,BA83+1,BA82+IF($A83=BB$4,0,1))</f>
        <v>74</v>
      </c>
      <c r="BC83" s="2" t="n">
        <f aca="false">MIN(BC82+1,BB83+1,BB82+IF($A83=BC$4,0,1))</f>
        <v>74</v>
      </c>
      <c r="BD83" s="2" t="n">
        <f aca="false">MIN(BD82+1,BC83+1,BC82+IF($A83=BD$4,0,1))</f>
        <v>74</v>
      </c>
      <c r="BE83" s="2" t="n">
        <f aca="false">MIN(BE82+1,BD83+1,BD82+IF($A83=BE$4,0,1))</f>
        <v>74</v>
      </c>
      <c r="BF83" s="2" t="n">
        <f aca="false">MIN(BF82+1,BE83+1,BE82+IF($A83=BF$4,0,1))</f>
        <v>74</v>
      </c>
      <c r="BG83" s="2" t="n">
        <f aca="false">MIN(BG82+1,BF83+1,BF82+IF($A83=BG$4,0,1))</f>
        <v>74</v>
      </c>
      <c r="BH83" s="2" t="n">
        <f aca="false">MIN(BH82+1,BG83+1,BG82+IF($A83=BH$4,0,1))</f>
        <v>74</v>
      </c>
      <c r="BI83" s="2" t="n">
        <f aca="false">MIN(BI82+1,BH83+1,BH82+IF($A83=BI$4,0,1))</f>
        <v>73</v>
      </c>
      <c r="BJ83" s="2" t="n">
        <f aca="false">MIN(BJ82+1,BI83+1,BI82+IF($A83=BJ$4,0,1))</f>
        <v>73</v>
      </c>
      <c r="BK83" s="2" t="n">
        <f aca="false">MIN(BK82+1,BJ83+1,BJ82+IF($A83=BK$4,0,1))</f>
        <v>73</v>
      </c>
      <c r="BL83" s="2" t="n">
        <f aca="false">MIN(BL82+1,BK83+1,BK82+IF($A83=BL$4,0,1))</f>
        <v>73</v>
      </c>
      <c r="BM83" s="2" t="n">
        <f aca="false">MIN(BM82+1,BL83+1,BL82+IF($A83=BM$4,0,1))</f>
        <v>73</v>
      </c>
      <c r="BN83" s="2" t="n">
        <f aca="false">MIN(BN82+1,BM83+1,BM82+IF($A83=BN$4,0,1))</f>
        <v>73</v>
      </c>
      <c r="BO83" s="2" t="n">
        <f aca="false">MIN(BO82+1,BN83+1,BN82+IF($A83=BO$4,0,1))</f>
        <v>73</v>
      </c>
      <c r="BP83" s="2" t="n">
        <f aca="false">MIN(BP82+1,BO83+1,BO82+IF($A83=BP$4,0,1))</f>
        <v>73</v>
      </c>
      <c r="BQ83" s="2" t="n">
        <f aca="false">MIN(BQ82+1,BP83+1,BP82+IF($A83=BQ$4,0,1))</f>
        <v>74</v>
      </c>
      <c r="BR83" s="2" t="n">
        <f aca="false">MIN(BR82+1,BQ83+1,BQ82+IF($A83=BR$4,0,1))</f>
        <v>75</v>
      </c>
      <c r="BS83" s="2" t="n">
        <f aca="false">MIN(BS82+1,BR83+1,BR82+IF($A83=BS$4,0,1))</f>
        <v>75</v>
      </c>
      <c r="BT83" s="2" t="n">
        <f aca="false">MIN(BT82+1,BS83+1,BS82+IF($A83=BT$4,0,1))</f>
        <v>75</v>
      </c>
      <c r="BU83" s="2" t="n">
        <f aca="false">MIN(BU82+1,BT83+1,BT82+IF($A83=BU$4,0,1))</f>
        <v>75</v>
      </c>
      <c r="BV83" s="2" t="n">
        <f aca="false">MIN(BV82+1,BU83+1,BU82+IF($A83=BV$4,0,1))</f>
        <v>75</v>
      </c>
      <c r="BW83" s="2" t="n">
        <f aca="false">MIN(BW82+1,BV83+1,BV82+IF($A83=BW$4,0,1))</f>
        <v>75</v>
      </c>
      <c r="BX83" s="2" t="n">
        <f aca="false">MIN(BX82+1,BW83+1,BW82+IF($A83=BX$4,0,1))</f>
        <v>75</v>
      </c>
      <c r="BY83" s="2" t="n">
        <f aca="false">MIN(BY82+1,BX83+1,BX82+IF($A83=BY$4,0,1))</f>
        <v>75</v>
      </c>
      <c r="BZ83" s="2" t="n">
        <f aca="false">MIN(BZ82+1,BY83+1,BY82+IF($A83=BZ$4,0,1))</f>
        <v>75</v>
      </c>
      <c r="CA83" s="2" t="n">
        <f aca="false">MIN(CA82+1,BZ83+1,BZ82+IF($A83=CA$4,0,1))</f>
        <v>75</v>
      </c>
      <c r="CB83" s="2" t="n">
        <f aca="false">MIN(CB82+1,CA83+1,CA82+IF($A83=CB$4,0,1))</f>
        <v>75</v>
      </c>
      <c r="CC83" s="2" t="n">
        <f aca="false">MIN(CC82+1,CB83+1,CB82+IF($A83=CC$4,0,1))</f>
        <v>75</v>
      </c>
      <c r="CD83" s="2" t="n">
        <f aca="false">MIN(CD82+1,CC83+1,CC82+IF($A83=CD$4,0,1))</f>
        <v>76</v>
      </c>
      <c r="CE83" s="2" t="n">
        <f aca="false">MIN(CE82+1,CD83+1,CD82+IF($A83=CE$4,0,1))</f>
        <v>77</v>
      </c>
      <c r="CF83" s="2" t="n">
        <f aca="false">MIN(CF82+1,CE83+1,CE82+IF($A83=CF$4,0,1))</f>
        <v>78</v>
      </c>
      <c r="CG83" s="2" t="n">
        <f aca="false">MIN(CG82+1,CF83+1,CF82+IF($A83=CG$4,0,1))</f>
        <v>79</v>
      </c>
      <c r="CH83" s="2" t="n">
        <f aca="false">MIN(CH82+1,CG83+1,CG82+IF($A83=CH$4,0,1))</f>
        <v>80</v>
      </c>
      <c r="CI83" s="2" t="n">
        <f aca="false">MIN(CI82+1,CH83+1,CH82+IF($A83=CI$4,0,1))</f>
        <v>81</v>
      </c>
      <c r="CJ83" s="2" t="n">
        <f aca="false">MIN(CJ82+1,CI83+1,CI82+IF($A83=CJ$4,0,1))</f>
        <v>82</v>
      </c>
      <c r="CK83" s="2" t="n">
        <f aca="false">MIN(CK82+1,CJ83+1,CJ82+IF($A83=CK$4,0,1))</f>
        <v>83</v>
      </c>
      <c r="CL83" s="2" t="n">
        <f aca="false">MIN(CL82+1,CK83+1,CK82+IF($A83=CL$4,0,1))</f>
        <v>84</v>
      </c>
      <c r="CM83" s="2" t="n">
        <f aca="false">MIN(CM82+1,CL83+1,CL82+IF($A83=CM$4,0,1))</f>
        <v>85</v>
      </c>
      <c r="CN83" s="2" t="n">
        <f aca="false">MIN(CN82+1,CM83+1,CM82+IF($A83=CN$4,0,1))</f>
        <v>86</v>
      </c>
      <c r="CO83" s="2" t="n">
        <f aca="false">MIN(CO82+1,CN83+1,CN82+IF($A83=CO$4,0,1))</f>
        <v>87</v>
      </c>
      <c r="CP83" s="2" t="n">
        <f aca="false">MIN(CP82+1,CO83+1,CO82+IF($A83=CP$4,0,1))</f>
        <v>88</v>
      </c>
      <c r="CQ83" s="2" t="n">
        <f aca="false">MIN(CQ82+1,CP83+1,CP82+IF($A83=CQ$4,0,1))</f>
        <v>89</v>
      </c>
    </row>
    <row r="84" customFormat="false" ht="15" hidden="false" customHeight="false" outlineLevel="0" collapsed="false">
      <c r="A84" s="4" t="s">
        <v>192</v>
      </c>
      <c r="B84" s="12" t="n">
        <v>79</v>
      </c>
      <c r="C84" s="2" t="n">
        <f aca="false">MIN(C83+1,B84+1,B83+IF($A84=C$4,0,1))</f>
        <v>79</v>
      </c>
      <c r="D84" s="2" t="n">
        <f aca="false">MIN(D83+1,C84+1,C83+IF($A84=D$4,0,1))</f>
        <v>78</v>
      </c>
      <c r="E84" s="2" t="n">
        <f aca="false">MIN(E83+1,D84+1,D83+IF($A84=E$4,0,1))</f>
        <v>77</v>
      </c>
      <c r="F84" s="2" t="n">
        <f aca="false">MIN(F83+1,E84+1,E83+IF($A84=F$4,0,1))</f>
        <v>76</v>
      </c>
      <c r="G84" s="2" t="n">
        <f aca="false">MIN(G83+1,F84+1,F83+IF($A84=G$4,0,1))</f>
        <v>76</v>
      </c>
      <c r="H84" s="2" t="n">
        <f aca="false">MIN(H83+1,G84+1,G83+IF($A84=H$4,0,1))</f>
        <v>76</v>
      </c>
      <c r="I84" s="2" t="n">
        <f aca="false">MIN(I83+1,H84+1,H83+IF($A84=I$4,0,1))</f>
        <v>76</v>
      </c>
      <c r="J84" s="2" t="n">
        <f aca="false">MIN(J83+1,I84+1,I83+IF($A84=J$4,0,1))</f>
        <v>76</v>
      </c>
      <c r="K84" s="2" t="n">
        <f aca="false">MIN(K83+1,J84+1,J83+IF($A84=K$4,0,1))</f>
        <v>75</v>
      </c>
      <c r="L84" s="2" t="n">
        <f aca="false">MIN(L83+1,K84+1,K83+IF($A84=L$4,0,1))</f>
        <v>75</v>
      </c>
      <c r="M84" s="2" t="n">
        <f aca="false">MIN(M83+1,L84+1,L83+IF($A84=M$4,0,1))</f>
        <v>75</v>
      </c>
      <c r="N84" s="2" t="n">
        <f aca="false">MIN(N83+1,M84+1,M83+IF($A84=N$4,0,1))</f>
        <v>74</v>
      </c>
      <c r="O84" s="2" t="n">
        <f aca="false">MIN(O83+1,N84+1,N83+IF($A84=O$4,0,1))</f>
        <v>74</v>
      </c>
      <c r="P84" s="2" t="n">
        <f aca="false">MIN(P83+1,O84+1,O83+IF($A84=P$4,0,1))</f>
        <v>74</v>
      </c>
      <c r="Q84" s="2" t="n">
        <f aca="false">MIN(Q83+1,P84+1,P83+IF($A84=Q$4,0,1))</f>
        <v>74</v>
      </c>
      <c r="R84" s="2" t="n">
        <f aca="false">MIN(R83+1,Q84+1,Q83+IF($A84=R$4,0,1))</f>
        <v>74</v>
      </c>
      <c r="S84" s="2" t="n">
        <f aca="false">MIN(S83+1,R84+1,R83+IF($A84=S$4,0,1))</f>
        <v>74</v>
      </c>
      <c r="T84" s="2" t="n">
        <f aca="false">MIN(T83+1,S84+1,S83+IF($A84=T$4,0,1))</f>
        <v>74</v>
      </c>
      <c r="U84" s="2" t="n">
        <f aca="false">MIN(U83+1,T84+1,T83+IF($A84=U$4,0,1))</f>
        <v>73</v>
      </c>
      <c r="V84" s="2" t="n">
        <f aca="false">MIN(V83+1,U84+1,U83+IF($A84=V$4,0,1))</f>
        <v>73</v>
      </c>
      <c r="W84" s="2" t="n">
        <f aca="false">MIN(W83+1,V84+1,V83+IF($A84=W$4,0,1))</f>
        <v>73</v>
      </c>
      <c r="X84" s="2" t="n">
        <f aca="false">MIN(X83+1,W84+1,W83+IF($A84=X$4,0,1))</f>
        <v>73</v>
      </c>
      <c r="Y84" s="2" t="n">
        <f aca="false">MIN(Y83+1,X84+1,X83+IF($A84=Y$4,0,1))</f>
        <v>73</v>
      </c>
      <c r="Z84" s="2" t="n">
        <f aca="false">MIN(Z83+1,Y84+1,Y83+IF($A84=Z$4,0,1))</f>
        <v>73</v>
      </c>
      <c r="AA84" s="2" t="n">
        <f aca="false">MIN(AA83+1,Z84+1,Z83+IF($A84=AA$4,0,1))</f>
        <v>73</v>
      </c>
      <c r="AB84" s="2" t="n">
        <f aca="false">MIN(AB83+1,AA84+1,AA83+IF($A84=AB$4,0,1))</f>
        <v>73</v>
      </c>
      <c r="AC84" s="2" t="n">
        <f aca="false">MIN(AC83+1,AB84+1,AB83+IF($A84=AC$4,0,1))</f>
        <v>73</v>
      </c>
      <c r="AD84" s="2" t="n">
        <f aca="false">MIN(AD83+1,AC84+1,AC83+IF($A84=AD$4,0,1))</f>
        <v>74</v>
      </c>
      <c r="AE84" s="2" t="n">
        <f aca="false">MIN(AE83+1,AD84+1,AD83+IF($A84=AE$4,0,1))</f>
        <v>74</v>
      </c>
      <c r="AF84" s="2" t="n">
        <f aca="false">MIN(AF83+1,AE84+1,AE83+IF($A84=AF$4,0,1))</f>
        <v>74</v>
      </c>
      <c r="AG84" s="2" t="n">
        <f aca="false">MIN(AG83+1,AF84+1,AF83+IF($A84=AG$4,0,1))</f>
        <v>74</v>
      </c>
      <c r="AH84" s="2" t="n">
        <f aca="false">MIN(AH83+1,AG84+1,AG83+IF($A84=AH$4,0,1))</f>
        <v>74</v>
      </c>
      <c r="AI84" s="2" t="n">
        <f aca="false">MIN(AI83+1,AH84+1,AH83+IF($A84=AI$4,0,1))</f>
        <v>74</v>
      </c>
      <c r="AJ84" s="2" t="n">
        <f aca="false">MIN(AJ83+1,AI84+1,AI83+IF($A84=AJ$4,0,1))</f>
        <v>74</v>
      </c>
      <c r="AK84" s="2" t="n">
        <f aca="false">MIN(AK83+1,AJ84+1,AJ83+IF($A84=AK$4,0,1))</f>
        <v>74</v>
      </c>
      <c r="AL84" s="2" t="n">
        <f aca="false">MIN(AL83+1,AK84+1,AK83+IF($A84=AL$4,0,1))</f>
        <v>74</v>
      </c>
      <c r="AM84" s="2" t="n">
        <f aca="false">MIN(AM83+1,AL84+1,AL83+IF($A84=AM$4,0,1))</f>
        <v>74</v>
      </c>
      <c r="AN84" s="2" t="n">
        <f aca="false">MIN(AN83+1,AM84+1,AM83+IF($A84=AN$4,0,1))</f>
        <v>74</v>
      </c>
      <c r="AO84" s="2" t="n">
        <f aca="false">MIN(AO83+1,AN84+1,AN83+IF($A84=AO$4,0,1))</f>
        <v>74</v>
      </c>
      <c r="AP84" s="2" t="n">
        <f aca="false">MIN(AP83+1,AO84+1,AO83+IF($A84=AP$4,0,1))</f>
        <v>74</v>
      </c>
      <c r="AQ84" s="2" t="n">
        <f aca="false">MIN(AQ83+1,AP84+1,AP83+IF($A84=AQ$4,0,1))</f>
        <v>74</v>
      </c>
      <c r="AR84" s="2" t="n">
        <f aca="false">MIN(AR83+1,AQ84+1,AQ83+IF($A84=AR$4,0,1))</f>
        <v>74</v>
      </c>
      <c r="AS84" s="2" t="n">
        <f aca="false">MIN(AS83+1,AR84+1,AR83+IF($A84=AS$4,0,1))</f>
        <v>74</v>
      </c>
      <c r="AT84" s="2" t="n">
        <f aca="false">MIN(AT83+1,AS84+1,AS83+IF($A84=AT$4,0,1))</f>
        <v>74</v>
      </c>
      <c r="AU84" s="2" t="n">
        <f aca="false">MIN(AU83+1,AT84+1,AT83+IF($A84=AU$4,0,1))</f>
        <v>74</v>
      </c>
      <c r="AV84" s="2" t="n">
        <f aca="false">MIN(AV83+1,AU84+1,AU83+IF($A84=AV$4,0,1))</f>
        <v>74</v>
      </c>
      <c r="AW84" s="2" t="n">
        <f aca="false">MIN(AW83+1,AV84+1,AV83+IF($A84=AW$4,0,1))</f>
        <v>75</v>
      </c>
      <c r="AX84" s="2" t="n">
        <f aca="false">MIN(AX83+1,AW84+1,AW83+IF($A84=AX$4,0,1))</f>
        <v>75</v>
      </c>
      <c r="AY84" s="2" t="n">
        <f aca="false">MIN(AY83+1,AX84+1,AX83+IF($A84=AY$4,0,1))</f>
        <v>75</v>
      </c>
      <c r="AZ84" s="2" t="n">
        <f aca="false">MIN(AZ83+1,AY84+1,AY83+IF($A84=AZ$4,0,1))</f>
        <v>75</v>
      </c>
      <c r="BA84" s="2" t="n">
        <f aca="false">MIN(BA83+1,AZ84+1,AZ83+IF($A84=BA$4,0,1))</f>
        <v>75</v>
      </c>
      <c r="BB84" s="2" t="n">
        <f aca="false">MIN(BB83+1,BA84+1,BA83+IF($A84=BB$4,0,1))</f>
        <v>75</v>
      </c>
      <c r="BC84" s="2" t="n">
        <f aca="false">MIN(BC83+1,BB84+1,BB83+IF($A84=BC$4,0,1))</f>
        <v>75</v>
      </c>
      <c r="BD84" s="2" t="n">
        <f aca="false">MIN(BD83+1,BC84+1,BC83+IF($A84=BD$4,0,1))</f>
        <v>75</v>
      </c>
      <c r="BE84" s="2" t="n">
        <f aca="false">MIN(BE83+1,BD84+1,BD83+IF($A84=BE$4,0,1))</f>
        <v>75</v>
      </c>
      <c r="BF84" s="2" t="n">
        <f aca="false">MIN(BF83+1,BE84+1,BE83+IF($A84=BF$4,0,1))</f>
        <v>75</v>
      </c>
      <c r="BG84" s="2" t="n">
        <f aca="false">MIN(BG83+1,BF84+1,BF83+IF($A84=BG$4,0,1))</f>
        <v>75</v>
      </c>
      <c r="BH84" s="2" t="n">
        <f aca="false">MIN(BH83+1,BG84+1,BG83+IF($A84=BH$4,0,1))</f>
        <v>75</v>
      </c>
      <c r="BI84" s="2" t="n">
        <f aca="false">MIN(BI83+1,BH84+1,BH83+IF($A84=BI$4,0,1))</f>
        <v>74</v>
      </c>
      <c r="BJ84" s="2" t="n">
        <f aca="false">MIN(BJ83+1,BI84+1,BI83+IF($A84=BJ$4,0,1))</f>
        <v>74</v>
      </c>
      <c r="BK84" s="2" t="n">
        <f aca="false">MIN(BK83+1,BJ84+1,BJ83+IF($A84=BK$4,0,1))</f>
        <v>74</v>
      </c>
      <c r="BL84" s="2" t="n">
        <f aca="false">MIN(BL83+1,BK84+1,BK83+IF($A84=BL$4,0,1))</f>
        <v>74</v>
      </c>
      <c r="BM84" s="2" t="n">
        <f aca="false">MIN(BM83+1,BL84+1,BL83+IF($A84=BM$4,0,1))</f>
        <v>74</v>
      </c>
      <c r="BN84" s="2" t="n">
        <f aca="false">MIN(BN83+1,BM84+1,BM83+IF($A84=BN$4,0,1))</f>
        <v>74</v>
      </c>
      <c r="BO84" s="2" t="n">
        <f aca="false">MIN(BO83+1,BN84+1,BN83+IF($A84=BO$4,0,1))</f>
        <v>74</v>
      </c>
      <c r="BP84" s="2" t="n">
        <f aca="false">MIN(BP83+1,BO84+1,BO83+IF($A84=BP$4,0,1))</f>
        <v>74</v>
      </c>
      <c r="BQ84" s="2" t="n">
        <f aca="false">MIN(BQ83+1,BP84+1,BP83+IF($A84=BQ$4,0,1))</f>
        <v>74</v>
      </c>
      <c r="BR84" s="2" t="n">
        <f aca="false">MIN(BR83+1,BQ84+1,BQ83+IF($A84=BR$4,0,1))</f>
        <v>75</v>
      </c>
      <c r="BS84" s="2" t="n">
        <f aca="false">MIN(BS83+1,BR84+1,BR83+IF($A84=BS$4,0,1))</f>
        <v>76</v>
      </c>
      <c r="BT84" s="2" t="n">
        <f aca="false">MIN(BT83+1,BS84+1,BS83+IF($A84=BT$4,0,1))</f>
        <v>76</v>
      </c>
      <c r="BU84" s="2" t="n">
        <f aca="false">MIN(BU83+1,BT84+1,BT83+IF($A84=BU$4,0,1))</f>
        <v>76</v>
      </c>
      <c r="BV84" s="2" t="n">
        <f aca="false">MIN(BV83+1,BU84+1,BU83+IF($A84=BV$4,0,1))</f>
        <v>76</v>
      </c>
      <c r="BW84" s="2" t="n">
        <f aca="false">MIN(BW83+1,BV84+1,BV83+IF($A84=BW$4,0,1))</f>
        <v>76</v>
      </c>
      <c r="BX84" s="2" t="n">
        <f aca="false">MIN(BX83+1,BW84+1,BW83+IF($A84=BX$4,0,1))</f>
        <v>76</v>
      </c>
      <c r="BY84" s="2" t="n">
        <f aca="false">MIN(BY83+1,BX84+1,BX83+IF($A84=BY$4,0,1))</f>
        <v>76</v>
      </c>
      <c r="BZ84" s="2" t="n">
        <f aca="false">MIN(BZ83+1,BY84+1,BY83+IF($A84=BZ$4,0,1))</f>
        <v>76</v>
      </c>
      <c r="CA84" s="2" t="n">
        <f aca="false">MIN(CA83+1,BZ84+1,BZ83+IF($A84=CA$4,0,1))</f>
        <v>76</v>
      </c>
      <c r="CB84" s="2" t="n">
        <f aca="false">MIN(CB83+1,CA84+1,CA83+IF($A84=CB$4,0,1))</f>
        <v>76</v>
      </c>
      <c r="CC84" s="2" t="n">
        <f aca="false">MIN(CC83+1,CB84+1,CB83+IF($A84=CC$4,0,1))</f>
        <v>76</v>
      </c>
      <c r="CD84" s="2" t="n">
        <f aca="false">MIN(CD83+1,CC84+1,CC83+IF($A84=CD$4,0,1))</f>
        <v>76</v>
      </c>
      <c r="CE84" s="2" t="n">
        <f aca="false">MIN(CE83+1,CD84+1,CD83+IF($A84=CE$4,0,1))</f>
        <v>77</v>
      </c>
      <c r="CF84" s="2" t="n">
        <f aca="false">MIN(CF83+1,CE84+1,CE83+IF($A84=CF$4,0,1))</f>
        <v>78</v>
      </c>
      <c r="CG84" s="2" t="n">
        <f aca="false">MIN(CG83+1,CF84+1,CF83+IF($A84=CG$4,0,1))</f>
        <v>79</v>
      </c>
      <c r="CH84" s="2" t="n">
        <f aca="false">MIN(CH83+1,CG84+1,CG83+IF($A84=CH$4,0,1))</f>
        <v>80</v>
      </c>
      <c r="CI84" s="2" t="n">
        <f aca="false">MIN(CI83+1,CH84+1,CH83+IF($A84=CI$4,0,1))</f>
        <v>81</v>
      </c>
      <c r="CJ84" s="2" t="n">
        <f aca="false">MIN(CJ83+1,CI84+1,CI83+IF($A84=CJ$4,0,1))</f>
        <v>82</v>
      </c>
      <c r="CK84" s="2" t="n">
        <f aca="false">MIN(CK83+1,CJ84+1,CJ83+IF($A84=CK$4,0,1))</f>
        <v>83</v>
      </c>
      <c r="CL84" s="2" t="n">
        <f aca="false">MIN(CL83+1,CK84+1,CK83+IF($A84=CL$4,0,1))</f>
        <v>84</v>
      </c>
      <c r="CM84" s="2" t="n">
        <f aca="false">MIN(CM83+1,CL84+1,CL83+IF($A84=CM$4,0,1))</f>
        <v>85</v>
      </c>
      <c r="CN84" s="2" t="n">
        <f aca="false">MIN(CN83+1,CM84+1,CM83+IF($A84=CN$4,0,1))</f>
        <v>86</v>
      </c>
      <c r="CO84" s="2" t="n">
        <f aca="false">MIN(CO83+1,CN84+1,CN83+IF($A84=CO$4,0,1))</f>
        <v>87</v>
      </c>
      <c r="CP84" s="2" t="n">
        <f aca="false">MIN(CP83+1,CO84+1,CO83+IF($A84=CP$4,0,1))</f>
        <v>88</v>
      </c>
      <c r="CQ84" s="2" t="n">
        <f aca="false">MIN(CQ83+1,CP84+1,CP83+IF($A84=CQ$4,0,1))</f>
        <v>89</v>
      </c>
    </row>
    <row r="85" customFormat="false" ht="15" hidden="false" customHeight="false" outlineLevel="0" collapsed="false">
      <c r="A85" s="4" t="s">
        <v>193</v>
      </c>
      <c r="B85" s="12" t="n">
        <v>80</v>
      </c>
      <c r="C85" s="2" t="n">
        <f aca="false">MIN(C84+1,B85+1,B84+IF($A85=C$4,0,1))</f>
        <v>80</v>
      </c>
      <c r="D85" s="2" t="n">
        <f aca="false">MIN(D84+1,C85+1,C84+IF($A85=D$4,0,1))</f>
        <v>79</v>
      </c>
      <c r="E85" s="2" t="n">
        <f aca="false">MIN(E84+1,D85+1,D84+IF($A85=E$4,0,1))</f>
        <v>78</v>
      </c>
      <c r="F85" s="2" t="n">
        <f aca="false">MIN(F84+1,E85+1,E84+IF($A85=F$4,0,1))</f>
        <v>77</v>
      </c>
      <c r="G85" s="2" t="n">
        <f aca="false">MIN(G84+1,F85+1,F84+IF($A85=G$4,0,1))</f>
        <v>77</v>
      </c>
      <c r="H85" s="2" t="n">
        <f aca="false">MIN(H84+1,G85+1,G84+IF($A85=H$4,0,1))</f>
        <v>77</v>
      </c>
      <c r="I85" s="2" t="n">
        <f aca="false">MIN(I84+1,H85+1,H84+IF($A85=I$4,0,1))</f>
        <v>77</v>
      </c>
      <c r="J85" s="2" t="n">
        <f aca="false">MIN(J84+1,I85+1,I84+IF($A85=J$4,0,1))</f>
        <v>77</v>
      </c>
      <c r="K85" s="2" t="n">
        <f aca="false">MIN(K84+1,J85+1,J84+IF($A85=K$4,0,1))</f>
        <v>76</v>
      </c>
      <c r="L85" s="2" t="n">
        <f aca="false">MIN(L84+1,K85+1,K84+IF($A85=L$4,0,1))</f>
        <v>76</v>
      </c>
      <c r="M85" s="2" t="n">
        <f aca="false">MIN(M84+1,L85+1,L84+IF($A85=M$4,0,1))</f>
        <v>76</v>
      </c>
      <c r="N85" s="2" t="n">
        <f aca="false">MIN(N84+1,M85+1,M84+IF($A85=N$4,0,1))</f>
        <v>75</v>
      </c>
      <c r="O85" s="2" t="n">
        <f aca="false">MIN(O84+1,N85+1,N84+IF($A85=O$4,0,1))</f>
        <v>75</v>
      </c>
      <c r="P85" s="2" t="n">
        <f aca="false">MIN(P84+1,O85+1,O84+IF($A85=P$4,0,1))</f>
        <v>75</v>
      </c>
      <c r="Q85" s="2" t="n">
        <f aca="false">MIN(Q84+1,P85+1,P84+IF($A85=Q$4,0,1))</f>
        <v>75</v>
      </c>
      <c r="R85" s="2" t="n">
        <f aca="false">MIN(R84+1,Q85+1,Q84+IF($A85=R$4,0,1))</f>
        <v>75</v>
      </c>
      <c r="S85" s="2" t="n">
        <f aca="false">MIN(S84+1,R85+1,R84+IF($A85=S$4,0,1))</f>
        <v>75</v>
      </c>
      <c r="T85" s="2" t="n">
        <f aca="false">MIN(T84+1,S85+1,S84+IF($A85=T$4,0,1))</f>
        <v>75</v>
      </c>
      <c r="U85" s="2" t="n">
        <f aca="false">MIN(U84+1,T85+1,T84+IF($A85=U$4,0,1))</f>
        <v>74</v>
      </c>
      <c r="V85" s="2" t="n">
        <f aca="false">MIN(V84+1,U85+1,U84+IF($A85=V$4,0,1))</f>
        <v>74</v>
      </c>
      <c r="W85" s="2" t="n">
        <f aca="false">MIN(W84+1,V85+1,V84+IF($A85=W$4,0,1))</f>
        <v>74</v>
      </c>
      <c r="X85" s="2" t="n">
        <f aca="false">MIN(X84+1,W85+1,W84+IF($A85=X$4,0,1))</f>
        <v>74</v>
      </c>
      <c r="Y85" s="2" t="n">
        <f aca="false">MIN(Y84+1,X85+1,X84+IF($A85=Y$4,0,1))</f>
        <v>74</v>
      </c>
      <c r="Z85" s="2" t="n">
        <f aca="false">MIN(Z84+1,Y85+1,Y84+IF($A85=Z$4,0,1))</f>
        <v>74</v>
      </c>
      <c r="AA85" s="2" t="n">
        <f aca="false">MIN(AA84+1,Z85+1,Z84+IF($A85=AA$4,0,1))</f>
        <v>74</v>
      </c>
      <c r="AB85" s="2" t="n">
        <f aca="false">MIN(AB84+1,AA85+1,AA84+IF($A85=AB$4,0,1))</f>
        <v>74</v>
      </c>
      <c r="AC85" s="2" t="n">
        <f aca="false">MIN(AC84+1,AB85+1,AB84+IF($A85=AC$4,0,1))</f>
        <v>74</v>
      </c>
      <c r="AD85" s="2" t="n">
        <f aca="false">MIN(AD84+1,AC85+1,AC84+IF($A85=AD$4,0,1))</f>
        <v>74</v>
      </c>
      <c r="AE85" s="2" t="n">
        <f aca="false">MIN(AE84+1,AD85+1,AD84+IF($A85=AE$4,0,1))</f>
        <v>75</v>
      </c>
      <c r="AF85" s="2" t="n">
        <f aca="false">MIN(AF84+1,AE85+1,AE84+IF($A85=AF$4,0,1))</f>
        <v>75</v>
      </c>
      <c r="AG85" s="2" t="n">
        <f aca="false">MIN(AG84+1,AF85+1,AF84+IF($A85=AG$4,0,1))</f>
        <v>75</v>
      </c>
      <c r="AH85" s="2" t="n">
        <f aca="false">MIN(AH84+1,AG85+1,AG84+IF($A85=AH$4,0,1))</f>
        <v>75</v>
      </c>
      <c r="AI85" s="2" t="n">
        <f aca="false">MIN(AI84+1,AH85+1,AH84+IF($A85=AI$4,0,1))</f>
        <v>75</v>
      </c>
      <c r="AJ85" s="2" t="n">
        <f aca="false">MIN(AJ84+1,AI85+1,AI84+IF($A85=AJ$4,0,1))</f>
        <v>75</v>
      </c>
      <c r="AK85" s="2" t="n">
        <f aca="false">MIN(AK84+1,AJ85+1,AJ84+IF($A85=AK$4,0,1))</f>
        <v>75</v>
      </c>
      <c r="AL85" s="2" t="n">
        <f aca="false">MIN(AL84+1,AK85+1,AK84+IF($A85=AL$4,0,1))</f>
        <v>75</v>
      </c>
      <c r="AM85" s="2" t="n">
        <f aca="false">MIN(AM84+1,AL85+1,AL84+IF($A85=AM$4,0,1))</f>
        <v>75</v>
      </c>
      <c r="AN85" s="2" t="n">
        <f aca="false">MIN(AN84+1,AM85+1,AM84+IF($A85=AN$4,0,1))</f>
        <v>75</v>
      </c>
      <c r="AO85" s="2" t="n">
        <f aca="false">MIN(AO84+1,AN85+1,AN84+IF($A85=AO$4,0,1))</f>
        <v>75</v>
      </c>
      <c r="AP85" s="2" t="n">
        <f aca="false">MIN(AP84+1,AO85+1,AO84+IF($A85=AP$4,0,1))</f>
        <v>75</v>
      </c>
      <c r="AQ85" s="2" t="n">
        <f aca="false">MIN(AQ84+1,AP85+1,AP84+IF($A85=AQ$4,0,1))</f>
        <v>75</v>
      </c>
      <c r="AR85" s="2" t="n">
        <f aca="false">MIN(AR84+1,AQ85+1,AQ84+IF($A85=AR$4,0,1))</f>
        <v>75</v>
      </c>
      <c r="AS85" s="2" t="n">
        <f aca="false">MIN(AS84+1,AR85+1,AR84+IF($A85=AS$4,0,1))</f>
        <v>75</v>
      </c>
      <c r="AT85" s="2" t="n">
        <f aca="false">MIN(AT84+1,AS85+1,AS84+IF($A85=AT$4,0,1))</f>
        <v>75</v>
      </c>
      <c r="AU85" s="2" t="n">
        <f aca="false">MIN(AU84+1,AT85+1,AT84+IF($A85=AU$4,0,1))</f>
        <v>75</v>
      </c>
      <c r="AV85" s="2" t="n">
        <f aca="false">MIN(AV84+1,AU85+1,AU84+IF($A85=AV$4,0,1))</f>
        <v>75</v>
      </c>
      <c r="AW85" s="2" t="n">
        <f aca="false">MIN(AW84+1,AV85+1,AV84+IF($A85=AW$4,0,1))</f>
        <v>75</v>
      </c>
      <c r="AX85" s="2" t="n">
        <f aca="false">MIN(AX84+1,AW85+1,AW84+IF($A85=AX$4,0,1))</f>
        <v>76</v>
      </c>
      <c r="AY85" s="2" t="n">
        <f aca="false">MIN(AY84+1,AX85+1,AX84+IF($A85=AY$4,0,1))</f>
        <v>76</v>
      </c>
      <c r="AZ85" s="2" t="n">
        <f aca="false">MIN(AZ84+1,AY85+1,AY84+IF($A85=AZ$4,0,1))</f>
        <v>76</v>
      </c>
      <c r="BA85" s="2" t="n">
        <f aca="false">MIN(BA84+1,AZ85+1,AZ84+IF($A85=BA$4,0,1))</f>
        <v>76</v>
      </c>
      <c r="BB85" s="2" t="n">
        <f aca="false">MIN(BB84+1,BA85+1,BA84+IF($A85=BB$4,0,1))</f>
        <v>76</v>
      </c>
      <c r="BC85" s="2" t="n">
        <f aca="false">MIN(BC84+1,BB85+1,BB84+IF($A85=BC$4,0,1))</f>
        <v>76</v>
      </c>
      <c r="BD85" s="2" t="n">
        <f aca="false">MIN(BD84+1,BC85+1,BC84+IF($A85=BD$4,0,1))</f>
        <v>76</v>
      </c>
      <c r="BE85" s="2" t="n">
        <f aca="false">MIN(BE84+1,BD85+1,BD84+IF($A85=BE$4,0,1))</f>
        <v>76</v>
      </c>
      <c r="BF85" s="2" t="n">
        <f aca="false">MIN(BF84+1,BE85+1,BE84+IF($A85=BF$4,0,1))</f>
        <v>76</v>
      </c>
      <c r="BG85" s="2" t="n">
        <f aca="false">MIN(BG84+1,BF85+1,BF84+IF($A85=BG$4,0,1))</f>
        <v>76</v>
      </c>
      <c r="BH85" s="2" t="n">
        <f aca="false">MIN(BH84+1,BG85+1,BG84+IF($A85=BH$4,0,1))</f>
        <v>76</v>
      </c>
      <c r="BI85" s="2" t="n">
        <f aca="false">MIN(BI84+1,BH85+1,BH84+IF($A85=BI$4,0,1))</f>
        <v>75</v>
      </c>
      <c r="BJ85" s="2" t="n">
        <f aca="false">MIN(BJ84+1,BI85+1,BI84+IF($A85=BJ$4,0,1))</f>
        <v>75</v>
      </c>
      <c r="BK85" s="2" t="n">
        <f aca="false">MIN(BK84+1,BJ85+1,BJ84+IF($A85=BK$4,0,1))</f>
        <v>75</v>
      </c>
      <c r="BL85" s="2" t="n">
        <f aca="false">MIN(BL84+1,BK85+1,BK84+IF($A85=BL$4,0,1))</f>
        <v>75</v>
      </c>
      <c r="BM85" s="2" t="n">
        <f aca="false">MIN(BM84+1,BL85+1,BL84+IF($A85=BM$4,0,1))</f>
        <v>75</v>
      </c>
      <c r="BN85" s="2" t="n">
        <f aca="false">MIN(BN84+1,BM85+1,BM84+IF($A85=BN$4,0,1))</f>
        <v>75</v>
      </c>
      <c r="BO85" s="2" t="n">
        <f aca="false">MIN(BO84+1,BN85+1,BN84+IF($A85=BO$4,0,1))</f>
        <v>75</v>
      </c>
      <c r="BP85" s="2" t="n">
        <f aca="false">MIN(BP84+1,BO85+1,BO84+IF($A85=BP$4,0,1))</f>
        <v>75</v>
      </c>
      <c r="BQ85" s="2" t="n">
        <f aca="false">MIN(BQ84+1,BP85+1,BP84+IF($A85=BQ$4,0,1))</f>
        <v>75</v>
      </c>
      <c r="BR85" s="2" t="n">
        <f aca="false">MIN(BR84+1,BQ85+1,BQ84+IF($A85=BR$4,0,1))</f>
        <v>75</v>
      </c>
      <c r="BS85" s="2" t="n">
        <f aca="false">MIN(BS84+1,BR85+1,BR84+IF($A85=BS$4,0,1))</f>
        <v>76</v>
      </c>
      <c r="BT85" s="2" t="n">
        <f aca="false">MIN(BT84+1,BS85+1,BS84+IF($A85=BT$4,0,1))</f>
        <v>77</v>
      </c>
      <c r="BU85" s="2" t="n">
        <f aca="false">MIN(BU84+1,BT85+1,BT84+IF($A85=BU$4,0,1))</f>
        <v>77</v>
      </c>
      <c r="BV85" s="2" t="n">
        <f aca="false">MIN(BV84+1,BU85+1,BU84+IF($A85=BV$4,0,1))</f>
        <v>77</v>
      </c>
      <c r="BW85" s="2" t="n">
        <f aca="false">MIN(BW84+1,BV85+1,BV84+IF($A85=BW$4,0,1))</f>
        <v>77</v>
      </c>
      <c r="BX85" s="2" t="n">
        <f aca="false">MIN(BX84+1,BW85+1,BW84+IF($A85=BX$4,0,1))</f>
        <v>77</v>
      </c>
      <c r="BY85" s="2" t="n">
        <f aca="false">MIN(BY84+1,BX85+1,BX84+IF($A85=BY$4,0,1))</f>
        <v>77</v>
      </c>
      <c r="BZ85" s="2" t="n">
        <f aca="false">MIN(BZ84+1,BY85+1,BY84+IF($A85=BZ$4,0,1))</f>
        <v>77</v>
      </c>
      <c r="CA85" s="2" t="n">
        <f aca="false">MIN(CA84+1,BZ85+1,BZ84+IF($A85=CA$4,0,1))</f>
        <v>77</v>
      </c>
      <c r="CB85" s="2" t="n">
        <f aca="false">MIN(CB84+1,CA85+1,CA84+IF($A85=CB$4,0,1))</f>
        <v>77</v>
      </c>
      <c r="CC85" s="2" t="n">
        <f aca="false">MIN(CC84+1,CB85+1,CB84+IF($A85=CC$4,0,1))</f>
        <v>77</v>
      </c>
      <c r="CD85" s="2" t="n">
        <f aca="false">MIN(CD84+1,CC85+1,CC84+IF($A85=CD$4,0,1))</f>
        <v>77</v>
      </c>
      <c r="CE85" s="2" t="n">
        <f aca="false">MIN(CE84+1,CD85+1,CD84+IF($A85=CE$4,0,1))</f>
        <v>77</v>
      </c>
      <c r="CF85" s="2" t="n">
        <f aca="false">MIN(CF84+1,CE85+1,CE84+IF($A85=CF$4,0,1))</f>
        <v>78</v>
      </c>
      <c r="CG85" s="2" t="n">
        <f aca="false">MIN(CG84+1,CF85+1,CF84+IF($A85=CG$4,0,1))</f>
        <v>79</v>
      </c>
      <c r="CH85" s="2" t="n">
        <f aca="false">MIN(CH84+1,CG85+1,CG84+IF($A85=CH$4,0,1))</f>
        <v>80</v>
      </c>
      <c r="CI85" s="2" t="n">
        <f aca="false">MIN(CI84+1,CH85+1,CH84+IF($A85=CI$4,0,1))</f>
        <v>81</v>
      </c>
      <c r="CJ85" s="2" t="n">
        <f aca="false">MIN(CJ84+1,CI85+1,CI84+IF($A85=CJ$4,0,1))</f>
        <v>82</v>
      </c>
      <c r="CK85" s="2" t="n">
        <f aca="false">MIN(CK84+1,CJ85+1,CJ84+IF($A85=CK$4,0,1))</f>
        <v>83</v>
      </c>
      <c r="CL85" s="2" t="n">
        <f aca="false">MIN(CL84+1,CK85+1,CK84+IF($A85=CL$4,0,1))</f>
        <v>84</v>
      </c>
      <c r="CM85" s="2" t="n">
        <f aca="false">MIN(CM84+1,CL85+1,CL84+IF($A85=CM$4,0,1))</f>
        <v>85</v>
      </c>
      <c r="CN85" s="2" t="n">
        <f aca="false">MIN(CN84+1,CM85+1,CM84+IF($A85=CN$4,0,1))</f>
        <v>86</v>
      </c>
      <c r="CO85" s="2" t="n">
        <f aca="false">MIN(CO84+1,CN85+1,CN84+IF($A85=CO$4,0,1))</f>
        <v>87</v>
      </c>
      <c r="CP85" s="2" t="n">
        <f aca="false">MIN(CP84+1,CO85+1,CO84+IF($A85=CP$4,0,1))</f>
        <v>88</v>
      </c>
      <c r="CQ85" s="2" t="n">
        <f aca="false">MIN(CQ84+1,CP85+1,CP84+IF($A85=CQ$4,0,1))</f>
        <v>89</v>
      </c>
    </row>
    <row r="86" customFormat="false" ht="15" hidden="false" customHeight="false" outlineLevel="0" collapsed="false">
      <c r="A86" s="4" t="s">
        <v>194</v>
      </c>
      <c r="B86" s="12" t="n">
        <v>81</v>
      </c>
      <c r="C86" s="2" t="n">
        <f aca="false">MIN(C85+1,B86+1,B85+IF($A86=C$4,0,1))</f>
        <v>81</v>
      </c>
      <c r="D86" s="2" t="n">
        <f aca="false">MIN(D85+1,C86+1,C85+IF($A86=D$4,0,1))</f>
        <v>80</v>
      </c>
      <c r="E86" s="2" t="n">
        <f aca="false">MIN(E85+1,D86+1,D85+IF($A86=E$4,0,1))</f>
        <v>79</v>
      </c>
      <c r="F86" s="2" t="n">
        <f aca="false">MIN(F85+1,E86+1,E85+IF($A86=F$4,0,1))</f>
        <v>78</v>
      </c>
      <c r="G86" s="2" t="n">
        <f aca="false">MIN(G85+1,F86+1,F85+IF($A86=G$4,0,1))</f>
        <v>78</v>
      </c>
      <c r="H86" s="2" t="n">
        <f aca="false">MIN(H85+1,G86+1,G85+IF($A86=H$4,0,1))</f>
        <v>78</v>
      </c>
      <c r="I86" s="2" t="n">
        <f aca="false">MIN(I85+1,H86+1,H85+IF($A86=I$4,0,1))</f>
        <v>78</v>
      </c>
      <c r="J86" s="2" t="n">
        <f aca="false">MIN(J85+1,I86+1,I85+IF($A86=J$4,0,1))</f>
        <v>78</v>
      </c>
      <c r="K86" s="2" t="n">
        <f aca="false">MIN(K85+1,J86+1,J85+IF($A86=K$4,0,1))</f>
        <v>77</v>
      </c>
      <c r="L86" s="2" t="n">
        <f aca="false">MIN(L85+1,K86+1,K85+IF($A86=L$4,0,1))</f>
        <v>77</v>
      </c>
      <c r="M86" s="2" t="n">
        <f aca="false">MIN(M85+1,L86+1,L85+IF($A86=M$4,0,1))</f>
        <v>77</v>
      </c>
      <c r="N86" s="2" t="n">
        <f aca="false">MIN(N85+1,M86+1,M85+IF($A86=N$4,0,1))</f>
        <v>76</v>
      </c>
      <c r="O86" s="2" t="n">
        <f aca="false">MIN(O85+1,N86+1,N85+IF($A86=O$4,0,1))</f>
        <v>76</v>
      </c>
      <c r="P86" s="2" t="n">
        <f aca="false">MIN(P85+1,O86+1,O85+IF($A86=P$4,0,1))</f>
        <v>76</v>
      </c>
      <c r="Q86" s="2" t="n">
        <f aca="false">MIN(Q85+1,P86+1,P85+IF($A86=Q$4,0,1))</f>
        <v>76</v>
      </c>
      <c r="R86" s="2" t="n">
        <f aca="false">MIN(R85+1,Q86+1,Q85+IF($A86=R$4,0,1))</f>
        <v>76</v>
      </c>
      <c r="S86" s="2" t="n">
        <f aca="false">MIN(S85+1,R86+1,R85+IF($A86=S$4,0,1))</f>
        <v>76</v>
      </c>
      <c r="T86" s="2" t="n">
        <f aca="false">MIN(T85+1,S86+1,S85+IF($A86=T$4,0,1))</f>
        <v>76</v>
      </c>
      <c r="U86" s="2" t="n">
        <f aca="false">MIN(U85+1,T86+1,T85+IF($A86=U$4,0,1))</f>
        <v>75</v>
      </c>
      <c r="V86" s="2" t="n">
        <f aca="false">MIN(V85+1,U86+1,U85+IF($A86=V$4,0,1))</f>
        <v>75</v>
      </c>
      <c r="W86" s="2" t="n">
        <f aca="false">MIN(W85+1,V86+1,V85+IF($A86=W$4,0,1))</f>
        <v>75</v>
      </c>
      <c r="X86" s="2" t="n">
        <f aca="false">MIN(X85+1,W86+1,W85+IF($A86=X$4,0,1))</f>
        <v>75</v>
      </c>
      <c r="Y86" s="2" t="n">
        <f aca="false">MIN(Y85+1,X86+1,X85+IF($A86=Y$4,0,1))</f>
        <v>75</v>
      </c>
      <c r="Z86" s="2" t="n">
        <f aca="false">MIN(Z85+1,Y86+1,Y85+IF($A86=Z$4,0,1))</f>
        <v>75</v>
      </c>
      <c r="AA86" s="2" t="n">
        <f aca="false">MIN(AA85+1,Z86+1,Z85+IF($A86=AA$4,0,1))</f>
        <v>75</v>
      </c>
      <c r="AB86" s="2" t="n">
        <f aca="false">MIN(AB85+1,AA86+1,AA85+IF($A86=AB$4,0,1))</f>
        <v>75</v>
      </c>
      <c r="AC86" s="2" t="n">
        <f aca="false">MIN(AC85+1,AB86+1,AB85+IF($A86=AC$4,0,1))</f>
        <v>75</v>
      </c>
      <c r="AD86" s="2" t="n">
        <f aca="false">MIN(AD85+1,AC86+1,AC85+IF($A86=AD$4,0,1))</f>
        <v>75</v>
      </c>
      <c r="AE86" s="2" t="n">
        <f aca="false">MIN(AE85+1,AD86+1,AD85+IF($A86=AE$4,0,1))</f>
        <v>75</v>
      </c>
      <c r="AF86" s="2" t="n">
        <f aca="false">MIN(AF85+1,AE86+1,AE85+IF($A86=AF$4,0,1))</f>
        <v>76</v>
      </c>
      <c r="AG86" s="2" t="n">
        <f aca="false">MIN(AG85+1,AF86+1,AF85+IF($A86=AG$4,0,1))</f>
        <v>76</v>
      </c>
      <c r="AH86" s="2" t="n">
        <f aca="false">MIN(AH85+1,AG86+1,AG85+IF($A86=AH$4,0,1))</f>
        <v>76</v>
      </c>
      <c r="AI86" s="2" t="n">
        <f aca="false">MIN(AI85+1,AH86+1,AH85+IF($A86=AI$4,0,1))</f>
        <v>76</v>
      </c>
      <c r="AJ86" s="2" t="n">
        <f aca="false">MIN(AJ85+1,AI86+1,AI85+IF($A86=AJ$4,0,1))</f>
        <v>76</v>
      </c>
      <c r="AK86" s="2" t="n">
        <f aca="false">MIN(AK85+1,AJ86+1,AJ85+IF($A86=AK$4,0,1))</f>
        <v>76</v>
      </c>
      <c r="AL86" s="2" t="n">
        <f aca="false">MIN(AL85+1,AK86+1,AK85+IF($A86=AL$4,0,1))</f>
        <v>76</v>
      </c>
      <c r="AM86" s="2" t="n">
        <f aca="false">MIN(AM85+1,AL86+1,AL85+IF($A86=AM$4,0,1))</f>
        <v>76</v>
      </c>
      <c r="AN86" s="2" t="n">
        <f aca="false">MIN(AN85+1,AM86+1,AM85+IF($A86=AN$4,0,1))</f>
        <v>76</v>
      </c>
      <c r="AO86" s="2" t="n">
        <f aca="false">MIN(AO85+1,AN86+1,AN85+IF($A86=AO$4,0,1))</f>
        <v>76</v>
      </c>
      <c r="AP86" s="2" t="n">
        <f aca="false">MIN(AP85+1,AO86+1,AO85+IF($A86=AP$4,0,1))</f>
        <v>76</v>
      </c>
      <c r="AQ86" s="2" t="n">
        <f aca="false">MIN(AQ85+1,AP86+1,AP85+IF($A86=AQ$4,0,1))</f>
        <v>76</v>
      </c>
      <c r="AR86" s="2" t="n">
        <f aca="false">MIN(AR85+1,AQ86+1,AQ85+IF($A86=AR$4,0,1))</f>
        <v>76</v>
      </c>
      <c r="AS86" s="2" t="n">
        <f aca="false">MIN(AS85+1,AR86+1,AR85+IF($A86=AS$4,0,1))</f>
        <v>76</v>
      </c>
      <c r="AT86" s="2" t="n">
        <f aca="false">MIN(AT85+1,AS86+1,AS85+IF($A86=AT$4,0,1))</f>
        <v>76</v>
      </c>
      <c r="AU86" s="2" t="n">
        <f aca="false">MIN(AU85+1,AT86+1,AT85+IF($A86=AU$4,0,1))</f>
        <v>76</v>
      </c>
      <c r="AV86" s="2" t="n">
        <f aca="false">MIN(AV85+1,AU86+1,AU85+IF($A86=AV$4,0,1))</f>
        <v>76</v>
      </c>
      <c r="AW86" s="2" t="n">
        <f aca="false">MIN(AW85+1,AV86+1,AV85+IF($A86=AW$4,0,1))</f>
        <v>76</v>
      </c>
      <c r="AX86" s="2" t="n">
        <f aca="false">MIN(AX85+1,AW86+1,AW85+IF($A86=AX$4,0,1))</f>
        <v>76</v>
      </c>
      <c r="AY86" s="2" t="n">
        <f aca="false">MIN(AY85+1,AX86+1,AX85+IF($A86=AY$4,0,1))</f>
        <v>77</v>
      </c>
      <c r="AZ86" s="2" t="n">
        <f aca="false">MIN(AZ85+1,AY86+1,AY85+IF($A86=AZ$4,0,1))</f>
        <v>77</v>
      </c>
      <c r="BA86" s="2" t="n">
        <f aca="false">MIN(BA85+1,AZ86+1,AZ85+IF($A86=BA$4,0,1))</f>
        <v>77</v>
      </c>
      <c r="BB86" s="2" t="n">
        <f aca="false">MIN(BB85+1,BA86+1,BA85+IF($A86=BB$4,0,1))</f>
        <v>77</v>
      </c>
      <c r="BC86" s="2" t="n">
        <f aca="false">MIN(BC85+1,BB86+1,BB85+IF($A86=BC$4,0,1))</f>
        <v>77</v>
      </c>
      <c r="BD86" s="2" t="n">
        <f aca="false">MIN(BD85+1,BC86+1,BC85+IF($A86=BD$4,0,1))</f>
        <v>77</v>
      </c>
      <c r="BE86" s="2" t="n">
        <f aca="false">MIN(BE85+1,BD86+1,BD85+IF($A86=BE$4,0,1))</f>
        <v>77</v>
      </c>
      <c r="BF86" s="2" t="n">
        <f aca="false">MIN(BF85+1,BE86+1,BE85+IF($A86=BF$4,0,1))</f>
        <v>77</v>
      </c>
      <c r="BG86" s="2" t="n">
        <f aca="false">MIN(BG85+1,BF86+1,BF85+IF($A86=BG$4,0,1))</f>
        <v>77</v>
      </c>
      <c r="BH86" s="2" t="n">
        <f aca="false">MIN(BH85+1,BG86+1,BG85+IF($A86=BH$4,0,1))</f>
        <v>77</v>
      </c>
      <c r="BI86" s="2" t="n">
        <f aca="false">MIN(BI85+1,BH86+1,BH85+IF($A86=BI$4,0,1))</f>
        <v>76</v>
      </c>
      <c r="BJ86" s="2" t="n">
        <f aca="false">MIN(BJ85+1,BI86+1,BI85+IF($A86=BJ$4,0,1))</f>
        <v>76</v>
      </c>
      <c r="BK86" s="2" t="n">
        <f aca="false">MIN(BK85+1,BJ86+1,BJ85+IF($A86=BK$4,0,1))</f>
        <v>76</v>
      </c>
      <c r="BL86" s="2" t="n">
        <f aca="false">MIN(BL85+1,BK86+1,BK85+IF($A86=BL$4,0,1))</f>
        <v>76</v>
      </c>
      <c r="BM86" s="2" t="n">
        <f aca="false">MIN(BM85+1,BL86+1,BL85+IF($A86=BM$4,0,1))</f>
        <v>76</v>
      </c>
      <c r="BN86" s="2" t="n">
        <f aca="false">MIN(BN85+1,BM86+1,BM85+IF($A86=BN$4,0,1))</f>
        <v>76</v>
      </c>
      <c r="BO86" s="2" t="n">
        <f aca="false">MIN(BO85+1,BN86+1,BN85+IF($A86=BO$4,0,1))</f>
        <v>76</v>
      </c>
      <c r="BP86" s="2" t="n">
        <f aca="false">MIN(BP85+1,BO86+1,BO85+IF($A86=BP$4,0,1))</f>
        <v>76</v>
      </c>
      <c r="BQ86" s="2" t="n">
        <f aca="false">MIN(BQ85+1,BP86+1,BP85+IF($A86=BQ$4,0,1))</f>
        <v>76</v>
      </c>
      <c r="BR86" s="2" t="n">
        <f aca="false">MIN(BR85+1,BQ86+1,BQ85+IF($A86=BR$4,0,1))</f>
        <v>76</v>
      </c>
      <c r="BS86" s="2" t="n">
        <f aca="false">MIN(BS85+1,BR86+1,BR85+IF($A86=BS$4,0,1))</f>
        <v>76</v>
      </c>
      <c r="BT86" s="2" t="n">
        <f aca="false">MIN(BT85+1,BS86+1,BS85+IF($A86=BT$4,0,1))</f>
        <v>77</v>
      </c>
      <c r="BU86" s="2" t="n">
        <f aca="false">MIN(BU85+1,BT86+1,BT85+IF($A86=BU$4,0,1))</f>
        <v>78</v>
      </c>
      <c r="BV86" s="2" t="n">
        <f aca="false">MIN(BV85+1,BU86+1,BU85+IF($A86=BV$4,0,1))</f>
        <v>78</v>
      </c>
      <c r="BW86" s="2" t="n">
        <f aca="false">MIN(BW85+1,BV86+1,BV85+IF($A86=BW$4,0,1))</f>
        <v>78</v>
      </c>
      <c r="BX86" s="2" t="n">
        <f aca="false">MIN(BX85+1,BW86+1,BW85+IF($A86=BX$4,0,1))</f>
        <v>78</v>
      </c>
      <c r="BY86" s="2" t="n">
        <f aca="false">MIN(BY85+1,BX86+1,BX85+IF($A86=BY$4,0,1))</f>
        <v>78</v>
      </c>
      <c r="BZ86" s="2" t="n">
        <f aca="false">MIN(BZ85+1,BY86+1,BY85+IF($A86=BZ$4,0,1))</f>
        <v>78</v>
      </c>
      <c r="CA86" s="2" t="n">
        <f aca="false">MIN(CA85+1,BZ86+1,BZ85+IF($A86=CA$4,0,1))</f>
        <v>78</v>
      </c>
      <c r="CB86" s="2" t="n">
        <f aca="false">MIN(CB85+1,CA86+1,CA85+IF($A86=CB$4,0,1))</f>
        <v>78</v>
      </c>
      <c r="CC86" s="2" t="n">
        <f aca="false">MIN(CC85+1,CB86+1,CB85+IF($A86=CC$4,0,1))</f>
        <v>78</v>
      </c>
      <c r="CD86" s="2" t="n">
        <f aca="false">MIN(CD85+1,CC86+1,CC85+IF($A86=CD$4,0,1))</f>
        <v>78</v>
      </c>
      <c r="CE86" s="2" t="n">
        <f aca="false">MIN(CE85+1,CD86+1,CD85+IF($A86=CE$4,0,1))</f>
        <v>78</v>
      </c>
      <c r="CF86" s="2" t="n">
        <f aca="false">MIN(CF85+1,CE86+1,CE85+IF($A86=CF$4,0,1))</f>
        <v>78</v>
      </c>
      <c r="CG86" s="2" t="n">
        <f aca="false">MIN(CG85+1,CF86+1,CF85+IF($A86=CG$4,0,1))</f>
        <v>79</v>
      </c>
      <c r="CH86" s="2" t="n">
        <f aca="false">MIN(CH85+1,CG86+1,CG85+IF($A86=CH$4,0,1))</f>
        <v>80</v>
      </c>
      <c r="CI86" s="2" t="n">
        <f aca="false">MIN(CI85+1,CH86+1,CH85+IF($A86=CI$4,0,1))</f>
        <v>81</v>
      </c>
      <c r="CJ86" s="2" t="n">
        <f aca="false">MIN(CJ85+1,CI86+1,CI85+IF($A86=CJ$4,0,1))</f>
        <v>82</v>
      </c>
      <c r="CK86" s="2" t="n">
        <f aca="false">MIN(CK85+1,CJ86+1,CJ85+IF($A86=CK$4,0,1))</f>
        <v>83</v>
      </c>
      <c r="CL86" s="2" t="n">
        <f aca="false">MIN(CL85+1,CK86+1,CK85+IF($A86=CL$4,0,1))</f>
        <v>84</v>
      </c>
      <c r="CM86" s="2" t="n">
        <f aca="false">MIN(CM85+1,CL86+1,CL85+IF($A86=CM$4,0,1))</f>
        <v>85</v>
      </c>
      <c r="CN86" s="2" t="n">
        <f aca="false">MIN(CN85+1,CM86+1,CM85+IF($A86=CN$4,0,1))</f>
        <v>86</v>
      </c>
      <c r="CO86" s="2" t="n">
        <f aca="false">MIN(CO85+1,CN86+1,CN85+IF($A86=CO$4,0,1))</f>
        <v>87</v>
      </c>
      <c r="CP86" s="2" t="n">
        <f aca="false">MIN(CP85+1,CO86+1,CO85+IF($A86=CP$4,0,1))</f>
        <v>88</v>
      </c>
      <c r="CQ86" s="2" t="n">
        <f aca="false">MIN(CQ85+1,CP86+1,CP85+IF($A86=CQ$4,0,1))</f>
        <v>89</v>
      </c>
    </row>
    <row r="87" customFormat="false" ht="15" hidden="false" customHeight="false" outlineLevel="0" collapsed="false">
      <c r="A87" s="4" t="s">
        <v>195</v>
      </c>
      <c r="B87" s="12" t="n">
        <v>82</v>
      </c>
      <c r="C87" s="2" t="n">
        <f aca="false">MIN(C86+1,B87+1,B86+IF($A87=C$4,0,1))</f>
        <v>82</v>
      </c>
      <c r="D87" s="2" t="n">
        <f aca="false">MIN(D86+1,C87+1,C86+IF($A87=D$4,0,1))</f>
        <v>81</v>
      </c>
      <c r="E87" s="2" t="n">
        <f aca="false">MIN(E86+1,D87+1,D86+IF($A87=E$4,0,1))</f>
        <v>80</v>
      </c>
      <c r="F87" s="2" t="n">
        <f aca="false">MIN(F86+1,E87+1,E86+IF($A87=F$4,0,1))</f>
        <v>79</v>
      </c>
      <c r="G87" s="2" t="n">
        <f aca="false">MIN(G86+1,F87+1,F86+IF($A87=G$4,0,1))</f>
        <v>79</v>
      </c>
      <c r="H87" s="2" t="n">
        <f aca="false">MIN(H86+1,G87+1,G86+IF($A87=H$4,0,1))</f>
        <v>79</v>
      </c>
      <c r="I87" s="2" t="n">
        <f aca="false">MIN(I86+1,H87+1,H86+IF($A87=I$4,0,1))</f>
        <v>79</v>
      </c>
      <c r="J87" s="2" t="n">
        <f aca="false">MIN(J86+1,I87+1,I86+IF($A87=J$4,0,1))</f>
        <v>79</v>
      </c>
      <c r="K87" s="2" t="n">
        <f aca="false">MIN(K86+1,J87+1,J86+IF($A87=K$4,0,1))</f>
        <v>78</v>
      </c>
      <c r="L87" s="2" t="n">
        <f aca="false">MIN(L86+1,K87+1,K86+IF($A87=L$4,0,1))</f>
        <v>78</v>
      </c>
      <c r="M87" s="2" t="n">
        <f aca="false">MIN(M86+1,L87+1,L86+IF($A87=M$4,0,1))</f>
        <v>78</v>
      </c>
      <c r="N87" s="2" t="n">
        <f aca="false">MIN(N86+1,M87+1,M86+IF($A87=N$4,0,1))</f>
        <v>77</v>
      </c>
      <c r="O87" s="2" t="n">
        <f aca="false">MIN(O86+1,N87+1,N86+IF($A87=O$4,0,1))</f>
        <v>77</v>
      </c>
      <c r="P87" s="2" t="n">
        <f aca="false">MIN(P86+1,O87+1,O86+IF($A87=P$4,0,1))</f>
        <v>77</v>
      </c>
      <c r="Q87" s="2" t="n">
        <f aca="false">MIN(Q86+1,P87+1,P86+IF($A87=Q$4,0,1))</f>
        <v>77</v>
      </c>
      <c r="R87" s="2" t="n">
        <f aca="false">MIN(R86+1,Q87+1,Q86+IF($A87=R$4,0,1))</f>
        <v>77</v>
      </c>
      <c r="S87" s="2" t="n">
        <f aca="false">MIN(S86+1,R87+1,R86+IF($A87=S$4,0,1))</f>
        <v>77</v>
      </c>
      <c r="T87" s="2" t="n">
        <f aca="false">MIN(T86+1,S87+1,S86+IF($A87=T$4,0,1))</f>
        <v>77</v>
      </c>
      <c r="U87" s="2" t="n">
        <f aca="false">MIN(U86+1,T87+1,T86+IF($A87=U$4,0,1))</f>
        <v>76</v>
      </c>
      <c r="V87" s="2" t="n">
        <f aca="false">MIN(V86+1,U87+1,U86+IF($A87=V$4,0,1))</f>
        <v>76</v>
      </c>
      <c r="W87" s="2" t="n">
        <f aca="false">MIN(W86+1,V87+1,V86+IF($A87=W$4,0,1))</f>
        <v>76</v>
      </c>
      <c r="X87" s="2" t="n">
        <f aca="false">MIN(X86+1,W87+1,W86+IF($A87=X$4,0,1))</f>
        <v>76</v>
      </c>
      <c r="Y87" s="2" t="n">
        <f aca="false">MIN(Y86+1,X87+1,X86+IF($A87=Y$4,0,1))</f>
        <v>76</v>
      </c>
      <c r="Z87" s="2" t="n">
        <f aca="false">MIN(Z86+1,Y87+1,Y86+IF($A87=Z$4,0,1))</f>
        <v>76</v>
      </c>
      <c r="AA87" s="2" t="n">
        <f aca="false">MIN(AA86+1,Z87+1,Z86+IF($A87=AA$4,0,1))</f>
        <v>76</v>
      </c>
      <c r="AB87" s="2" t="n">
        <f aca="false">MIN(AB86+1,AA87+1,AA86+IF($A87=AB$4,0,1))</f>
        <v>76</v>
      </c>
      <c r="AC87" s="2" t="n">
        <f aca="false">MIN(AC86+1,AB87+1,AB86+IF($A87=AC$4,0,1))</f>
        <v>76</v>
      </c>
      <c r="AD87" s="2" t="n">
        <f aca="false">MIN(AD86+1,AC87+1,AC86+IF($A87=AD$4,0,1))</f>
        <v>76</v>
      </c>
      <c r="AE87" s="2" t="n">
        <f aca="false">MIN(AE86+1,AD87+1,AD86+IF($A87=AE$4,0,1))</f>
        <v>76</v>
      </c>
      <c r="AF87" s="2" t="n">
        <f aca="false">MIN(AF86+1,AE87+1,AE86+IF($A87=AF$4,0,1))</f>
        <v>76</v>
      </c>
      <c r="AG87" s="2" t="n">
        <f aca="false">MIN(AG86+1,AF87+1,AF86+IF($A87=AG$4,0,1))</f>
        <v>77</v>
      </c>
      <c r="AH87" s="2" t="n">
        <f aca="false">MIN(AH86+1,AG87+1,AG86+IF($A87=AH$4,0,1))</f>
        <v>77</v>
      </c>
      <c r="AI87" s="2" t="n">
        <f aca="false">MIN(AI86+1,AH87+1,AH86+IF($A87=AI$4,0,1))</f>
        <v>77</v>
      </c>
      <c r="AJ87" s="2" t="n">
        <f aca="false">MIN(AJ86+1,AI87+1,AI86+IF($A87=AJ$4,0,1))</f>
        <v>77</v>
      </c>
      <c r="AK87" s="2" t="n">
        <f aca="false">MIN(AK86+1,AJ87+1,AJ86+IF($A87=AK$4,0,1))</f>
        <v>77</v>
      </c>
      <c r="AL87" s="2" t="n">
        <f aca="false">MIN(AL86+1,AK87+1,AK86+IF($A87=AL$4,0,1))</f>
        <v>77</v>
      </c>
      <c r="AM87" s="2" t="n">
        <f aca="false">MIN(AM86+1,AL87+1,AL86+IF($A87=AM$4,0,1))</f>
        <v>77</v>
      </c>
      <c r="AN87" s="2" t="n">
        <f aca="false">MIN(AN86+1,AM87+1,AM86+IF($A87=AN$4,0,1))</f>
        <v>77</v>
      </c>
      <c r="AO87" s="2" t="n">
        <f aca="false">MIN(AO86+1,AN87+1,AN86+IF($A87=AO$4,0,1))</f>
        <v>77</v>
      </c>
      <c r="AP87" s="2" t="n">
        <f aca="false">MIN(AP86+1,AO87+1,AO86+IF($A87=AP$4,0,1))</f>
        <v>77</v>
      </c>
      <c r="AQ87" s="2" t="n">
        <f aca="false">MIN(AQ86+1,AP87+1,AP86+IF($A87=AQ$4,0,1))</f>
        <v>77</v>
      </c>
      <c r="AR87" s="2" t="n">
        <f aca="false">MIN(AR86+1,AQ87+1,AQ86+IF($A87=AR$4,0,1))</f>
        <v>77</v>
      </c>
      <c r="AS87" s="2" t="n">
        <f aca="false">MIN(AS86+1,AR87+1,AR86+IF($A87=AS$4,0,1))</f>
        <v>77</v>
      </c>
      <c r="AT87" s="2" t="n">
        <f aca="false">MIN(AT86+1,AS87+1,AS86+IF($A87=AT$4,0,1))</f>
        <v>77</v>
      </c>
      <c r="AU87" s="2" t="n">
        <f aca="false">MIN(AU86+1,AT87+1,AT86+IF($A87=AU$4,0,1))</f>
        <v>77</v>
      </c>
      <c r="AV87" s="2" t="n">
        <f aca="false">MIN(AV86+1,AU87+1,AU86+IF($A87=AV$4,0,1))</f>
        <v>77</v>
      </c>
      <c r="AW87" s="2" t="n">
        <f aca="false">MIN(AW86+1,AV87+1,AV86+IF($A87=AW$4,0,1))</f>
        <v>77</v>
      </c>
      <c r="AX87" s="2" t="n">
        <f aca="false">MIN(AX86+1,AW87+1,AW86+IF($A87=AX$4,0,1))</f>
        <v>77</v>
      </c>
      <c r="AY87" s="2" t="n">
        <f aca="false">MIN(AY86+1,AX87+1,AX86+IF($A87=AY$4,0,1))</f>
        <v>77</v>
      </c>
      <c r="AZ87" s="2" t="n">
        <f aca="false">MIN(AZ86+1,AY87+1,AY86+IF($A87=AZ$4,0,1))</f>
        <v>78</v>
      </c>
      <c r="BA87" s="2" t="n">
        <f aca="false">MIN(BA86+1,AZ87+1,AZ86+IF($A87=BA$4,0,1))</f>
        <v>78</v>
      </c>
      <c r="BB87" s="2" t="n">
        <f aca="false">MIN(BB86+1,BA87+1,BA86+IF($A87=BB$4,0,1))</f>
        <v>78</v>
      </c>
      <c r="BC87" s="2" t="n">
        <f aca="false">MIN(BC86+1,BB87+1,BB86+IF($A87=BC$4,0,1))</f>
        <v>78</v>
      </c>
      <c r="BD87" s="2" t="n">
        <f aca="false">MIN(BD86+1,BC87+1,BC86+IF($A87=BD$4,0,1))</f>
        <v>78</v>
      </c>
      <c r="BE87" s="2" t="n">
        <f aca="false">MIN(BE86+1,BD87+1,BD86+IF($A87=BE$4,0,1))</f>
        <v>78</v>
      </c>
      <c r="BF87" s="2" t="n">
        <f aca="false">MIN(BF86+1,BE87+1,BE86+IF($A87=BF$4,0,1))</f>
        <v>78</v>
      </c>
      <c r="BG87" s="2" t="n">
        <f aca="false">MIN(BG86+1,BF87+1,BF86+IF($A87=BG$4,0,1))</f>
        <v>78</v>
      </c>
      <c r="BH87" s="2" t="n">
        <f aca="false">MIN(BH86+1,BG87+1,BG86+IF($A87=BH$4,0,1))</f>
        <v>78</v>
      </c>
      <c r="BI87" s="2" t="n">
        <f aca="false">MIN(BI86+1,BH87+1,BH86+IF($A87=BI$4,0,1))</f>
        <v>77</v>
      </c>
      <c r="BJ87" s="2" t="n">
        <f aca="false">MIN(BJ86+1,BI87+1,BI86+IF($A87=BJ$4,0,1))</f>
        <v>77</v>
      </c>
      <c r="BK87" s="2" t="n">
        <f aca="false">MIN(BK86+1,BJ87+1,BJ86+IF($A87=BK$4,0,1))</f>
        <v>77</v>
      </c>
      <c r="BL87" s="2" t="n">
        <f aca="false">MIN(BL86+1,BK87+1,BK86+IF($A87=BL$4,0,1))</f>
        <v>77</v>
      </c>
      <c r="BM87" s="2" t="n">
        <f aca="false">MIN(BM86+1,BL87+1,BL86+IF($A87=BM$4,0,1))</f>
        <v>77</v>
      </c>
      <c r="BN87" s="2" t="n">
        <f aca="false">MIN(BN86+1,BM87+1,BM86+IF($A87=BN$4,0,1))</f>
        <v>77</v>
      </c>
      <c r="BO87" s="2" t="n">
        <f aca="false">MIN(BO86+1,BN87+1,BN86+IF($A87=BO$4,0,1))</f>
        <v>77</v>
      </c>
      <c r="BP87" s="2" t="n">
        <f aca="false">MIN(BP86+1,BO87+1,BO86+IF($A87=BP$4,0,1))</f>
        <v>77</v>
      </c>
      <c r="BQ87" s="2" t="n">
        <f aca="false">MIN(BQ86+1,BP87+1,BP86+IF($A87=BQ$4,0,1))</f>
        <v>77</v>
      </c>
      <c r="BR87" s="2" t="n">
        <f aca="false">MIN(BR86+1,BQ87+1,BQ86+IF($A87=BR$4,0,1))</f>
        <v>77</v>
      </c>
      <c r="BS87" s="2" t="n">
        <f aca="false">MIN(BS86+1,BR87+1,BR86+IF($A87=BS$4,0,1))</f>
        <v>77</v>
      </c>
      <c r="BT87" s="2" t="n">
        <f aca="false">MIN(BT86+1,BS87+1,BS86+IF($A87=BT$4,0,1))</f>
        <v>77</v>
      </c>
      <c r="BU87" s="2" t="n">
        <f aca="false">MIN(BU86+1,BT87+1,BT86+IF($A87=BU$4,0,1))</f>
        <v>78</v>
      </c>
      <c r="BV87" s="2" t="n">
        <f aca="false">MIN(BV86+1,BU87+1,BU86+IF($A87=BV$4,0,1))</f>
        <v>79</v>
      </c>
      <c r="BW87" s="2" t="n">
        <f aca="false">MIN(BW86+1,BV87+1,BV86+IF($A87=BW$4,0,1))</f>
        <v>79</v>
      </c>
      <c r="BX87" s="2" t="n">
        <f aca="false">MIN(BX86+1,BW87+1,BW86+IF($A87=BX$4,0,1))</f>
        <v>79</v>
      </c>
      <c r="BY87" s="2" t="n">
        <f aca="false">MIN(BY86+1,BX87+1,BX86+IF($A87=BY$4,0,1))</f>
        <v>79</v>
      </c>
      <c r="BZ87" s="2" t="n">
        <f aca="false">MIN(BZ86+1,BY87+1,BY86+IF($A87=BZ$4,0,1))</f>
        <v>79</v>
      </c>
      <c r="CA87" s="2" t="n">
        <f aca="false">MIN(CA86+1,BZ87+1,BZ86+IF($A87=CA$4,0,1))</f>
        <v>79</v>
      </c>
      <c r="CB87" s="2" t="n">
        <f aca="false">MIN(CB86+1,CA87+1,CA86+IF($A87=CB$4,0,1))</f>
        <v>79</v>
      </c>
      <c r="CC87" s="2" t="n">
        <f aca="false">MIN(CC86+1,CB87+1,CB86+IF($A87=CC$4,0,1))</f>
        <v>79</v>
      </c>
      <c r="CD87" s="2" t="n">
        <f aca="false">MIN(CD86+1,CC87+1,CC86+IF($A87=CD$4,0,1))</f>
        <v>79</v>
      </c>
      <c r="CE87" s="2" t="n">
        <f aca="false">MIN(CE86+1,CD87+1,CD86+IF($A87=CE$4,0,1))</f>
        <v>79</v>
      </c>
      <c r="CF87" s="2" t="n">
        <f aca="false">MIN(CF86+1,CE87+1,CE86+IF($A87=CF$4,0,1))</f>
        <v>79</v>
      </c>
      <c r="CG87" s="2" t="n">
        <f aca="false">MIN(CG86+1,CF87+1,CF86+IF($A87=CG$4,0,1))</f>
        <v>79</v>
      </c>
      <c r="CH87" s="2" t="n">
        <f aca="false">MIN(CH86+1,CG87+1,CG86+IF($A87=CH$4,0,1))</f>
        <v>80</v>
      </c>
      <c r="CI87" s="2" t="n">
        <f aca="false">MIN(CI86+1,CH87+1,CH86+IF($A87=CI$4,0,1))</f>
        <v>81</v>
      </c>
      <c r="CJ87" s="2" t="n">
        <f aca="false">MIN(CJ86+1,CI87+1,CI86+IF($A87=CJ$4,0,1))</f>
        <v>82</v>
      </c>
      <c r="CK87" s="2" t="n">
        <f aca="false">MIN(CK86+1,CJ87+1,CJ86+IF($A87=CK$4,0,1))</f>
        <v>83</v>
      </c>
      <c r="CL87" s="2" t="n">
        <f aca="false">MIN(CL86+1,CK87+1,CK86+IF($A87=CL$4,0,1))</f>
        <v>84</v>
      </c>
      <c r="CM87" s="2" t="n">
        <f aca="false">MIN(CM86+1,CL87+1,CL86+IF($A87=CM$4,0,1))</f>
        <v>85</v>
      </c>
      <c r="CN87" s="2" t="n">
        <f aca="false">MIN(CN86+1,CM87+1,CM86+IF($A87=CN$4,0,1))</f>
        <v>86</v>
      </c>
      <c r="CO87" s="2" t="n">
        <f aca="false">MIN(CO86+1,CN87+1,CN86+IF($A87=CO$4,0,1))</f>
        <v>87</v>
      </c>
      <c r="CP87" s="2" t="n">
        <f aca="false">MIN(CP86+1,CO87+1,CO86+IF($A87=CP$4,0,1))</f>
        <v>88</v>
      </c>
      <c r="CQ87" s="2" t="n">
        <f aca="false">MIN(CQ86+1,CP87+1,CP86+IF($A87=CQ$4,0,1))</f>
        <v>89</v>
      </c>
    </row>
    <row r="88" customFormat="false" ht="15" hidden="false" customHeight="false" outlineLevel="0" collapsed="false">
      <c r="A88" s="4" t="s">
        <v>89</v>
      </c>
      <c r="B88" s="12" t="n">
        <v>83</v>
      </c>
      <c r="C88" s="2" t="n">
        <f aca="false">MIN(C87+1,B88+1,B87+IF($A88=C$4,0,1))</f>
        <v>83</v>
      </c>
      <c r="D88" s="2" t="n">
        <f aca="false">MIN(D87+1,C88+1,C87+IF($A88=D$4,0,1))</f>
        <v>82</v>
      </c>
      <c r="E88" s="2" t="n">
        <f aca="false">MIN(E87+1,D88+1,D87+IF($A88=E$4,0,1))</f>
        <v>81</v>
      </c>
      <c r="F88" s="2" t="n">
        <f aca="false">MIN(F87+1,E88+1,E87+IF($A88=F$4,0,1))</f>
        <v>80</v>
      </c>
      <c r="G88" s="2" t="n">
        <f aca="false">MIN(G87+1,F88+1,F87+IF($A88=G$4,0,1))</f>
        <v>80</v>
      </c>
      <c r="H88" s="2" t="n">
        <f aca="false">MIN(H87+1,G88+1,G87+IF($A88=H$4,0,1))</f>
        <v>80</v>
      </c>
      <c r="I88" s="2" t="n">
        <f aca="false">MIN(I87+1,H88+1,H87+IF($A88=I$4,0,1))</f>
        <v>80</v>
      </c>
      <c r="J88" s="2" t="n">
        <f aca="false">MIN(J87+1,I88+1,I87+IF($A88=J$4,0,1))</f>
        <v>80</v>
      </c>
      <c r="K88" s="2" t="n">
        <f aca="false">MIN(K87+1,J88+1,J87+IF($A88=K$4,0,1))</f>
        <v>79</v>
      </c>
      <c r="L88" s="2" t="n">
        <f aca="false">MIN(L87+1,K88+1,K87+IF($A88=L$4,0,1))</f>
        <v>79</v>
      </c>
      <c r="M88" s="2" t="n">
        <f aca="false">MIN(M87+1,L88+1,L87+IF($A88=M$4,0,1))</f>
        <v>79</v>
      </c>
      <c r="N88" s="2" t="n">
        <f aca="false">MIN(N87+1,M88+1,M87+IF($A88=N$4,0,1))</f>
        <v>78</v>
      </c>
      <c r="O88" s="2" t="n">
        <f aca="false">MIN(O87+1,N88+1,N87+IF($A88=O$4,0,1))</f>
        <v>77</v>
      </c>
      <c r="P88" s="2" t="n">
        <f aca="false">MIN(P87+1,O88+1,O87+IF($A88=P$4,0,1))</f>
        <v>78</v>
      </c>
      <c r="Q88" s="2" t="n">
        <f aca="false">MIN(Q87+1,P88+1,P87+IF($A88=Q$4,0,1))</f>
        <v>78</v>
      </c>
      <c r="R88" s="2" t="n">
        <f aca="false">MIN(R87+1,Q88+1,Q87+IF($A88=R$4,0,1))</f>
        <v>78</v>
      </c>
      <c r="S88" s="2" t="n">
        <f aca="false">MIN(S87+1,R88+1,R87+IF($A88=S$4,0,1))</f>
        <v>78</v>
      </c>
      <c r="T88" s="2" t="n">
        <f aca="false">MIN(T87+1,S88+1,S87+IF($A88=T$4,0,1))</f>
        <v>78</v>
      </c>
      <c r="U88" s="2" t="n">
        <f aca="false">MIN(U87+1,T88+1,T87+IF($A88=U$4,0,1))</f>
        <v>77</v>
      </c>
      <c r="V88" s="2" t="n">
        <f aca="false">MIN(V87+1,U88+1,U87+IF($A88=V$4,0,1))</f>
        <v>77</v>
      </c>
      <c r="W88" s="2" t="n">
        <f aca="false">MIN(W87+1,V88+1,V87+IF($A88=W$4,0,1))</f>
        <v>77</v>
      </c>
      <c r="X88" s="2" t="n">
        <f aca="false">MIN(X87+1,W88+1,W87+IF($A88=X$4,0,1))</f>
        <v>77</v>
      </c>
      <c r="Y88" s="2" t="n">
        <f aca="false">MIN(Y87+1,X88+1,X87+IF($A88=Y$4,0,1))</f>
        <v>77</v>
      </c>
      <c r="Z88" s="2" t="n">
        <f aca="false">MIN(Z87+1,Y88+1,Y87+IF($A88=Z$4,0,1))</f>
        <v>77</v>
      </c>
      <c r="AA88" s="2" t="n">
        <f aca="false">MIN(AA87+1,Z88+1,Z87+IF($A88=AA$4,0,1))</f>
        <v>77</v>
      </c>
      <c r="AB88" s="2" t="n">
        <f aca="false">MIN(AB87+1,AA88+1,AA87+IF($A88=AB$4,0,1))</f>
        <v>77</v>
      </c>
      <c r="AC88" s="2" t="n">
        <f aca="false">MIN(AC87+1,AB88+1,AB87+IF($A88=AC$4,0,1))</f>
        <v>77</v>
      </c>
      <c r="AD88" s="2" t="n">
        <f aca="false">MIN(AD87+1,AC88+1,AC87+IF($A88=AD$4,0,1))</f>
        <v>77</v>
      </c>
      <c r="AE88" s="2" t="n">
        <f aca="false">MIN(AE87+1,AD88+1,AD87+IF($A88=AE$4,0,1))</f>
        <v>77</v>
      </c>
      <c r="AF88" s="2" t="n">
        <f aca="false">MIN(AF87+1,AE88+1,AE87+IF($A88=AF$4,0,1))</f>
        <v>77</v>
      </c>
      <c r="AG88" s="2" t="n">
        <f aca="false">MIN(AG87+1,AF88+1,AF87+IF($A88=AG$4,0,1))</f>
        <v>77</v>
      </c>
      <c r="AH88" s="2" t="n">
        <f aca="false">MIN(AH87+1,AG88+1,AG87+IF($A88=AH$4,0,1))</f>
        <v>78</v>
      </c>
      <c r="AI88" s="2" t="n">
        <f aca="false">MIN(AI87+1,AH88+1,AH87+IF($A88=AI$4,0,1))</f>
        <v>78</v>
      </c>
      <c r="AJ88" s="2" t="n">
        <f aca="false">MIN(AJ87+1,AI88+1,AI87+IF($A88=AJ$4,0,1))</f>
        <v>78</v>
      </c>
      <c r="AK88" s="2" t="n">
        <f aca="false">MIN(AK87+1,AJ88+1,AJ87+IF($A88=AK$4,0,1))</f>
        <v>78</v>
      </c>
      <c r="AL88" s="2" t="n">
        <f aca="false">MIN(AL87+1,AK88+1,AK87+IF($A88=AL$4,0,1))</f>
        <v>78</v>
      </c>
      <c r="AM88" s="2" t="n">
        <f aca="false">MIN(AM87+1,AL88+1,AL87+IF($A88=AM$4,0,1))</f>
        <v>78</v>
      </c>
      <c r="AN88" s="2" t="n">
        <f aca="false">MIN(AN87+1,AM88+1,AM87+IF($A88=AN$4,0,1))</f>
        <v>78</v>
      </c>
      <c r="AO88" s="2" t="n">
        <f aca="false">MIN(AO87+1,AN88+1,AN87+IF($A88=AO$4,0,1))</f>
        <v>78</v>
      </c>
      <c r="AP88" s="2" t="n">
        <f aca="false">MIN(AP87+1,AO88+1,AO87+IF($A88=AP$4,0,1))</f>
        <v>78</v>
      </c>
      <c r="AQ88" s="2" t="n">
        <f aca="false">MIN(AQ87+1,AP88+1,AP87+IF($A88=AQ$4,0,1))</f>
        <v>78</v>
      </c>
      <c r="AR88" s="2" t="n">
        <f aca="false">MIN(AR87+1,AQ88+1,AQ87+IF($A88=AR$4,0,1))</f>
        <v>78</v>
      </c>
      <c r="AS88" s="2" t="n">
        <f aca="false">MIN(AS87+1,AR88+1,AR87+IF($A88=AS$4,0,1))</f>
        <v>78</v>
      </c>
      <c r="AT88" s="2" t="n">
        <f aca="false">MIN(AT87+1,AS88+1,AS87+IF($A88=AT$4,0,1))</f>
        <v>78</v>
      </c>
      <c r="AU88" s="2" t="n">
        <f aca="false">MIN(AU87+1,AT88+1,AT87+IF($A88=AU$4,0,1))</f>
        <v>78</v>
      </c>
      <c r="AV88" s="2" t="n">
        <f aca="false">MIN(AV87+1,AU88+1,AU87+IF($A88=AV$4,0,1))</f>
        <v>78</v>
      </c>
      <c r="AW88" s="2" t="n">
        <f aca="false">MIN(AW87+1,AV88+1,AV87+IF($A88=AW$4,0,1))</f>
        <v>78</v>
      </c>
      <c r="AX88" s="2" t="n">
        <f aca="false">MIN(AX87+1,AW88+1,AW87+IF($A88=AX$4,0,1))</f>
        <v>78</v>
      </c>
      <c r="AY88" s="2" t="n">
        <f aca="false">MIN(AY87+1,AX88+1,AX87+IF($A88=AY$4,0,1))</f>
        <v>78</v>
      </c>
      <c r="AZ88" s="2" t="n">
        <f aca="false">MIN(AZ87+1,AY88+1,AY87+IF($A88=AZ$4,0,1))</f>
        <v>78</v>
      </c>
      <c r="BA88" s="2" t="n">
        <f aca="false">MIN(BA87+1,AZ88+1,AZ87+IF($A88=BA$4,0,1))</f>
        <v>79</v>
      </c>
      <c r="BB88" s="2" t="n">
        <f aca="false">MIN(BB87+1,BA88+1,BA87+IF($A88=BB$4,0,1))</f>
        <v>79</v>
      </c>
      <c r="BC88" s="2" t="n">
        <f aca="false">MIN(BC87+1,BB88+1,BB87+IF($A88=BC$4,0,1))</f>
        <v>79</v>
      </c>
      <c r="BD88" s="2" t="n">
        <f aca="false">MIN(BD87+1,BC88+1,BC87+IF($A88=BD$4,0,1))</f>
        <v>79</v>
      </c>
      <c r="BE88" s="2" t="n">
        <f aca="false">MIN(BE87+1,BD88+1,BD87+IF($A88=BE$4,0,1))</f>
        <v>79</v>
      </c>
      <c r="BF88" s="2" t="n">
        <f aca="false">MIN(BF87+1,BE88+1,BE87+IF($A88=BF$4,0,1))</f>
        <v>79</v>
      </c>
      <c r="BG88" s="2" t="n">
        <f aca="false">MIN(BG87+1,BF88+1,BF87+IF($A88=BG$4,0,1))</f>
        <v>79</v>
      </c>
      <c r="BH88" s="2" t="n">
        <f aca="false">MIN(BH87+1,BG88+1,BG87+IF($A88=BH$4,0,1))</f>
        <v>79</v>
      </c>
      <c r="BI88" s="2" t="n">
        <f aca="false">MIN(BI87+1,BH88+1,BH87+IF($A88=BI$4,0,1))</f>
        <v>78</v>
      </c>
      <c r="BJ88" s="2" t="n">
        <f aca="false">MIN(BJ87+1,BI88+1,BI87+IF($A88=BJ$4,0,1))</f>
        <v>78</v>
      </c>
      <c r="BK88" s="2" t="n">
        <f aca="false">MIN(BK87+1,BJ88+1,BJ87+IF($A88=BK$4,0,1))</f>
        <v>78</v>
      </c>
      <c r="BL88" s="2" t="n">
        <f aca="false">MIN(BL87+1,BK88+1,BK87+IF($A88=BL$4,0,1))</f>
        <v>77</v>
      </c>
      <c r="BM88" s="2" t="n">
        <f aca="false">MIN(BM87+1,BL88+1,BL87+IF($A88=BM$4,0,1))</f>
        <v>78</v>
      </c>
      <c r="BN88" s="2" t="n">
        <f aca="false">MIN(BN87+1,BM88+1,BM87+IF($A88=BN$4,0,1))</f>
        <v>78</v>
      </c>
      <c r="BO88" s="2" t="n">
        <f aca="false">MIN(BO87+1,BN88+1,BN87+IF($A88=BO$4,0,1))</f>
        <v>78</v>
      </c>
      <c r="BP88" s="2" t="n">
        <f aca="false">MIN(BP87+1,BO88+1,BO87+IF($A88=BP$4,0,1))</f>
        <v>78</v>
      </c>
      <c r="BQ88" s="2" t="n">
        <f aca="false">MIN(BQ87+1,BP88+1,BP87+IF($A88=BQ$4,0,1))</f>
        <v>78</v>
      </c>
      <c r="BR88" s="2" t="n">
        <f aca="false">MIN(BR87+1,BQ88+1,BQ87+IF($A88=BR$4,0,1))</f>
        <v>78</v>
      </c>
      <c r="BS88" s="2" t="n">
        <f aca="false">MIN(BS87+1,BR88+1,BR87+IF($A88=BS$4,0,1))</f>
        <v>78</v>
      </c>
      <c r="BT88" s="2" t="n">
        <f aca="false">MIN(BT87+1,BS88+1,BS87+IF($A88=BT$4,0,1))</f>
        <v>78</v>
      </c>
      <c r="BU88" s="2" t="n">
        <f aca="false">MIN(BU87+1,BT88+1,BT87+IF($A88=BU$4,0,1))</f>
        <v>78</v>
      </c>
      <c r="BV88" s="2" t="n">
        <f aca="false">MIN(BV87+1,BU88+1,BU87+IF($A88=BV$4,0,1))</f>
        <v>79</v>
      </c>
      <c r="BW88" s="2" t="n">
        <f aca="false">MIN(BW87+1,BV88+1,BV87+IF($A88=BW$4,0,1))</f>
        <v>80</v>
      </c>
      <c r="BX88" s="2" t="n">
        <f aca="false">MIN(BX87+1,BW88+1,BW87+IF($A88=BX$4,0,1))</f>
        <v>80</v>
      </c>
      <c r="BY88" s="2" t="n">
        <f aca="false">MIN(BY87+1,BX88+1,BX87+IF($A88=BY$4,0,1))</f>
        <v>80</v>
      </c>
      <c r="BZ88" s="2" t="n">
        <f aca="false">MIN(BZ87+1,BY88+1,BY87+IF($A88=BZ$4,0,1))</f>
        <v>80</v>
      </c>
      <c r="CA88" s="2" t="n">
        <f aca="false">MIN(CA87+1,BZ88+1,BZ87+IF($A88=CA$4,0,1))</f>
        <v>80</v>
      </c>
      <c r="CB88" s="2" t="n">
        <f aca="false">MIN(CB87+1,CA88+1,CA87+IF($A88=CB$4,0,1))</f>
        <v>80</v>
      </c>
      <c r="CC88" s="2" t="n">
        <f aca="false">MIN(CC87+1,CB88+1,CB87+IF($A88=CC$4,0,1))</f>
        <v>80</v>
      </c>
      <c r="CD88" s="2" t="n">
        <f aca="false">MIN(CD87+1,CC88+1,CC87+IF($A88=CD$4,0,1))</f>
        <v>80</v>
      </c>
      <c r="CE88" s="2" t="n">
        <f aca="false">MIN(CE87+1,CD88+1,CD87+IF($A88=CE$4,0,1))</f>
        <v>80</v>
      </c>
      <c r="CF88" s="2" t="n">
        <f aca="false">MIN(CF87+1,CE88+1,CE87+IF($A88=CF$4,0,1))</f>
        <v>80</v>
      </c>
      <c r="CG88" s="2" t="n">
        <f aca="false">MIN(CG87+1,CF88+1,CF87+IF($A88=CG$4,0,1))</f>
        <v>80</v>
      </c>
      <c r="CH88" s="2" t="n">
        <f aca="false">MIN(CH87+1,CG88+1,CG87+IF($A88=CH$4,0,1))</f>
        <v>80</v>
      </c>
      <c r="CI88" s="2" t="n">
        <f aca="false">MIN(CI87+1,CH88+1,CH87+IF($A88=CI$4,0,1))</f>
        <v>81</v>
      </c>
      <c r="CJ88" s="2" t="n">
        <f aca="false">MIN(CJ87+1,CI88+1,CI87+IF($A88=CJ$4,0,1))</f>
        <v>82</v>
      </c>
      <c r="CK88" s="2" t="n">
        <f aca="false">MIN(CK87+1,CJ88+1,CJ87+IF($A88=CK$4,0,1))</f>
        <v>83</v>
      </c>
      <c r="CL88" s="2" t="n">
        <f aca="false">MIN(CL87+1,CK88+1,CK87+IF($A88=CL$4,0,1))</f>
        <v>84</v>
      </c>
      <c r="CM88" s="2" t="n">
        <f aca="false">MIN(CM87+1,CL88+1,CL87+IF($A88=CM$4,0,1))</f>
        <v>85</v>
      </c>
      <c r="CN88" s="2" t="n">
        <f aca="false">MIN(CN87+1,CM88+1,CM87+IF($A88=CN$4,0,1))</f>
        <v>86</v>
      </c>
      <c r="CO88" s="2" t="n">
        <f aca="false">MIN(CO87+1,CN88+1,CN87+IF($A88=CO$4,0,1))</f>
        <v>87</v>
      </c>
      <c r="CP88" s="2" t="n">
        <f aca="false">MIN(CP87+1,CO88+1,CO87+IF($A88=CP$4,0,1))</f>
        <v>88</v>
      </c>
      <c r="CQ88" s="2" t="n">
        <f aca="false">MIN(CQ87+1,CP88+1,CP87+IF($A88=CQ$4,0,1))</f>
        <v>89</v>
      </c>
    </row>
    <row r="89" customFormat="false" ht="15" hidden="false" customHeight="false" outlineLevel="0" collapsed="false">
      <c r="A89" s="4" t="s">
        <v>61</v>
      </c>
      <c r="B89" s="12" t="n">
        <v>84</v>
      </c>
      <c r="C89" s="2" t="n">
        <f aca="false">MIN(C88+1,B89+1,B88+IF($A89=C$4,0,1))</f>
        <v>84</v>
      </c>
      <c r="D89" s="2" t="n">
        <f aca="false">MIN(D88+1,C89+1,C88+IF($A89=D$4,0,1))</f>
        <v>83</v>
      </c>
      <c r="E89" s="2" t="n">
        <f aca="false">MIN(E88+1,D89+1,D88+IF($A89=E$4,0,1))</f>
        <v>82</v>
      </c>
      <c r="F89" s="2" t="n">
        <f aca="false">MIN(F88+1,E89+1,E88+IF($A89=F$4,0,1))</f>
        <v>81</v>
      </c>
      <c r="G89" s="2" t="n">
        <f aca="false">MIN(G88+1,F89+1,F88+IF($A89=G$4,0,1))</f>
        <v>80</v>
      </c>
      <c r="H89" s="2" t="n">
        <f aca="false">MIN(H88+1,G89+1,G88+IF($A89=H$4,0,1))</f>
        <v>81</v>
      </c>
      <c r="I89" s="2" t="n">
        <f aca="false">MIN(I88+1,H89+1,H88+IF($A89=I$4,0,1))</f>
        <v>81</v>
      </c>
      <c r="J89" s="2" t="n">
        <f aca="false">MIN(J88+1,I89+1,I88+IF($A89=J$4,0,1))</f>
        <v>81</v>
      </c>
      <c r="K89" s="2" t="n">
        <f aca="false">MIN(K88+1,J89+1,J88+IF($A89=K$4,0,1))</f>
        <v>80</v>
      </c>
      <c r="L89" s="2" t="n">
        <f aca="false">MIN(L88+1,K89+1,K88+IF($A89=L$4,0,1))</f>
        <v>80</v>
      </c>
      <c r="M89" s="2" t="n">
        <f aca="false">MIN(M88+1,L89+1,L88+IF($A89=M$4,0,1))</f>
        <v>80</v>
      </c>
      <c r="N89" s="2" t="n">
        <f aca="false">MIN(N88+1,M89+1,M88+IF($A89=N$4,0,1))</f>
        <v>79</v>
      </c>
      <c r="O89" s="2" t="n">
        <f aca="false">MIN(O88+1,N89+1,N88+IF($A89=O$4,0,1))</f>
        <v>78</v>
      </c>
      <c r="P89" s="2" t="n">
        <f aca="false">MIN(P88+1,O89+1,O88+IF($A89=P$4,0,1))</f>
        <v>78</v>
      </c>
      <c r="Q89" s="2" t="n">
        <f aca="false">MIN(Q88+1,P89+1,P88+IF($A89=Q$4,0,1))</f>
        <v>79</v>
      </c>
      <c r="R89" s="2" t="n">
        <f aca="false">MIN(R88+1,Q89+1,Q88+IF($A89=R$4,0,1))</f>
        <v>79</v>
      </c>
      <c r="S89" s="2" t="n">
        <f aca="false">MIN(S88+1,R89+1,R88+IF($A89=S$4,0,1))</f>
        <v>79</v>
      </c>
      <c r="T89" s="2" t="n">
        <f aca="false">MIN(T88+1,S89+1,S88+IF($A89=T$4,0,1))</f>
        <v>79</v>
      </c>
      <c r="U89" s="2" t="n">
        <f aca="false">MIN(U88+1,T89+1,T88+IF($A89=U$4,0,1))</f>
        <v>78</v>
      </c>
      <c r="V89" s="2" t="n">
        <f aca="false">MIN(V88+1,U89+1,U88+IF($A89=V$4,0,1))</f>
        <v>78</v>
      </c>
      <c r="W89" s="2" t="n">
        <f aca="false">MIN(W88+1,V89+1,V88+IF($A89=W$4,0,1))</f>
        <v>78</v>
      </c>
      <c r="X89" s="2" t="n">
        <f aca="false">MIN(X88+1,W89+1,W88+IF($A89=X$4,0,1))</f>
        <v>78</v>
      </c>
      <c r="Y89" s="2" t="n">
        <f aca="false">MIN(Y88+1,X89+1,X88+IF($A89=Y$4,0,1))</f>
        <v>78</v>
      </c>
      <c r="Z89" s="2" t="n">
        <f aca="false">MIN(Z88+1,Y89+1,Y88+IF($A89=Z$4,0,1))</f>
        <v>78</v>
      </c>
      <c r="AA89" s="2" t="n">
        <f aca="false">MIN(AA88+1,Z89+1,Z88+IF($A89=AA$4,0,1))</f>
        <v>78</v>
      </c>
      <c r="AB89" s="2" t="n">
        <f aca="false">MIN(AB88+1,AA89+1,AA88+IF($A89=AB$4,0,1))</f>
        <v>78</v>
      </c>
      <c r="AC89" s="2" t="n">
        <f aca="false">MIN(AC88+1,AB89+1,AB88+IF($A89=AC$4,0,1))</f>
        <v>78</v>
      </c>
      <c r="AD89" s="2" t="n">
        <f aca="false">MIN(AD88+1,AC89+1,AC88+IF($A89=AD$4,0,1))</f>
        <v>77</v>
      </c>
      <c r="AE89" s="2" t="n">
        <f aca="false">MIN(AE88+1,AD89+1,AD88+IF($A89=AE$4,0,1))</f>
        <v>78</v>
      </c>
      <c r="AF89" s="2" t="n">
        <f aca="false">MIN(AF88+1,AE89+1,AE88+IF($A89=AF$4,0,1))</f>
        <v>78</v>
      </c>
      <c r="AG89" s="2" t="n">
        <f aca="false">MIN(AG88+1,AF89+1,AF88+IF($A89=AG$4,0,1))</f>
        <v>78</v>
      </c>
      <c r="AH89" s="2" t="n">
        <f aca="false">MIN(AH88+1,AG89+1,AG88+IF($A89=AH$4,0,1))</f>
        <v>78</v>
      </c>
      <c r="AI89" s="2" t="n">
        <f aca="false">MIN(AI88+1,AH89+1,AH88+IF($A89=AI$4,0,1))</f>
        <v>79</v>
      </c>
      <c r="AJ89" s="2" t="n">
        <f aca="false">MIN(AJ88+1,AI89+1,AI88+IF($A89=AJ$4,0,1))</f>
        <v>79</v>
      </c>
      <c r="AK89" s="2" t="n">
        <f aca="false">MIN(AK88+1,AJ89+1,AJ88+IF($A89=AK$4,0,1))</f>
        <v>79</v>
      </c>
      <c r="AL89" s="2" t="n">
        <f aca="false">MIN(AL88+1,AK89+1,AK88+IF($A89=AL$4,0,1))</f>
        <v>79</v>
      </c>
      <c r="AM89" s="2" t="n">
        <f aca="false">MIN(AM88+1,AL89+1,AL88+IF($A89=AM$4,0,1))</f>
        <v>79</v>
      </c>
      <c r="AN89" s="2" t="n">
        <f aca="false">MIN(AN88+1,AM89+1,AM88+IF($A89=AN$4,0,1))</f>
        <v>79</v>
      </c>
      <c r="AO89" s="2" t="n">
        <f aca="false">MIN(AO88+1,AN89+1,AN88+IF($A89=AO$4,0,1))</f>
        <v>79</v>
      </c>
      <c r="AP89" s="2" t="n">
        <f aca="false">MIN(AP88+1,AO89+1,AO88+IF($A89=AP$4,0,1))</f>
        <v>79</v>
      </c>
      <c r="AQ89" s="2" t="n">
        <f aca="false">MIN(AQ88+1,AP89+1,AP88+IF($A89=AQ$4,0,1))</f>
        <v>79</v>
      </c>
      <c r="AR89" s="2" t="n">
        <f aca="false">MIN(AR88+1,AQ89+1,AQ88+IF($A89=AR$4,0,1))</f>
        <v>79</v>
      </c>
      <c r="AS89" s="2" t="n">
        <f aca="false">MIN(AS88+1,AR89+1,AR88+IF($A89=AS$4,0,1))</f>
        <v>79</v>
      </c>
      <c r="AT89" s="2" t="n">
        <f aca="false">MIN(AT88+1,AS89+1,AS88+IF($A89=AT$4,0,1))</f>
        <v>78</v>
      </c>
      <c r="AU89" s="2" t="n">
        <f aca="false">MIN(AU88+1,AT89+1,AT88+IF($A89=AU$4,0,1))</f>
        <v>79</v>
      </c>
      <c r="AV89" s="2" t="n">
        <f aca="false">MIN(AV88+1,AU89+1,AU88+IF($A89=AV$4,0,1))</f>
        <v>79</v>
      </c>
      <c r="AW89" s="2" t="n">
        <f aca="false">MIN(AW88+1,AV89+1,AV88+IF($A89=AW$4,0,1))</f>
        <v>79</v>
      </c>
      <c r="AX89" s="2" t="n">
        <f aca="false">MIN(AX88+1,AW89+1,AW88+IF($A89=AX$4,0,1))</f>
        <v>79</v>
      </c>
      <c r="AY89" s="2" t="n">
        <f aca="false">MIN(AY88+1,AX89+1,AX88+IF($A89=AY$4,0,1))</f>
        <v>79</v>
      </c>
      <c r="AZ89" s="2" t="n">
        <f aca="false">MIN(AZ88+1,AY89+1,AY88+IF($A89=AZ$4,0,1))</f>
        <v>79</v>
      </c>
      <c r="BA89" s="2" t="n">
        <f aca="false">MIN(BA88+1,AZ89+1,AZ88+IF($A89=BA$4,0,1))</f>
        <v>79</v>
      </c>
      <c r="BB89" s="2" t="n">
        <f aca="false">MIN(BB88+1,BA89+1,BA88+IF($A89=BB$4,0,1))</f>
        <v>80</v>
      </c>
      <c r="BC89" s="2" t="n">
        <f aca="false">MIN(BC88+1,BB89+1,BB88+IF($A89=BC$4,0,1))</f>
        <v>80</v>
      </c>
      <c r="BD89" s="2" t="n">
        <f aca="false">MIN(BD88+1,BC89+1,BC88+IF($A89=BD$4,0,1))</f>
        <v>80</v>
      </c>
      <c r="BE89" s="2" t="n">
        <f aca="false">MIN(BE88+1,BD89+1,BD88+IF($A89=BE$4,0,1))</f>
        <v>79</v>
      </c>
      <c r="BF89" s="2" t="n">
        <f aca="false">MIN(BF88+1,BE89+1,BE88+IF($A89=BF$4,0,1))</f>
        <v>80</v>
      </c>
      <c r="BG89" s="2" t="n">
        <f aca="false">MIN(BG88+1,BF89+1,BF88+IF($A89=BG$4,0,1))</f>
        <v>80</v>
      </c>
      <c r="BH89" s="2" t="n">
        <f aca="false">MIN(BH88+1,BG89+1,BG88+IF($A89=BH$4,0,1))</f>
        <v>80</v>
      </c>
      <c r="BI89" s="2" t="n">
        <f aca="false">MIN(BI88+1,BH89+1,BH88+IF($A89=BI$4,0,1))</f>
        <v>79</v>
      </c>
      <c r="BJ89" s="2" t="n">
        <f aca="false">MIN(BJ88+1,BI89+1,BI88+IF($A89=BJ$4,0,1))</f>
        <v>79</v>
      </c>
      <c r="BK89" s="2" t="n">
        <f aca="false">MIN(BK88+1,BJ89+1,BJ88+IF($A89=BK$4,0,1))</f>
        <v>79</v>
      </c>
      <c r="BL89" s="2" t="n">
        <f aca="false">MIN(BL88+1,BK89+1,BK88+IF($A89=BL$4,0,1))</f>
        <v>78</v>
      </c>
      <c r="BM89" s="2" t="n">
        <f aca="false">MIN(BM88+1,BL89+1,BL88+IF($A89=BM$4,0,1))</f>
        <v>78</v>
      </c>
      <c r="BN89" s="2" t="n">
        <f aca="false">MIN(BN88+1,BM89+1,BM88+IF($A89=BN$4,0,1))</f>
        <v>79</v>
      </c>
      <c r="BO89" s="2" t="n">
        <f aca="false">MIN(BO88+1,BN89+1,BN88+IF($A89=BO$4,0,1))</f>
        <v>79</v>
      </c>
      <c r="BP89" s="2" t="n">
        <f aca="false">MIN(BP88+1,BO89+1,BO88+IF($A89=BP$4,0,1))</f>
        <v>78</v>
      </c>
      <c r="BQ89" s="2" t="n">
        <f aca="false">MIN(BQ88+1,BP89+1,BP88+IF($A89=BQ$4,0,1))</f>
        <v>79</v>
      </c>
      <c r="BR89" s="2" t="n">
        <f aca="false">MIN(BR88+1,BQ89+1,BQ88+IF($A89=BR$4,0,1))</f>
        <v>79</v>
      </c>
      <c r="BS89" s="2" t="n">
        <f aca="false">MIN(BS88+1,BR89+1,BR88+IF($A89=BS$4,0,1))</f>
        <v>79</v>
      </c>
      <c r="BT89" s="2" t="n">
        <f aca="false">MIN(BT88+1,BS89+1,BS88+IF($A89=BT$4,0,1))</f>
        <v>79</v>
      </c>
      <c r="BU89" s="2" t="n">
        <f aca="false">MIN(BU88+1,BT89+1,BT88+IF($A89=BU$4,0,1))</f>
        <v>79</v>
      </c>
      <c r="BV89" s="2" t="n">
        <f aca="false">MIN(BV88+1,BU89+1,BU88+IF($A89=BV$4,0,1))</f>
        <v>79</v>
      </c>
      <c r="BW89" s="2" t="n">
        <f aca="false">MIN(BW88+1,BV89+1,BV88+IF($A89=BW$4,0,1))</f>
        <v>80</v>
      </c>
      <c r="BX89" s="2" t="n">
        <f aca="false">MIN(BX88+1,BW89+1,BW88+IF($A89=BX$4,0,1))</f>
        <v>81</v>
      </c>
      <c r="BY89" s="2" t="n">
        <f aca="false">MIN(BY88+1,BX89+1,BX88+IF($A89=BY$4,0,1))</f>
        <v>81</v>
      </c>
      <c r="BZ89" s="2" t="n">
        <f aca="false">MIN(BZ88+1,BY89+1,BY88+IF($A89=BZ$4,0,1))</f>
        <v>81</v>
      </c>
      <c r="CA89" s="2" t="n">
        <f aca="false">MIN(CA88+1,BZ89+1,BZ88+IF($A89=CA$4,0,1))</f>
        <v>80</v>
      </c>
      <c r="CB89" s="2" t="n">
        <f aca="false">MIN(CB88+1,CA89+1,CA88+IF($A89=CB$4,0,1))</f>
        <v>81</v>
      </c>
      <c r="CC89" s="2" t="n">
        <f aca="false">MIN(CC88+1,CB89+1,CB88+IF($A89=CC$4,0,1))</f>
        <v>81</v>
      </c>
      <c r="CD89" s="2" t="n">
        <f aca="false">MIN(CD88+1,CC89+1,CC88+IF($A89=CD$4,0,1))</f>
        <v>81</v>
      </c>
      <c r="CE89" s="2" t="n">
        <f aca="false">MIN(CE88+1,CD89+1,CD88+IF($A89=CE$4,0,1))</f>
        <v>81</v>
      </c>
      <c r="CF89" s="2" t="n">
        <f aca="false">MIN(CF88+1,CE89+1,CE88+IF($A89=CF$4,0,1))</f>
        <v>81</v>
      </c>
      <c r="CG89" s="2" t="n">
        <f aca="false">MIN(CG88+1,CF89+1,CF88+IF($A89=CG$4,0,1))</f>
        <v>81</v>
      </c>
      <c r="CH89" s="2" t="n">
        <f aca="false">MIN(CH88+1,CG89+1,CG88+IF($A89=CH$4,0,1))</f>
        <v>81</v>
      </c>
      <c r="CI89" s="2" t="n">
        <f aca="false">MIN(CI88+1,CH89+1,CH88+IF($A89=CI$4,0,1))</f>
        <v>81</v>
      </c>
      <c r="CJ89" s="2" t="n">
        <f aca="false">MIN(CJ88+1,CI89+1,CI88+IF($A89=CJ$4,0,1))</f>
        <v>81</v>
      </c>
      <c r="CK89" s="2" t="n">
        <f aca="false">MIN(CK88+1,CJ89+1,CJ88+IF($A89=CK$4,0,1))</f>
        <v>82</v>
      </c>
      <c r="CL89" s="2" t="n">
        <f aca="false">MIN(CL88+1,CK89+1,CK88+IF($A89=CL$4,0,1))</f>
        <v>83</v>
      </c>
      <c r="CM89" s="2" t="n">
        <f aca="false">MIN(CM88+1,CL89+1,CL88+IF($A89=CM$4,0,1))</f>
        <v>84</v>
      </c>
      <c r="CN89" s="2" t="n">
        <f aca="false">MIN(CN88+1,CM89+1,CM88+IF($A89=CN$4,0,1))</f>
        <v>85</v>
      </c>
      <c r="CO89" s="2" t="n">
        <f aca="false">MIN(CO88+1,CN89+1,CN88+IF($A89=CO$4,0,1))</f>
        <v>86</v>
      </c>
      <c r="CP89" s="2" t="n">
        <f aca="false">MIN(CP88+1,CO89+1,CO88+IF($A89=CP$4,0,1))</f>
        <v>87</v>
      </c>
      <c r="CQ89" s="2" t="n">
        <f aca="false">MIN(CQ88+1,CP89+1,CP88+IF($A89=CQ$4,0,1))</f>
        <v>88</v>
      </c>
    </row>
    <row r="90" customFormat="false" ht="15" hidden="false" customHeight="false" outlineLevel="0" collapsed="false">
      <c r="A90" s="4" t="s">
        <v>196</v>
      </c>
      <c r="B90" s="12" t="n">
        <v>85</v>
      </c>
      <c r="C90" s="2" t="n">
        <f aca="false">MIN(C89+1,B90+1,B89+IF($A90=C$4,0,1))</f>
        <v>85</v>
      </c>
      <c r="D90" s="2" t="n">
        <f aca="false">MIN(D89+1,C90+1,C89+IF($A90=D$4,0,1))</f>
        <v>84</v>
      </c>
      <c r="E90" s="2" t="n">
        <f aca="false">MIN(E89+1,D90+1,D89+IF($A90=E$4,0,1))</f>
        <v>83</v>
      </c>
      <c r="F90" s="2" t="n">
        <f aca="false">MIN(F89+1,E90+1,E89+IF($A90=F$4,0,1))</f>
        <v>82</v>
      </c>
      <c r="G90" s="2" t="n">
        <f aca="false">MIN(G89+1,F90+1,F89+IF($A90=G$4,0,1))</f>
        <v>81</v>
      </c>
      <c r="H90" s="2" t="n">
        <f aca="false">MIN(H89+1,G90+1,G89+IF($A90=H$4,0,1))</f>
        <v>81</v>
      </c>
      <c r="I90" s="2" t="n">
        <f aca="false">MIN(I89+1,H90+1,H89+IF($A90=I$4,0,1))</f>
        <v>82</v>
      </c>
      <c r="J90" s="2" t="n">
        <f aca="false">MIN(J89+1,I90+1,I89+IF($A90=J$4,0,1))</f>
        <v>82</v>
      </c>
      <c r="K90" s="2" t="n">
        <f aca="false">MIN(K89+1,J90+1,J89+IF($A90=K$4,0,1))</f>
        <v>81</v>
      </c>
      <c r="L90" s="2" t="n">
        <f aca="false">MIN(L89+1,K90+1,K89+IF($A90=L$4,0,1))</f>
        <v>81</v>
      </c>
      <c r="M90" s="2" t="n">
        <f aca="false">MIN(M89+1,L90+1,L89+IF($A90=M$4,0,1))</f>
        <v>81</v>
      </c>
      <c r="N90" s="2" t="n">
        <f aca="false">MIN(N89+1,M90+1,M89+IF($A90=N$4,0,1))</f>
        <v>80</v>
      </c>
      <c r="O90" s="2" t="n">
        <f aca="false">MIN(O89+1,N90+1,N89+IF($A90=O$4,0,1))</f>
        <v>79</v>
      </c>
      <c r="P90" s="2" t="n">
        <f aca="false">MIN(P89+1,O90+1,O89+IF($A90=P$4,0,1))</f>
        <v>79</v>
      </c>
      <c r="Q90" s="2" t="n">
        <f aca="false">MIN(Q89+1,P90+1,P89+IF($A90=Q$4,0,1))</f>
        <v>79</v>
      </c>
      <c r="R90" s="2" t="n">
        <f aca="false">MIN(R89+1,Q90+1,Q89+IF($A90=R$4,0,1))</f>
        <v>80</v>
      </c>
      <c r="S90" s="2" t="n">
        <f aca="false">MIN(S89+1,R90+1,R89+IF($A90=S$4,0,1))</f>
        <v>80</v>
      </c>
      <c r="T90" s="2" t="n">
        <f aca="false">MIN(T89+1,S90+1,S89+IF($A90=T$4,0,1))</f>
        <v>80</v>
      </c>
      <c r="U90" s="2" t="n">
        <f aca="false">MIN(U89+1,T90+1,T89+IF($A90=U$4,0,1))</f>
        <v>79</v>
      </c>
      <c r="V90" s="2" t="n">
        <f aca="false">MIN(V89+1,U90+1,U89+IF($A90=V$4,0,1))</f>
        <v>79</v>
      </c>
      <c r="W90" s="2" t="n">
        <f aca="false">MIN(W89+1,V90+1,V89+IF($A90=W$4,0,1))</f>
        <v>79</v>
      </c>
      <c r="X90" s="2" t="n">
        <f aca="false">MIN(X89+1,W90+1,W89+IF($A90=X$4,0,1))</f>
        <v>79</v>
      </c>
      <c r="Y90" s="2" t="n">
        <f aca="false">MIN(Y89+1,X90+1,X89+IF($A90=Y$4,0,1))</f>
        <v>79</v>
      </c>
      <c r="Z90" s="2" t="n">
        <f aca="false">MIN(Z89+1,Y90+1,Y89+IF($A90=Z$4,0,1))</f>
        <v>79</v>
      </c>
      <c r="AA90" s="2" t="n">
        <f aca="false">MIN(AA89+1,Z90+1,Z89+IF($A90=AA$4,0,1))</f>
        <v>79</v>
      </c>
      <c r="AB90" s="2" t="n">
        <f aca="false">MIN(AB89+1,AA90+1,AA89+IF($A90=AB$4,0,1))</f>
        <v>79</v>
      </c>
      <c r="AC90" s="2" t="n">
        <f aca="false">MIN(AC89+1,AB90+1,AB89+IF($A90=AC$4,0,1))</f>
        <v>79</v>
      </c>
      <c r="AD90" s="2" t="n">
        <f aca="false">MIN(AD89+1,AC90+1,AC89+IF($A90=AD$4,0,1))</f>
        <v>78</v>
      </c>
      <c r="AE90" s="2" t="n">
        <f aca="false">MIN(AE89+1,AD90+1,AD89+IF($A90=AE$4,0,1))</f>
        <v>78</v>
      </c>
      <c r="AF90" s="2" t="n">
        <f aca="false">MIN(AF89+1,AE90+1,AE89+IF($A90=AF$4,0,1))</f>
        <v>79</v>
      </c>
      <c r="AG90" s="2" t="n">
        <f aca="false">MIN(AG89+1,AF90+1,AF89+IF($A90=AG$4,0,1))</f>
        <v>79</v>
      </c>
      <c r="AH90" s="2" t="n">
        <f aca="false">MIN(AH89+1,AG90+1,AG89+IF($A90=AH$4,0,1))</f>
        <v>79</v>
      </c>
      <c r="AI90" s="2" t="n">
        <f aca="false">MIN(AI89+1,AH90+1,AH89+IF($A90=AI$4,0,1))</f>
        <v>79</v>
      </c>
      <c r="AJ90" s="2" t="n">
        <f aca="false">MIN(AJ89+1,AI90+1,AI89+IF($A90=AJ$4,0,1))</f>
        <v>80</v>
      </c>
      <c r="AK90" s="2" t="n">
        <f aca="false">MIN(AK89+1,AJ90+1,AJ89+IF($A90=AK$4,0,1))</f>
        <v>80</v>
      </c>
      <c r="AL90" s="2" t="n">
        <f aca="false">MIN(AL89+1,AK90+1,AK89+IF($A90=AL$4,0,1))</f>
        <v>80</v>
      </c>
      <c r="AM90" s="2" t="n">
        <f aca="false">MIN(AM89+1,AL90+1,AL89+IF($A90=AM$4,0,1))</f>
        <v>80</v>
      </c>
      <c r="AN90" s="2" t="n">
        <f aca="false">MIN(AN89+1,AM90+1,AM89+IF($A90=AN$4,0,1))</f>
        <v>80</v>
      </c>
      <c r="AO90" s="2" t="n">
        <f aca="false">MIN(AO89+1,AN90+1,AN89+IF($A90=AO$4,0,1))</f>
        <v>80</v>
      </c>
      <c r="AP90" s="2" t="n">
        <f aca="false">MIN(AP89+1,AO90+1,AO89+IF($A90=AP$4,0,1))</f>
        <v>80</v>
      </c>
      <c r="AQ90" s="2" t="n">
        <f aca="false">MIN(AQ89+1,AP90+1,AP89+IF($A90=AQ$4,0,1))</f>
        <v>80</v>
      </c>
      <c r="AR90" s="2" t="n">
        <f aca="false">MIN(AR89+1,AQ90+1,AQ89+IF($A90=AR$4,0,1))</f>
        <v>80</v>
      </c>
      <c r="AS90" s="2" t="n">
        <f aca="false">MIN(AS89+1,AR90+1,AR89+IF($A90=AS$4,0,1))</f>
        <v>80</v>
      </c>
      <c r="AT90" s="2" t="n">
        <f aca="false">MIN(AT89+1,AS90+1,AS89+IF($A90=AT$4,0,1))</f>
        <v>79</v>
      </c>
      <c r="AU90" s="2" t="n">
        <f aca="false">MIN(AU89+1,AT90+1,AT89+IF($A90=AU$4,0,1))</f>
        <v>79</v>
      </c>
      <c r="AV90" s="2" t="n">
        <f aca="false">MIN(AV89+1,AU90+1,AU89+IF($A90=AV$4,0,1))</f>
        <v>80</v>
      </c>
      <c r="AW90" s="2" t="n">
        <f aca="false">MIN(AW89+1,AV90+1,AV89+IF($A90=AW$4,0,1))</f>
        <v>80</v>
      </c>
      <c r="AX90" s="2" t="n">
        <f aca="false">MIN(AX89+1,AW90+1,AW89+IF($A90=AX$4,0,1))</f>
        <v>80</v>
      </c>
      <c r="AY90" s="2" t="n">
        <f aca="false">MIN(AY89+1,AX90+1,AX89+IF($A90=AY$4,0,1))</f>
        <v>80</v>
      </c>
      <c r="AZ90" s="2" t="n">
        <f aca="false">MIN(AZ89+1,AY90+1,AY89+IF($A90=AZ$4,0,1))</f>
        <v>80</v>
      </c>
      <c r="BA90" s="2" t="n">
        <f aca="false">MIN(BA89+1,AZ90+1,AZ89+IF($A90=BA$4,0,1))</f>
        <v>80</v>
      </c>
      <c r="BB90" s="2" t="n">
        <f aca="false">MIN(BB89+1,BA90+1,BA89+IF($A90=BB$4,0,1))</f>
        <v>80</v>
      </c>
      <c r="BC90" s="2" t="n">
        <f aca="false">MIN(BC89+1,BB90+1,BB89+IF($A90=BC$4,0,1))</f>
        <v>81</v>
      </c>
      <c r="BD90" s="2" t="n">
        <f aca="false">MIN(BD89+1,BC90+1,BC89+IF($A90=BD$4,0,1))</f>
        <v>81</v>
      </c>
      <c r="BE90" s="2" t="n">
        <f aca="false">MIN(BE89+1,BD90+1,BD89+IF($A90=BE$4,0,1))</f>
        <v>80</v>
      </c>
      <c r="BF90" s="2" t="n">
        <f aca="false">MIN(BF89+1,BE90+1,BE89+IF($A90=BF$4,0,1))</f>
        <v>80</v>
      </c>
      <c r="BG90" s="2" t="n">
        <f aca="false">MIN(BG89+1,BF90+1,BF89+IF($A90=BG$4,0,1))</f>
        <v>81</v>
      </c>
      <c r="BH90" s="2" t="n">
        <f aca="false">MIN(BH89+1,BG90+1,BG89+IF($A90=BH$4,0,1))</f>
        <v>81</v>
      </c>
      <c r="BI90" s="2" t="n">
        <f aca="false">MIN(BI89+1,BH90+1,BH89+IF($A90=BI$4,0,1))</f>
        <v>80</v>
      </c>
      <c r="BJ90" s="2" t="n">
        <f aca="false">MIN(BJ89+1,BI90+1,BI89+IF($A90=BJ$4,0,1))</f>
        <v>80</v>
      </c>
      <c r="BK90" s="2" t="n">
        <f aca="false">MIN(BK89+1,BJ90+1,BJ89+IF($A90=BK$4,0,1))</f>
        <v>80</v>
      </c>
      <c r="BL90" s="2" t="n">
        <f aca="false">MIN(BL89+1,BK90+1,BK89+IF($A90=BL$4,0,1))</f>
        <v>79</v>
      </c>
      <c r="BM90" s="2" t="n">
        <f aca="false">MIN(BM89+1,BL90+1,BL89+IF($A90=BM$4,0,1))</f>
        <v>79</v>
      </c>
      <c r="BN90" s="2" t="n">
        <f aca="false">MIN(BN89+1,BM90+1,BM89+IF($A90=BN$4,0,1))</f>
        <v>79</v>
      </c>
      <c r="BO90" s="2" t="n">
        <f aca="false">MIN(BO89+1,BN90+1,BN89+IF($A90=BO$4,0,1))</f>
        <v>80</v>
      </c>
      <c r="BP90" s="2" t="n">
        <f aca="false">MIN(BP89+1,BO90+1,BO89+IF($A90=BP$4,0,1))</f>
        <v>79</v>
      </c>
      <c r="BQ90" s="2" t="n">
        <f aca="false">MIN(BQ89+1,BP90+1,BP89+IF($A90=BQ$4,0,1))</f>
        <v>79</v>
      </c>
      <c r="BR90" s="2" t="n">
        <f aca="false">MIN(BR89+1,BQ90+1,BQ89+IF($A90=BR$4,0,1))</f>
        <v>80</v>
      </c>
      <c r="BS90" s="2" t="n">
        <f aca="false">MIN(BS89+1,BR90+1,BR89+IF($A90=BS$4,0,1))</f>
        <v>80</v>
      </c>
      <c r="BT90" s="2" t="n">
        <f aca="false">MIN(BT89+1,BS90+1,BS89+IF($A90=BT$4,0,1))</f>
        <v>80</v>
      </c>
      <c r="BU90" s="2" t="n">
        <f aca="false">MIN(BU89+1,BT90+1,BT89+IF($A90=BU$4,0,1))</f>
        <v>80</v>
      </c>
      <c r="BV90" s="2" t="n">
        <f aca="false">MIN(BV89+1,BU90+1,BU89+IF($A90=BV$4,0,1))</f>
        <v>80</v>
      </c>
      <c r="BW90" s="2" t="n">
        <f aca="false">MIN(BW89+1,BV90+1,BV89+IF($A90=BW$4,0,1))</f>
        <v>80</v>
      </c>
      <c r="BX90" s="2" t="n">
        <f aca="false">MIN(BX89+1,BW90+1,BW89+IF($A90=BX$4,0,1))</f>
        <v>81</v>
      </c>
      <c r="BY90" s="2" t="n">
        <f aca="false">MIN(BY89+1,BX90+1,BX89+IF($A90=BY$4,0,1))</f>
        <v>82</v>
      </c>
      <c r="BZ90" s="2" t="n">
        <f aca="false">MIN(BZ89+1,BY90+1,BY89+IF($A90=BZ$4,0,1))</f>
        <v>82</v>
      </c>
      <c r="CA90" s="2" t="n">
        <f aca="false">MIN(CA89+1,BZ90+1,BZ89+IF($A90=CA$4,0,1))</f>
        <v>81</v>
      </c>
      <c r="CB90" s="2" t="n">
        <f aca="false">MIN(CB89+1,CA90+1,CA89+IF($A90=CB$4,0,1))</f>
        <v>81</v>
      </c>
      <c r="CC90" s="2" t="n">
        <f aca="false">MIN(CC89+1,CB90+1,CB89+IF($A90=CC$4,0,1))</f>
        <v>82</v>
      </c>
      <c r="CD90" s="2" t="n">
        <f aca="false">MIN(CD89+1,CC90+1,CC89+IF($A90=CD$4,0,1))</f>
        <v>82</v>
      </c>
      <c r="CE90" s="2" t="n">
        <f aca="false">MIN(CE89+1,CD90+1,CD89+IF($A90=CE$4,0,1))</f>
        <v>82</v>
      </c>
      <c r="CF90" s="2" t="n">
        <f aca="false">MIN(CF89+1,CE90+1,CE89+IF($A90=CF$4,0,1))</f>
        <v>82</v>
      </c>
      <c r="CG90" s="2" t="n">
        <f aca="false">MIN(CG89+1,CF90+1,CF89+IF($A90=CG$4,0,1))</f>
        <v>82</v>
      </c>
      <c r="CH90" s="2" t="n">
        <f aca="false">MIN(CH89+1,CG90+1,CG89+IF($A90=CH$4,0,1))</f>
        <v>82</v>
      </c>
      <c r="CI90" s="2" t="n">
        <f aca="false">MIN(CI89+1,CH90+1,CH89+IF($A90=CI$4,0,1))</f>
        <v>82</v>
      </c>
      <c r="CJ90" s="2" t="n">
        <f aca="false">MIN(CJ89+1,CI90+1,CI89+IF($A90=CJ$4,0,1))</f>
        <v>82</v>
      </c>
      <c r="CK90" s="2" t="n">
        <f aca="false">MIN(CK89+1,CJ90+1,CJ89+IF($A90=CK$4,0,1))</f>
        <v>82</v>
      </c>
      <c r="CL90" s="2" t="n">
        <f aca="false">MIN(CL89+1,CK90+1,CK89+IF($A90=CL$4,0,1))</f>
        <v>83</v>
      </c>
      <c r="CM90" s="2" t="n">
        <f aca="false">MIN(CM89+1,CL90+1,CL89+IF($A90=CM$4,0,1))</f>
        <v>84</v>
      </c>
      <c r="CN90" s="2" t="n">
        <f aca="false">MIN(CN89+1,CM90+1,CM89+IF($A90=CN$4,0,1))</f>
        <v>85</v>
      </c>
      <c r="CO90" s="2" t="n">
        <f aca="false">MIN(CO89+1,CN90+1,CN89+IF($A90=CO$4,0,1))</f>
        <v>86</v>
      </c>
      <c r="CP90" s="2" t="n">
        <f aca="false">MIN(CP89+1,CO90+1,CO89+IF($A90=CP$4,0,1))</f>
        <v>87</v>
      </c>
      <c r="CQ90" s="2" t="n">
        <f aca="false">MIN(CQ89+1,CP90+1,CP89+IF($A90=CQ$4,0,1))</f>
        <v>88</v>
      </c>
    </row>
    <row r="91" customFormat="false" ht="15" hidden="false" customHeight="false" outlineLevel="0" collapsed="false">
      <c r="A91" s="4" t="s">
        <v>197</v>
      </c>
      <c r="B91" s="12" t="n">
        <v>86</v>
      </c>
      <c r="C91" s="2" t="n">
        <f aca="false">MIN(C90+1,B91+1,B90+IF($A91=C$4,0,1))</f>
        <v>86</v>
      </c>
      <c r="D91" s="2" t="n">
        <f aca="false">MIN(D90+1,C91+1,C90+IF($A91=D$4,0,1))</f>
        <v>85</v>
      </c>
      <c r="E91" s="2" t="n">
        <f aca="false">MIN(E90+1,D91+1,D90+IF($A91=E$4,0,1))</f>
        <v>84</v>
      </c>
      <c r="F91" s="2" t="n">
        <f aca="false">MIN(F90+1,E91+1,E90+IF($A91=F$4,0,1))</f>
        <v>83</v>
      </c>
      <c r="G91" s="2" t="n">
        <f aca="false">MIN(G90+1,F91+1,F90+IF($A91=G$4,0,1))</f>
        <v>82</v>
      </c>
      <c r="H91" s="2" t="n">
        <f aca="false">MIN(H90+1,G91+1,G90+IF($A91=H$4,0,1))</f>
        <v>82</v>
      </c>
      <c r="I91" s="2" t="n">
        <f aca="false">MIN(I90+1,H91+1,H90+IF($A91=I$4,0,1))</f>
        <v>82</v>
      </c>
      <c r="J91" s="2" t="n">
        <f aca="false">MIN(J90+1,I91+1,I90+IF($A91=J$4,0,1))</f>
        <v>83</v>
      </c>
      <c r="K91" s="2" t="n">
        <f aca="false">MIN(K90+1,J91+1,J90+IF($A91=K$4,0,1))</f>
        <v>82</v>
      </c>
      <c r="L91" s="2" t="n">
        <f aca="false">MIN(L90+1,K91+1,K90+IF($A91=L$4,0,1))</f>
        <v>82</v>
      </c>
      <c r="M91" s="2" t="n">
        <f aca="false">MIN(M90+1,L91+1,L90+IF($A91=M$4,0,1))</f>
        <v>82</v>
      </c>
      <c r="N91" s="2" t="n">
        <f aca="false">MIN(N90+1,M91+1,M90+IF($A91=N$4,0,1))</f>
        <v>81</v>
      </c>
      <c r="O91" s="2" t="n">
        <f aca="false">MIN(O90+1,N91+1,N90+IF($A91=O$4,0,1))</f>
        <v>80</v>
      </c>
      <c r="P91" s="2" t="n">
        <f aca="false">MIN(P90+1,O91+1,O90+IF($A91=P$4,0,1))</f>
        <v>80</v>
      </c>
      <c r="Q91" s="2" t="n">
        <f aca="false">MIN(Q90+1,P91+1,P90+IF($A91=Q$4,0,1))</f>
        <v>80</v>
      </c>
      <c r="R91" s="2" t="n">
        <f aca="false">MIN(R90+1,Q91+1,Q90+IF($A91=R$4,0,1))</f>
        <v>80</v>
      </c>
      <c r="S91" s="2" t="n">
        <f aca="false">MIN(S90+1,R91+1,R90+IF($A91=S$4,0,1))</f>
        <v>81</v>
      </c>
      <c r="T91" s="2" t="n">
        <f aca="false">MIN(T90+1,S91+1,S90+IF($A91=T$4,0,1))</f>
        <v>81</v>
      </c>
      <c r="U91" s="2" t="n">
        <f aca="false">MIN(U90+1,T91+1,T90+IF($A91=U$4,0,1))</f>
        <v>80</v>
      </c>
      <c r="V91" s="2" t="n">
        <f aca="false">MIN(V90+1,U91+1,U90+IF($A91=V$4,0,1))</f>
        <v>80</v>
      </c>
      <c r="W91" s="2" t="n">
        <f aca="false">MIN(W90+1,V91+1,V90+IF($A91=W$4,0,1))</f>
        <v>80</v>
      </c>
      <c r="X91" s="2" t="n">
        <f aca="false">MIN(X90+1,W91+1,W90+IF($A91=X$4,0,1))</f>
        <v>80</v>
      </c>
      <c r="Y91" s="2" t="n">
        <f aca="false">MIN(Y90+1,X91+1,X90+IF($A91=Y$4,0,1))</f>
        <v>80</v>
      </c>
      <c r="Z91" s="2" t="n">
        <f aca="false">MIN(Z90+1,Y91+1,Y90+IF($A91=Z$4,0,1))</f>
        <v>80</v>
      </c>
      <c r="AA91" s="2" t="n">
        <f aca="false">MIN(AA90+1,Z91+1,Z90+IF($A91=AA$4,0,1))</f>
        <v>80</v>
      </c>
      <c r="AB91" s="2" t="n">
        <f aca="false">MIN(AB90+1,AA91+1,AA90+IF($A91=AB$4,0,1))</f>
        <v>80</v>
      </c>
      <c r="AC91" s="2" t="n">
        <f aca="false">MIN(AC90+1,AB91+1,AB90+IF($A91=AC$4,0,1))</f>
        <v>80</v>
      </c>
      <c r="AD91" s="2" t="n">
        <f aca="false">MIN(AD90+1,AC91+1,AC90+IF($A91=AD$4,0,1))</f>
        <v>79</v>
      </c>
      <c r="AE91" s="2" t="n">
        <f aca="false">MIN(AE90+1,AD91+1,AD90+IF($A91=AE$4,0,1))</f>
        <v>79</v>
      </c>
      <c r="AF91" s="2" t="n">
        <f aca="false">MIN(AF90+1,AE91+1,AE90+IF($A91=AF$4,0,1))</f>
        <v>79</v>
      </c>
      <c r="AG91" s="2" t="n">
        <f aca="false">MIN(AG90+1,AF91+1,AF90+IF($A91=AG$4,0,1))</f>
        <v>80</v>
      </c>
      <c r="AH91" s="2" t="n">
        <f aca="false">MIN(AH90+1,AG91+1,AG90+IF($A91=AH$4,0,1))</f>
        <v>80</v>
      </c>
      <c r="AI91" s="2" t="n">
        <f aca="false">MIN(AI90+1,AH91+1,AH90+IF($A91=AI$4,0,1))</f>
        <v>80</v>
      </c>
      <c r="AJ91" s="2" t="n">
        <f aca="false">MIN(AJ90+1,AI91+1,AI90+IF($A91=AJ$4,0,1))</f>
        <v>80</v>
      </c>
      <c r="AK91" s="2" t="n">
        <f aca="false">MIN(AK90+1,AJ91+1,AJ90+IF($A91=AK$4,0,1))</f>
        <v>81</v>
      </c>
      <c r="AL91" s="2" t="n">
        <f aca="false">MIN(AL90+1,AK91+1,AK90+IF($A91=AL$4,0,1))</f>
        <v>81</v>
      </c>
      <c r="AM91" s="2" t="n">
        <f aca="false">MIN(AM90+1,AL91+1,AL90+IF($A91=AM$4,0,1))</f>
        <v>81</v>
      </c>
      <c r="AN91" s="2" t="n">
        <f aca="false">MIN(AN90+1,AM91+1,AM90+IF($A91=AN$4,0,1))</f>
        <v>81</v>
      </c>
      <c r="AO91" s="2" t="n">
        <f aca="false">MIN(AO90+1,AN91+1,AN90+IF($A91=AO$4,0,1))</f>
        <v>81</v>
      </c>
      <c r="AP91" s="2" t="n">
        <f aca="false">MIN(AP90+1,AO91+1,AO90+IF($A91=AP$4,0,1))</f>
        <v>81</v>
      </c>
      <c r="AQ91" s="2" t="n">
        <f aca="false">MIN(AQ90+1,AP91+1,AP90+IF($A91=AQ$4,0,1))</f>
        <v>81</v>
      </c>
      <c r="AR91" s="2" t="n">
        <f aca="false">MIN(AR90+1,AQ91+1,AQ90+IF($A91=AR$4,0,1))</f>
        <v>81</v>
      </c>
      <c r="AS91" s="2" t="n">
        <f aca="false">MIN(AS90+1,AR91+1,AR90+IF($A91=AS$4,0,1))</f>
        <v>81</v>
      </c>
      <c r="AT91" s="2" t="n">
        <f aca="false">MIN(AT90+1,AS91+1,AS90+IF($A91=AT$4,0,1))</f>
        <v>80</v>
      </c>
      <c r="AU91" s="2" t="n">
        <f aca="false">MIN(AU90+1,AT91+1,AT90+IF($A91=AU$4,0,1))</f>
        <v>80</v>
      </c>
      <c r="AV91" s="2" t="n">
        <f aca="false">MIN(AV90+1,AU91+1,AU90+IF($A91=AV$4,0,1))</f>
        <v>80</v>
      </c>
      <c r="AW91" s="2" t="n">
        <f aca="false">MIN(AW90+1,AV91+1,AV90+IF($A91=AW$4,0,1))</f>
        <v>81</v>
      </c>
      <c r="AX91" s="2" t="n">
        <f aca="false">MIN(AX90+1,AW91+1,AW90+IF($A91=AX$4,0,1))</f>
        <v>81</v>
      </c>
      <c r="AY91" s="2" t="n">
        <f aca="false">MIN(AY90+1,AX91+1,AX90+IF($A91=AY$4,0,1))</f>
        <v>81</v>
      </c>
      <c r="AZ91" s="2" t="n">
        <f aca="false">MIN(AZ90+1,AY91+1,AY90+IF($A91=AZ$4,0,1))</f>
        <v>81</v>
      </c>
      <c r="BA91" s="2" t="n">
        <f aca="false">MIN(BA90+1,AZ91+1,AZ90+IF($A91=BA$4,0,1))</f>
        <v>81</v>
      </c>
      <c r="BB91" s="2" t="n">
        <f aca="false">MIN(BB90+1,BA91+1,BA90+IF($A91=BB$4,0,1))</f>
        <v>81</v>
      </c>
      <c r="BC91" s="2" t="n">
        <f aca="false">MIN(BC90+1,BB91+1,BB90+IF($A91=BC$4,0,1))</f>
        <v>81</v>
      </c>
      <c r="BD91" s="2" t="n">
        <f aca="false">MIN(BD90+1,BC91+1,BC90+IF($A91=BD$4,0,1))</f>
        <v>82</v>
      </c>
      <c r="BE91" s="2" t="n">
        <f aca="false">MIN(BE90+1,BD91+1,BD90+IF($A91=BE$4,0,1))</f>
        <v>81</v>
      </c>
      <c r="BF91" s="2" t="n">
        <f aca="false">MIN(BF90+1,BE91+1,BE90+IF($A91=BF$4,0,1))</f>
        <v>81</v>
      </c>
      <c r="BG91" s="2" t="n">
        <f aca="false">MIN(BG90+1,BF91+1,BF90+IF($A91=BG$4,0,1))</f>
        <v>81</v>
      </c>
      <c r="BH91" s="2" t="n">
        <f aca="false">MIN(BH90+1,BG91+1,BG90+IF($A91=BH$4,0,1))</f>
        <v>82</v>
      </c>
      <c r="BI91" s="2" t="n">
        <f aca="false">MIN(BI90+1,BH91+1,BH90+IF($A91=BI$4,0,1))</f>
        <v>81</v>
      </c>
      <c r="BJ91" s="2" t="n">
        <f aca="false">MIN(BJ90+1,BI91+1,BI90+IF($A91=BJ$4,0,1))</f>
        <v>81</v>
      </c>
      <c r="BK91" s="2" t="n">
        <f aca="false">MIN(BK90+1,BJ91+1,BJ90+IF($A91=BK$4,0,1))</f>
        <v>81</v>
      </c>
      <c r="BL91" s="2" t="n">
        <f aca="false">MIN(BL90+1,BK91+1,BK90+IF($A91=BL$4,0,1))</f>
        <v>80</v>
      </c>
      <c r="BM91" s="2" t="n">
        <f aca="false">MIN(BM90+1,BL91+1,BL90+IF($A91=BM$4,0,1))</f>
        <v>80</v>
      </c>
      <c r="BN91" s="2" t="n">
        <f aca="false">MIN(BN90+1,BM91+1,BM90+IF($A91=BN$4,0,1))</f>
        <v>80</v>
      </c>
      <c r="BO91" s="2" t="n">
        <f aca="false">MIN(BO90+1,BN91+1,BN90+IF($A91=BO$4,0,1))</f>
        <v>80</v>
      </c>
      <c r="BP91" s="2" t="n">
        <f aca="false">MIN(BP90+1,BO91+1,BO90+IF($A91=BP$4,0,1))</f>
        <v>80</v>
      </c>
      <c r="BQ91" s="2" t="n">
        <f aca="false">MIN(BQ90+1,BP91+1,BP90+IF($A91=BQ$4,0,1))</f>
        <v>80</v>
      </c>
      <c r="BR91" s="2" t="n">
        <f aca="false">MIN(BR90+1,BQ91+1,BQ90+IF($A91=BR$4,0,1))</f>
        <v>80</v>
      </c>
      <c r="BS91" s="2" t="n">
        <f aca="false">MIN(BS90+1,BR91+1,BR90+IF($A91=BS$4,0,1))</f>
        <v>81</v>
      </c>
      <c r="BT91" s="2" t="n">
        <f aca="false">MIN(BT90+1,BS91+1,BS90+IF($A91=BT$4,0,1))</f>
        <v>81</v>
      </c>
      <c r="BU91" s="2" t="n">
        <f aca="false">MIN(BU90+1,BT91+1,BT90+IF($A91=BU$4,0,1))</f>
        <v>81</v>
      </c>
      <c r="BV91" s="2" t="n">
        <f aca="false">MIN(BV90+1,BU91+1,BU90+IF($A91=BV$4,0,1))</f>
        <v>81</v>
      </c>
      <c r="BW91" s="2" t="n">
        <f aca="false">MIN(BW90+1,BV91+1,BV90+IF($A91=BW$4,0,1))</f>
        <v>81</v>
      </c>
      <c r="BX91" s="2" t="n">
        <f aca="false">MIN(BX90+1,BW91+1,BW90+IF($A91=BX$4,0,1))</f>
        <v>81</v>
      </c>
      <c r="BY91" s="2" t="n">
        <f aca="false">MIN(BY90+1,BX91+1,BX90+IF($A91=BY$4,0,1))</f>
        <v>82</v>
      </c>
      <c r="BZ91" s="2" t="n">
        <f aca="false">MIN(BZ90+1,BY91+1,BY90+IF($A91=BZ$4,0,1))</f>
        <v>83</v>
      </c>
      <c r="CA91" s="2" t="n">
        <f aca="false">MIN(CA90+1,BZ91+1,BZ90+IF($A91=CA$4,0,1))</f>
        <v>82</v>
      </c>
      <c r="CB91" s="2" t="n">
        <f aca="false">MIN(CB90+1,CA91+1,CA90+IF($A91=CB$4,0,1))</f>
        <v>82</v>
      </c>
      <c r="CC91" s="2" t="n">
        <f aca="false">MIN(CC90+1,CB91+1,CB90+IF($A91=CC$4,0,1))</f>
        <v>82</v>
      </c>
      <c r="CD91" s="2" t="n">
        <f aca="false">MIN(CD90+1,CC91+1,CC90+IF($A91=CD$4,0,1))</f>
        <v>83</v>
      </c>
      <c r="CE91" s="2" t="n">
        <f aca="false">MIN(CE90+1,CD91+1,CD90+IF($A91=CE$4,0,1))</f>
        <v>83</v>
      </c>
      <c r="CF91" s="2" t="n">
        <f aca="false">MIN(CF90+1,CE91+1,CE90+IF($A91=CF$4,0,1))</f>
        <v>83</v>
      </c>
      <c r="CG91" s="2" t="n">
        <f aca="false">MIN(CG90+1,CF91+1,CF90+IF($A91=CG$4,0,1))</f>
        <v>83</v>
      </c>
      <c r="CH91" s="2" t="n">
        <f aca="false">MIN(CH90+1,CG91+1,CG90+IF($A91=CH$4,0,1))</f>
        <v>83</v>
      </c>
      <c r="CI91" s="2" t="n">
        <f aca="false">MIN(CI90+1,CH91+1,CH90+IF($A91=CI$4,0,1))</f>
        <v>83</v>
      </c>
      <c r="CJ91" s="2" t="n">
        <f aca="false">MIN(CJ90+1,CI91+1,CI90+IF($A91=CJ$4,0,1))</f>
        <v>83</v>
      </c>
      <c r="CK91" s="2" t="n">
        <f aca="false">MIN(CK90+1,CJ91+1,CJ90+IF($A91=CK$4,0,1))</f>
        <v>83</v>
      </c>
      <c r="CL91" s="2" t="n">
        <f aca="false">MIN(CL90+1,CK91+1,CK90+IF($A91=CL$4,0,1))</f>
        <v>83</v>
      </c>
      <c r="CM91" s="2" t="n">
        <f aca="false">MIN(CM90+1,CL91+1,CL90+IF($A91=CM$4,0,1))</f>
        <v>84</v>
      </c>
      <c r="CN91" s="2" t="n">
        <f aca="false">MIN(CN90+1,CM91+1,CM90+IF($A91=CN$4,0,1))</f>
        <v>85</v>
      </c>
      <c r="CO91" s="2" t="n">
        <f aca="false">MIN(CO90+1,CN91+1,CN90+IF($A91=CO$4,0,1))</f>
        <v>86</v>
      </c>
      <c r="CP91" s="2" t="n">
        <f aca="false">MIN(CP90+1,CO91+1,CO90+IF($A91=CP$4,0,1))</f>
        <v>87</v>
      </c>
      <c r="CQ91" s="2" t="n">
        <f aca="false">MIN(CQ90+1,CP91+1,CP90+IF($A91=CQ$4,0,1))</f>
        <v>88</v>
      </c>
    </row>
    <row r="92" customFormat="false" ht="15" hidden="false" customHeight="false" outlineLevel="0" collapsed="false">
      <c r="A92" s="4" t="s">
        <v>198</v>
      </c>
      <c r="B92" s="12" t="n">
        <v>87</v>
      </c>
      <c r="C92" s="2" t="n">
        <f aca="false">MIN(C91+1,B92+1,B91+IF($A92=C$4,0,1))</f>
        <v>87</v>
      </c>
      <c r="D92" s="2" t="n">
        <f aca="false">MIN(D91+1,C92+1,C91+IF($A92=D$4,0,1))</f>
        <v>86</v>
      </c>
      <c r="E92" s="2" t="n">
        <f aca="false">MIN(E91+1,D92+1,D91+IF($A92=E$4,0,1))</f>
        <v>85</v>
      </c>
      <c r="F92" s="2" t="n">
        <f aca="false">MIN(F91+1,E92+1,E91+IF($A92=F$4,0,1))</f>
        <v>84</v>
      </c>
      <c r="G92" s="2" t="n">
        <f aca="false">MIN(G91+1,F92+1,F91+IF($A92=G$4,0,1))</f>
        <v>83</v>
      </c>
      <c r="H92" s="2" t="n">
        <f aca="false">MIN(H91+1,G92+1,G91+IF($A92=H$4,0,1))</f>
        <v>83</v>
      </c>
      <c r="I92" s="2" t="n">
        <f aca="false">MIN(I91+1,H92+1,H91+IF($A92=I$4,0,1))</f>
        <v>83</v>
      </c>
      <c r="J92" s="2" t="n">
        <f aca="false">MIN(J91+1,I92+1,I91+IF($A92=J$4,0,1))</f>
        <v>83</v>
      </c>
      <c r="K92" s="2" t="n">
        <f aca="false">MIN(K91+1,J92+1,J91+IF($A92=K$4,0,1))</f>
        <v>83</v>
      </c>
      <c r="L92" s="2" t="n">
        <f aca="false">MIN(L91+1,K92+1,K91+IF($A92=L$4,0,1))</f>
        <v>83</v>
      </c>
      <c r="M92" s="2" t="n">
        <f aca="false">MIN(M91+1,L92+1,L91+IF($A92=M$4,0,1))</f>
        <v>83</v>
      </c>
      <c r="N92" s="2" t="n">
        <f aca="false">MIN(N91+1,M92+1,M91+IF($A92=N$4,0,1))</f>
        <v>82</v>
      </c>
      <c r="O92" s="2" t="n">
        <f aca="false">MIN(O91+1,N92+1,N91+IF($A92=O$4,0,1))</f>
        <v>81</v>
      </c>
      <c r="P92" s="2" t="n">
        <f aca="false">MIN(P91+1,O92+1,O91+IF($A92=P$4,0,1))</f>
        <v>81</v>
      </c>
      <c r="Q92" s="2" t="n">
        <f aca="false">MIN(Q91+1,P92+1,P91+IF($A92=Q$4,0,1))</f>
        <v>81</v>
      </c>
      <c r="R92" s="2" t="n">
        <f aca="false">MIN(R91+1,Q92+1,Q91+IF($A92=R$4,0,1))</f>
        <v>81</v>
      </c>
      <c r="S92" s="2" t="n">
        <f aca="false">MIN(S91+1,R92+1,R91+IF($A92=S$4,0,1))</f>
        <v>81</v>
      </c>
      <c r="T92" s="2" t="n">
        <f aca="false">MIN(T91+1,S92+1,S91+IF($A92=T$4,0,1))</f>
        <v>82</v>
      </c>
      <c r="U92" s="2" t="n">
        <f aca="false">MIN(U91+1,T92+1,T91+IF($A92=U$4,0,1))</f>
        <v>81</v>
      </c>
      <c r="V92" s="2" t="n">
        <f aca="false">MIN(V91+1,U92+1,U91+IF($A92=V$4,0,1))</f>
        <v>81</v>
      </c>
      <c r="W92" s="2" t="n">
        <f aca="false">MIN(W91+1,V92+1,V91+IF($A92=W$4,0,1))</f>
        <v>81</v>
      </c>
      <c r="X92" s="2" t="n">
        <f aca="false">MIN(X91+1,W92+1,W91+IF($A92=X$4,0,1))</f>
        <v>81</v>
      </c>
      <c r="Y92" s="2" t="n">
        <f aca="false">MIN(Y91+1,X92+1,X91+IF($A92=Y$4,0,1))</f>
        <v>81</v>
      </c>
      <c r="Z92" s="2" t="n">
        <f aca="false">MIN(Z91+1,Y92+1,Y91+IF($A92=Z$4,0,1))</f>
        <v>81</v>
      </c>
      <c r="AA92" s="2" t="n">
        <f aca="false">MIN(AA91+1,Z92+1,Z91+IF($A92=AA$4,0,1))</f>
        <v>81</v>
      </c>
      <c r="AB92" s="2" t="n">
        <f aca="false">MIN(AB91+1,AA92+1,AA91+IF($A92=AB$4,0,1))</f>
        <v>81</v>
      </c>
      <c r="AC92" s="2" t="n">
        <f aca="false">MIN(AC91+1,AB92+1,AB91+IF($A92=AC$4,0,1))</f>
        <v>81</v>
      </c>
      <c r="AD92" s="2" t="n">
        <f aca="false">MIN(AD91+1,AC92+1,AC91+IF($A92=AD$4,0,1))</f>
        <v>80</v>
      </c>
      <c r="AE92" s="2" t="n">
        <f aca="false">MIN(AE91+1,AD92+1,AD91+IF($A92=AE$4,0,1))</f>
        <v>80</v>
      </c>
      <c r="AF92" s="2" t="n">
        <f aca="false">MIN(AF91+1,AE92+1,AE91+IF($A92=AF$4,0,1))</f>
        <v>80</v>
      </c>
      <c r="AG92" s="2" t="n">
        <f aca="false">MIN(AG91+1,AF92+1,AF91+IF($A92=AG$4,0,1))</f>
        <v>80</v>
      </c>
      <c r="AH92" s="2" t="n">
        <f aca="false">MIN(AH91+1,AG92+1,AG91+IF($A92=AH$4,0,1))</f>
        <v>81</v>
      </c>
      <c r="AI92" s="2" t="n">
        <f aca="false">MIN(AI91+1,AH92+1,AH91+IF($A92=AI$4,0,1))</f>
        <v>81</v>
      </c>
      <c r="AJ92" s="2" t="n">
        <f aca="false">MIN(AJ91+1,AI92+1,AI91+IF($A92=AJ$4,0,1))</f>
        <v>81</v>
      </c>
      <c r="AK92" s="2" t="n">
        <f aca="false">MIN(AK91+1,AJ92+1,AJ91+IF($A92=AK$4,0,1))</f>
        <v>81</v>
      </c>
      <c r="AL92" s="2" t="n">
        <f aca="false">MIN(AL91+1,AK92+1,AK91+IF($A92=AL$4,0,1))</f>
        <v>82</v>
      </c>
      <c r="AM92" s="2" t="n">
        <f aca="false">MIN(AM91+1,AL92+1,AL91+IF($A92=AM$4,0,1))</f>
        <v>82</v>
      </c>
      <c r="AN92" s="2" t="n">
        <f aca="false">MIN(AN91+1,AM92+1,AM91+IF($A92=AN$4,0,1))</f>
        <v>82</v>
      </c>
      <c r="AO92" s="2" t="n">
        <f aca="false">MIN(AO91+1,AN92+1,AN91+IF($A92=AO$4,0,1))</f>
        <v>82</v>
      </c>
      <c r="AP92" s="2" t="n">
        <f aca="false">MIN(AP91+1,AO92+1,AO91+IF($A92=AP$4,0,1))</f>
        <v>82</v>
      </c>
      <c r="AQ92" s="2" t="n">
        <f aca="false">MIN(AQ91+1,AP92+1,AP91+IF($A92=AQ$4,0,1))</f>
        <v>82</v>
      </c>
      <c r="AR92" s="2" t="n">
        <f aca="false">MIN(AR91+1,AQ92+1,AQ91+IF($A92=AR$4,0,1))</f>
        <v>82</v>
      </c>
      <c r="AS92" s="2" t="n">
        <f aca="false">MIN(AS91+1,AR92+1,AR91+IF($A92=AS$4,0,1))</f>
        <v>82</v>
      </c>
      <c r="AT92" s="2" t="n">
        <f aca="false">MIN(AT91+1,AS92+1,AS91+IF($A92=AT$4,0,1))</f>
        <v>81</v>
      </c>
      <c r="AU92" s="2" t="n">
        <f aca="false">MIN(AU91+1,AT92+1,AT91+IF($A92=AU$4,0,1))</f>
        <v>81</v>
      </c>
      <c r="AV92" s="2" t="n">
        <f aca="false">MIN(AV91+1,AU92+1,AU91+IF($A92=AV$4,0,1))</f>
        <v>81</v>
      </c>
      <c r="AW92" s="2" t="n">
        <f aca="false">MIN(AW91+1,AV92+1,AV91+IF($A92=AW$4,0,1))</f>
        <v>81</v>
      </c>
      <c r="AX92" s="2" t="n">
        <f aca="false">MIN(AX91+1,AW92+1,AW91+IF($A92=AX$4,0,1))</f>
        <v>82</v>
      </c>
      <c r="AY92" s="2" t="n">
        <f aca="false">MIN(AY91+1,AX92+1,AX91+IF($A92=AY$4,0,1))</f>
        <v>82</v>
      </c>
      <c r="AZ92" s="2" t="n">
        <f aca="false">MIN(AZ91+1,AY92+1,AY91+IF($A92=AZ$4,0,1))</f>
        <v>82</v>
      </c>
      <c r="BA92" s="2" t="n">
        <f aca="false">MIN(BA91+1,AZ92+1,AZ91+IF($A92=BA$4,0,1))</f>
        <v>82</v>
      </c>
      <c r="BB92" s="2" t="n">
        <f aca="false">MIN(BB91+1,BA92+1,BA91+IF($A92=BB$4,0,1))</f>
        <v>82</v>
      </c>
      <c r="BC92" s="2" t="n">
        <f aca="false">MIN(BC91+1,BB92+1,BB91+IF($A92=BC$4,0,1))</f>
        <v>82</v>
      </c>
      <c r="BD92" s="2" t="n">
        <f aca="false">MIN(BD91+1,BC92+1,BC91+IF($A92=BD$4,0,1))</f>
        <v>82</v>
      </c>
      <c r="BE92" s="2" t="n">
        <f aca="false">MIN(BE91+1,BD92+1,BD91+IF($A92=BE$4,0,1))</f>
        <v>82</v>
      </c>
      <c r="BF92" s="2" t="n">
        <f aca="false">MIN(BF91+1,BE92+1,BE91+IF($A92=BF$4,0,1))</f>
        <v>82</v>
      </c>
      <c r="BG92" s="2" t="n">
        <f aca="false">MIN(BG91+1,BF92+1,BF91+IF($A92=BG$4,0,1))</f>
        <v>82</v>
      </c>
      <c r="BH92" s="2" t="n">
        <f aca="false">MIN(BH91+1,BG92+1,BG91+IF($A92=BH$4,0,1))</f>
        <v>82</v>
      </c>
      <c r="BI92" s="2" t="n">
        <f aca="false">MIN(BI91+1,BH92+1,BH91+IF($A92=BI$4,0,1))</f>
        <v>82</v>
      </c>
      <c r="BJ92" s="2" t="n">
        <f aca="false">MIN(BJ91+1,BI92+1,BI91+IF($A92=BJ$4,0,1))</f>
        <v>82</v>
      </c>
      <c r="BK92" s="2" t="n">
        <f aca="false">MIN(BK91+1,BJ92+1,BJ91+IF($A92=BK$4,0,1))</f>
        <v>82</v>
      </c>
      <c r="BL92" s="2" t="n">
        <f aca="false">MIN(BL91+1,BK92+1,BK91+IF($A92=BL$4,0,1))</f>
        <v>81</v>
      </c>
      <c r="BM92" s="2" t="n">
        <f aca="false">MIN(BM91+1,BL92+1,BL91+IF($A92=BM$4,0,1))</f>
        <v>81</v>
      </c>
      <c r="BN92" s="2" t="n">
        <f aca="false">MIN(BN91+1,BM92+1,BM91+IF($A92=BN$4,0,1))</f>
        <v>81</v>
      </c>
      <c r="BO92" s="2" t="n">
        <f aca="false">MIN(BO91+1,BN92+1,BN91+IF($A92=BO$4,0,1))</f>
        <v>81</v>
      </c>
      <c r="BP92" s="2" t="n">
        <f aca="false">MIN(BP91+1,BO92+1,BO91+IF($A92=BP$4,0,1))</f>
        <v>81</v>
      </c>
      <c r="BQ92" s="2" t="n">
        <f aca="false">MIN(BQ91+1,BP92+1,BP91+IF($A92=BQ$4,0,1))</f>
        <v>81</v>
      </c>
      <c r="BR92" s="2" t="n">
        <f aca="false">MIN(BR91+1,BQ92+1,BQ91+IF($A92=BR$4,0,1))</f>
        <v>81</v>
      </c>
      <c r="BS92" s="2" t="n">
        <f aca="false">MIN(BS91+1,BR92+1,BR91+IF($A92=BS$4,0,1))</f>
        <v>81</v>
      </c>
      <c r="BT92" s="2" t="n">
        <f aca="false">MIN(BT91+1,BS92+1,BS91+IF($A92=BT$4,0,1))</f>
        <v>82</v>
      </c>
      <c r="BU92" s="2" t="n">
        <f aca="false">MIN(BU91+1,BT92+1,BT91+IF($A92=BU$4,0,1))</f>
        <v>82</v>
      </c>
      <c r="BV92" s="2" t="n">
        <f aca="false">MIN(BV91+1,BU92+1,BU91+IF($A92=BV$4,0,1))</f>
        <v>82</v>
      </c>
      <c r="BW92" s="2" t="n">
        <f aca="false">MIN(BW91+1,BV92+1,BV91+IF($A92=BW$4,0,1))</f>
        <v>82</v>
      </c>
      <c r="BX92" s="2" t="n">
        <f aca="false">MIN(BX91+1,BW92+1,BW91+IF($A92=BX$4,0,1))</f>
        <v>82</v>
      </c>
      <c r="BY92" s="2" t="n">
        <f aca="false">MIN(BY91+1,BX92+1,BX91+IF($A92=BY$4,0,1))</f>
        <v>82</v>
      </c>
      <c r="BZ92" s="2" t="n">
        <f aca="false">MIN(BZ91+1,BY92+1,BY91+IF($A92=BZ$4,0,1))</f>
        <v>83</v>
      </c>
      <c r="CA92" s="2" t="n">
        <f aca="false">MIN(CA91+1,BZ92+1,BZ91+IF($A92=CA$4,0,1))</f>
        <v>83</v>
      </c>
      <c r="CB92" s="2" t="n">
        <f aca="false">MIN(CB91+1,CA92+1,CA91+IF($A92=CB$4,0,1))</f>
        <v>83</v>
      </c>
      <c r="CC92" s="2" t="n">
        <f aca="false">MIN(CC91+1,CB92+1,CB91+IF($A92=CC$4,0,1))</f>
        <v>83</v>
      </c>
      <c r="CD92" s="2" t="n">
        <f aca="false">MIN(CD91+1,CC92+1,CC91+IF($A92=CD$4,0,1))</f>
        <v>83</v>
      </c>
      <c r="CE92" s="2" t="n">
        <f aca="false">MIN(CE91+1,CD92+1,CD91+IF($A92=CE$4,0,1))</f>
        <v>84</v>
      </c>
      <c r="CF92" s="2" t="n">
        <f aca="false">MIN(CF91+1,CE92+1,CE91+IF($A92=CF$4,0,1))</f>
        <v>84</v>
      </c>
      <c r="CG92" s="2" t="n">
        <f aca="false">MIN(CG91+1,CF92+1,CF91+IF($A92=CG$4,0,1))</f>
        <v>84</v>
      </c>
      <c r="CH92" s="2" t="n">
        <f aca="false">MIN(CH91+1,CG92+1,CG91+IF($A92=CH$4,0,1))</f>
        <v>84</v>
      </c>
      <c r="CI92" s="2" t="n">
        <f aca="false">MIN(CI91+1,CH92+1,CH91+IF($A92=CI$4,0,1))</f>
        <v>84</v>
      </c>
      <c r="CJ92" s="2" t="n">
        <f aca="false">MIN(CJ91+1,CI92+1,CI91+IF($A92=CJ$4,0,1))</f>
        <v>84</v>
      </c>
      <c r="CK92" s="2" t="n">
        <f aca="false">MIN(CK91+1,CJ92+1,CJ91+IF($A92=CK$4,0,1))</f>
        <v>84</v>
      </c>
      <c r="CL92" s="2" t="n">
        <f aca="false">MIN(CL91+1,CK92+1,CK91+IF($A92=CL$4,0,1))</f>
        <v>84</v>
      </c>
      <c r="CM92" s="2" t="n">
        <f aca="false">MIN(CM91+1,CL92+1,CL91+IF($A92=CM$4,0,1))</f>
        <v>84</v>
      </c>
      <c r="CN92" s="2" t="n">
        <f aca="false">MIN(CN91+1,CM92+1,CM91+IF($A92=CN$4,0,1))</f>
        <v>85</v>
      </c>
      <c r="CO92" s="2" t="n">
        <f aca="false">MIN(CO91+1,CN92+1,CN91+IF($A92=CO$4,0,1))</f>
        <v>86</v>
      </c>
      <c r="CP92" s="2" t="n">
        <f aca="false">MIN(CP91+1,CO92+1,CO91+IF($A92=CP$4,0,1))</f>
        <v>87</v>
      </c>
      <c r="CQ92" s="2" t="n">
        <f aca="false">MIN(CQ91+1,CP92+1,CP91+IF($A92=CQ$4,0,1))</f>
        <v>88</v>
      </c>
    </row>
    <row r="93" customFormat="false" ht="15" hidden="false" customHeight="false" outlineLevel="0" collapsed="false">
      <c r="A93" s="4" t="s">
        <v>199</v>
      </c>
      <c r="B93" s="12" t="n">
        <v>88</v>
      </c>
      <c r="C93" s="2" t="n">
        <f aca="false">MIN(C92+1,B93+1,B92+IF($A93=C$4,0,1))</f>
        <v>88</v>
      </c>
      <c r="D93" s="2" t="n">
        <f aca="false">MIN(D92+1,C93+1,C92+IF($A93=D$4,0,1))</f>
        <v>87</v>
      </c>
      <c r="E93" s="2" t="n">
        <f aca="false">MIN(E92+1,D93+1,D92+IF($A93=E$4,0,1))</f>
        <v>86</v>
      </c>
      <c r="F93" s="2" t="n">
        <f aca="false">MIN(F92+1,E93+1,E92+IF($A93=F$4,0,1))</f>
        <v>85</v>
      </c>
      <c r="G93" s="2" t="n">
        <f aca="false">MIN(G92+1,F93+1,F92+IF($A93=G$4,0,1))</f>
        <v>84</v>
      </c>
      <c r="H93" s="2" t="n">
        <f aca="false">MIN(H92+1,G93+1,G92+IF($A93=H$4,0,1))</f>
        <v>84</v>
      </c>
      <c r="I93" s="2" t="n">
        <f aca="false">MIN(I92+1,H93+1,H92+IF($A93=I$4,0,1))</f>
        <v>84</v>
      </c>
      <c r="J93" s="2" t="n">
        <f aca="false">MIN(J92+1,I93+1,I92+IF($A93=J$4,0,1))</f>
        <v>84</v>
      </c>
      <c r="K93" s="2" t="n">
        <f aca="false">MIN(K92+1,J93+1,J92+IF($A93=K$4,0,1))</f>
        <v>84</v>
      </c>
      <c r="L93" s="2" t="n">
        <f aca="false">MIN(L92+1,K93+1,K92+IF($A93=L$4,0,1))</f>
        <v>84</v>
      </c>
      <c r="M93" s="2" t="n">
        <f aca="false">MIN(M92+1,L93+1,L92+IF($A93=M$4,0,1))</f>
        <v>84</v>
      </c>
      <c r="N93" s="2" t="n">
        <f aca="false">MIN(N92+1,M93+1,M92+IF($A93=N$4,0,1))</f>
        <v>83</v>
      </c>
      <c r="O93" s="2" t="n">
        <f aca="false">MIN(O92+1,N93+1,N92+IF($A93=O$4,0,1))</f>
        <v>82</v>
      </c>
      <c r="P93" s="2" t="n">
        <f aca="false">MIN(P92+1,O93+1,O92+IF($A93=P$4,0,1))</f>
        <v>82</v>
      </c>
      <c r="Q93" s="2" t="n">
        <f aca="false">MIN(Q92+1,P93+1,P92+IF($A93=Q$4,0,1))</f>
        <v>82</v>
      </c>
      <c r="R93" s="2" t="n">
        <f aca="false">MIN(R92+1,Q93+1,Q92+IF($A93=R$4,0,1))</f>
        <v>82</v>
      </c>
      <c r="S93" s="2" t="n">
        <f aca="false">MIN(S92+1,R93+1,R92+IF($A93=S$4,0,1))</f>
        <v>82</v>
      </c>
      <c r="T93" s="2" t="n">
        <f aca="false">MIN(T92+1,S93+1,S92+IF($A93=T$4,0,1))</f>
        <v>82</v>
      </c>
      <c r="U93" s="2" t="n">
        <f aca="false">MIN(U92+1,T93+1,T92+IF($A93=U$4,0,1))</f>
        <v>82</v>
      </c>
      <c r="V93" s="2" t="n">
        <f aca="false">MIN(V92+1,U93+1,U92+IF($A93=V$4,0,1))</f>
        <v>82</v>
      </c>
      <c r="W93" s="2" t="n">
        <f aca="false">MIN(W92+1,V93+1,V92+IF($A93=W$4,0,1))</f>
        <v>82</v>
      </c>
      <c r="X93" s="2" t="n">
        <f aca="false">MIN(X92+1,W93+1,W92+IF($A93=X$4,0,1))</f>
        <v>82</v>
      </c>
      <c r="Y93" s="2" t="n">
        <f aca="false">MIN(Y92+1,X93+1,X92+IF($A93=Y$4,0,1))</f>
        <v>82</v>
      </c>
      <c r="Z93" s="2" t="n">
        <f aca="false">MIN(Z92+1,Y93+1,Y92+IF($A93=Z$4,0,1))</f>
        <v>82</v>
      </c>
      <c r="AA93" s="2" t="n">
        <f aca="false">MIN(AA92+1,Z93+1,Z92+IF($A93=AA$4,0,1))</f>
        <v>82</v>
      </c>
      <c r="AB93" s="2" t="n">
        <f aca="false">MIN(AB92+1,AA93+1,AA92+IF($A93=AB$4,0,1))</f>
        <v>82</v>
      </c>
      <c r="AC93" s="2" t="n">
        <f aca="false">MIN(AC92+1,AB93+1,AB92+IF($A93=AC$4,0,1))</f>
        <v>82</v>
      </c>
      <c r="AD93" s="2" t="n">
        <f aca="false">MIN(AD92+1,AC93+1,AC92+IF($A93=AD$4,0,1))</f>
        <v>81</v>
      </c>
      <c r="AE93" s="2" t="n">
        <f aca="false">MIN(AE92+1,AD93+1,AD92+IF($A93=AE$4,0,1))</f>
        <v>81</v>
      </c>
      <c r="AF93" s="2" t="n">
        <f aca="false">MIN(AF92+1,AE93+1,AE92+IF($A93=AF$4,0,1))</f>
        <v>81</v>
      </c>
      <c r="AG93" s="2" t="n">
        <f aca="false">MIN(AG92+1,AF93+1,AF92+IF($A93=AG$4,0,1))</f>
        <v>81</v>
      </c>
      <c r="AH93" s="2" t="n">
        <f aca="false">MIN(AH92+1,AG93+1,AG92+IF($A93=AH$4,0,1))</f>
        <v>81</v>
      </c>
      <c r="AI93" s="2" t="n">
        <f aca="false">MIN(AI92+1,AH93+1,AH92+IF($A93=AI$4,0,1))</f>
        <v>82</v>
      </c>
      <c r="AJ93" s="2" t="n">
        <f aca="false">MIN(AJ92+1,AI93+1,AI92+IF($A93=AJ$4,0,1))</f>
        <v>82</v>
      </c>
      <c r="AK93" s="2" t="n">
        <f aca="false">MIN(AK92+1,AJ93+1,AJ92+IF($A93=AK$4,0,1))</f>
        <v>82</v>
      </c>
      <c r="AL93" s="2" t="n">
        <f aca="false">MIN(AL92+1,AK93+1,AK92+IF($A93=AL$4,0,1))</f>
        <v>82</v>
      </c>
      <c r="AM93" s="2" t="n">
        <f aca="false">MIN(AM92+1,AL93+1,AL92+IF($A93=AM$4,0,1))</f>
        <v>83</v>
      </c>
      <c r="AN93" s="2" t="n">
        <f aca="false">MIN(AN92+1,AM93+1,AM92+IF($A93=AN$4,0,1))</f>
        <v>83</v>
      </c>
      <c r="AO93" s="2" t="n">
        <f aca="false">MIN(AO92+1,AN93+1,AN92+IF($A93=AO$4,0,1))</f>
        <v>83</v>
      </c>
      <c r="AP93" s="2" t="n">
        <f aca="false">MIN(AP92+1,AO93+1,AO92+IF($A93=AP$4,0,1))</f>
        <v>83</v>
      </c>
      <c r="AQ93" s="2" t="n">
        <f aca="false">MIN(AQ92+1,AP93+1,AP92+IF($A93=AQ$4,0,1))</f>
        <v>83</v>
      </c>
      <c r="AR93" s="2" t="n">
        <f aca="false">MIN(AR92+1,AQ93+1,AQ92+IF($A93=AR$4,0,1))</f>
        <v>83</v>
      </c>
      <c r="AS93" s="2" t="n">
        <f aca="false">MIN(AS92+1,AR93+1,AR92+IF($A93=AS$4,0,1))</f>
        <v>83</v>
      </c>
      <c r="AT93" s="2" t="n">
        <f aca="false">MIN(AT92+1,AS93+1,AS92+IF($A93=AT$4,0,1))</f>
        <v>82</v>
      </c>
      <c r="AU93" s="2" t="n">
        <f aca="false">MIN(AU92+1,AT93+1,AT92+IF($A93=AU$4,0,1))</f>
        <v>82</v>
      </c>
      <c r="AV93" s="2" t="n">
        <f aca="false">MIN(AV92+1,AU93+1,AU92+IF($A93=AV$4,0,1))</f>
        <v>82</v>
      </c>
      <c r="AW93" s="2" t="n">
        <f aca="false">MIN(AW92+1,AV93+1,AV92+IF($A93=AW$4,0,1))</f>
        <v>82</v>
      </c>
      <c r="AX93" s="2" t="n">
        <f aca="false">MIN(AX92+1,AW93+1,AW92+IF($A93=AX$4,0,1))</f>
        <v>82</v>
      </c>
      <c r="AY93" s="2" t="n">
        <f aca="false">MIN(AY92+1,AX93+1,AX92+IF($A93=AY$4,0,1))</f>
        <v>83</v>
      </c>
      <c r="AZ93" s="2" t="n">
        <f aca="false">MIN(AZ92+1,AY93+1,AY92+IF($A93=AZ$4,0,1))</f>
        <v>83</v>
      </c>
      <c r="BA93" s="2" t="n">
        <f aca="false">MIN(BA92+1,AZ93+1,AZ92+IF($A93=BA$4,0,1))</f>
        <v>83</v>
      </c>
      <c r="BB93" s="2" t="n">
        <f aca="false">MIN(BB92+1,BA93+1,BA92+IF($A93=BB$4,0,1))</f>
        <v>83</v>
      </c>
      <c r="BC93" s="2" t="n">
        <f aca="false">MIN(BC92+1,BB93+1,BB92+IF($A93=BC$4,0,1))</f>
        <v>83</v>
      </c>
      <c r="BD93" s="2" t="n">
        <f aca="false">MIN(BD92+1,BC93+1,BC92+IF($A93=BD$4,0,1))</f>
        <v>83</v>
      </c>
      <c r="BE93" s="2" t="n">
        <f aca="false">MIN(BE92+1,BD93+1,BD92+IF($A93=BE$4,0,1))</f>
        <v>83</v>
      </c>
      <c r="BF93" s="2" t="n">
        <f aca="false">MIN(BF92+1,BE93+1,BE92+IF($A93=BF$4,0,1))</f>
        <v>83</v>
      </c>
      <c r="BG93" s="2" t="n">
        <f aca="false">MIN(BG92+1,BF93+1,BF92+IF($A93=BG$4,0,1))</f>
        <v>83</v>
      </c>
      <c r="BH93" s="2" t="n">
        <f aca="false">MIN(BH92+1,BG93+1,BG92+IF($A93=BH$4,0,1))</f>
        <v>83</v>
      </c>
      <c r="BI93" s="2" t="n">
        <f aca="false">MIN(BI92+1,BH93+1,BH92+IF($A93=BI$4,0,1))</f>
        <v>83</v>
      </c>
      <c r="BJ93" s="2" t="n">
        <f aca="false">MIN(BJ92+1,BI93+1,BI92+IF($A93=BJ$4,0,1))</f>
        <v>83</v>
      </c>
      <c r="BK93" s="2" t="n">
        <f aca="false">MIN(BK92+1,BJ93+1,BJ92+IF($A93=BK$4,0,1))</f>
        <v>83</v>
      </c>
      <c r="BL93" s="2" t="n">
        <f aca="false">MIN(BL92+1,BK93+1,BK92+IF($A93=BL$4,0,1))</f>
        <v>82</v>
      </c>
      <c r="BM93" s="2" t="n">
        <f aca="false">MIN(BM92+1,BL93+1,BL92+IF($A93=BM$4,0,1))</f>
        <v>82</v>
      </c>
      <c r="BN93" s="2" t="n">
        <f aca="false">MIN(BN92+1,BM93+1,BM92+IF($A93=BN$4,0,1))</f>
        <v>82</v>
      </c>
      <c r="BO93" s="2" t="n">
        <f aca="false">MIN(BO92+1,BN93+1,BN92+IF($A93=BO$4,0,1))</f>
        <v>82</v>
      </c>
      <c r="BP93" s="2" t="n">
        <f aca="false">MIN(BP92+1,BO93+1,BO92+IF($A93=BP$4,0,1))</f>
        <v>82</v>
      </c>
      <c r="BQ93" s="2" t="n">
        <f aca="false">MIN(BQ92+1,BP93+1,BP92+IF($A93=BQ$4,0,1))</f>
        <v>82</v>
      </c>
      <c r="BR93" s="2" t="n">
        <f aca="false">MIN(BR92+1,BQ93+1,BQ92+IF($A93=BR$4,0,1))</f>
        <v>82</v>
      </c>
      <c r="BS93" s="2" t="n">
        <f aca="false">MIN(BS92+1,BR93+1,BR92+IF($A93=BS$4,0,1))</f>
        <v>82</v>
      </c>
      <c r="BT93" s="2" t="n">
        <f aca="false">MIN(BT92+1,BS93+1,BS92+IF($A93=BT$4,0,1))</f>
        <v>82</v>
      </c>
      <c r="BU93" s="2" t="n">
        <f aca="false">MIN(BU92+1,BT93+1,BT92+IF($A93=BU$4,0,1))</f>
        <v>83</v>
      </c>
      <c r="BV93" s="2" t="n">
        <f aca="false">MIN(BV92+1,BU93+1,BU92+IF($A93=BV$4,0,1))</f>
        <v>83</v>
      </c>
      <c r="BW93" s="2" t="n">
        <f aca="false">MIN(BW92+1,BV93+1,BV92+IF($A93=BW$4,0,1))</f>
        <v>83</v>
      </c>
      <c r="BX93" s="2" t="n">
        <f aca="false">MIN(BX92+1,BW93+1,BW92+IF($A93=BX$4,0,1))</f>
        <v>83</v>
      </c>
      <c r="BY93" s="2" t="n">
        <f aca="false">MIN(BY92+1,BX93+1,BX92+IF($A93=BY$4,0,1))</f>
        <v>83</v>
      </c>
      <c r="BZ93" s="2" t="n">
        <f aca="false">MIN(BZ92+1,BY93+1,BY92+IF($A93=BZ$4,0,1))</f>
        <v>83</v>
      </c>
      <c r="CA93" s="2" t="n">
        <f aca="false">MIN(CA92+1,BZ93+1,BZ92+IF($A93=CA$4,0,1))</f>
        <v>84</v>
      </c>
      <c r="CB93" s="2" t="n">
        <f aca="false">MIN(CB92+1,CA93+1,CA92+IF($A93=CB$4,0,1))</f>
        <v>84</v>
      </c>
      <c r="CC93" s="2" t="n">
        <f aca="false">MIN(CC92+1,CB93+1,CB92+IF($A93=CC$4,0,1))</f>
        <v>84</v>
      </c>
      <c r="CD93" s="2" t="n">
        <f aca="false">MIN(CD92+1,CC93+1,CC92+IF($A93=CD$4,0,1))</f>
        <v>84</v>
      </c>
      <c r="CE93" s="2" t="n">
        <f aca="false">MIN(CE92+1,CD93+1,CD92+IF($A93=CE$4,0,1))</f>
        <v>84</v>
      </c>
      <c r="CF93" s="2" t="n">
        <f aca="false">MIN(CF92+1,CE93+1,CE92+IF($A93=CF$4,0,1))</f>
        <v>85</v>
      </c>
      <c r="CG93" s="2" t="n">
        <f aca="false">MIN(CG92+1,CF93+1,CF92+IF($A93=CG$4,0,1))</f>
        <v>85</v>
      </c>
      <c r="CH93" s="2" t="n">
        <f aca="false">MIN(CH92+1,CG93+1,CG92+IF($A93=CH$4,0,1))</f>
        <v>85</v>
      </c>
      <c r="CI93" s="2" t="n">
        <f aca="false">MIN(CI92+1,CH93+1,CH92+IF($A93=CI$4,0,1))</f>
        <v>85</v>
      </c>
      <c r="CJ93" s="2" t="n">
        <f aca="false">MIN(CJ92+1,CI93+1,CI92+IF($A93=CJ$4,0,1))</f>
        <v>85</v>
      </c>
      <c r="CK93" s="2" t="n">
        <f aca="false">MIN(CK92+1,CJ93+1,CJ92+IF($A93=CK$4,0,1))</f>
        <v>85</v>
      </c>
      <c r="CL93" s="2" t="n">
        <f aca="false">MIN(CL92+1,CK93+1,CK92+IF($A93=CL$4,0,1))</f>
        <v>85</v>
      </c>
      <c r="CM93" s="2" t="n">
        <f aca="false">MIN(CM92+1,CL93+1,CL92+IF($A93=CM$4,0,1))</f>
        <v>85</v>
      </c>
      <c r="CN93" s="2" t="n">
        <f aca="false">MIN(CN92+1,CM93+1,CM92+IF($A93=CN$4,0,1))</f>
        <v>85</v>
      </c>
      <c r="CO93" s="2" t="n">
        <f aca="false">MIN(CO92+1,CN93+1,CN92+IF($A93=CO$4,0,1))</f>
        <v>86</v>
      </c>
      <c r="CP93" s="2" t="n">
        <f aca="false">MIN(CP92+1,CO93+1,CO92+IF($A93=CP$4,0,1))</f>
        <v>87</v>
      </c>
      <c r="CQ93" s="2" t="n">
        <f aca="false">MIN(CQ92+1,CP93+1,CP92+IF($A93=CQ$4,0,1))</f>
        <v>88</v>
      </c>
    </row>
    <row r="94" customFormat="false" ht="15" hidden="false" customHeight="false" outlineLevel="0" collapsed="false">
      <c r="A94" s="4" t="s">
        <v>179</v>
      </c>
      <c r="B94" s="12" t="n">
        <v>89</v>
      </c>
      <c r="C94" s="2" t="n">
        <f aca="false">MIN(C93+1,B94+1,B93+IF($A94=C$4,0,1))</f>
        <v>89</v>
      </c>
      <c r="D94" s="2" t="n">
        <f aca="false">MIN(D93+1,C94+1,C93+IF($A94=D$4,0,1))</f>
        <v>88</v>
      </c>
      <c r="E94" s="2" t="n">
        <f aca="false">MIN(E93+1,D94+1,D93+IF($A94=E$4,0,1))</f>
        <v>87</v>
      </c>
      <c r="F94" s="2" t="n">
        <f aca="false">MIN(F93+1,E94+1,E93+IF($A94=F$4,0,1))</f>
        <v>86</v>
      </c>
      <c r="G94" s="2" t="n">
        <f aca="false">MIN(G93+1,F94+1,F93+IF($A94=G$4,0,1))</f>
        <v>85</v>
      </c>
      <c r="H94" s="2" t="n">
        <f aca="false">MIN(H93+1,G94+1,G93+IF($A94=H$4,0,1))</f>
        <v>85</v>
      </c>
      <c r="I94" s="2" t="n">
        <f aca="false">MIN(I93+1,H94+1,H93+IF($A94=I$4,0,1))</f>
        <v>85</v>
      </c>
      <c r="J94" s="2" t="n">
        <f aca="false">MIN(J93+1,I94+1,I93+IF($A94=J$4,0,1))</f>
        <v>85</v>
      </c>
      <c r="K94" s="2" t="n">
        <f aca="false">MIN(K93+1,J94+1,J93+IF($A94=K$4,0,1))</f>
        <v>85</v>
      </c>
      <c r="L94" s="2" t="n">
        <f aca="false">MIN(L93+1,K94+1,K93+IF($A94=L$4,0,1))</f>
        <v>85</v>
      </c>
      <c r="M94" s="2" t="n">
        <f aca="false">MIN(M93+1,L94+1,L93+IF($A94=M$4,0,1))</f>
        <v>85</v>
      </c>
      <c r="N94" s="2" t="n">
        <f aca="false">MIN(N93+1,M94+1,M93+IF($A94=N$4,0,1))</f>
        <v>84</v>
      </c>
      <c r="O94" s="2" t="n">
        <f aca="false">MIN(O93+1,N94+1,N93+IF($A94=O$4,0,1))</f>
        <v>83</v>
      </c>
      <c r="P94" s="2" t="n">
        <f aca="false">MIN(P93+1,O94+1,O93+IF($A94=P$4,0,1))</f>
        <v>83</v>
      </c>
      <c r="Q94" s="2" t="n">
        <f aca="false">MIN(Q93+1,P94+1,P93+IF($A94=Q$4,0,1))</f>
        <v>83</v>
      </c>
      <c r="R94" s="2" t="n">
        <f aca="false">MIN(R93+1,Q94+1,Q93+IF($A94=R$4,0,1))</f>
        <v>83</v>
      </c>
      <c r="S94" s="2" t="n">
        <f aca="false">MIN(S93+1,R94+1,R93+IF($A94=S$4,0,1))</f>
        <v>83</v>
      </c>
      <c r="T94" s="2" t="n">
        <f aca="false">MIN(T93+1,S94+1,S93+IF($A94=T$4,0,1))</f>
        <v>83</v>
      </c>
      <c r="U94" s="2" t="n">
        <f aca="false">MIN(U93+1,T94+1,T93+IF($A94=U$4,0,1))</f>
        <v>83</v>
      </c>
      <c r="V94" s="2" t="n">
        <f aca="false">MIN(V93+1,U94+1,U93+IF($A94=V$4,0,1))</f>
        <v>83</v>
      </c>
      <c r="W94" s="2" t="n">
        <f aca="false">MIN(W93+1,V94+1,V93+IF($A94=W$4,0,1))</f>
        <v>83</v>
      </c>
      <c r="X94" s="2" t="n">
        <f aca="false">MIN(X93+1,W94+1,W93+IF($A94=X$4,0,1))</f>
        <v>83</v>
      </c>
      <c r="Y94" s="2" t="n">
        <f aca="false">MIN(Y93+1,X94+1,X93+IF($A94=Y$4,0,1))</f>
        <v>83</v>
      </c>
      <c r="Z94" s="2" t="n">
        <f aca="false">MIN(Z93+1,Y94+1,Y93+IF($A94=Z$4,0,1))</f>
        <v>83</v>
      </c>
      <c r="AA94" s="2" t="n">
        <f aca="false">MIN(AA93+1,Z94+1,Z93+IF($A94=AA$4,0,1))</f>
        <v>83</v>
      </c>
      <c r="AB94" s="2" t="n">
        <f aca="false">MIN(AB93+1,AA94+1,AA93+IF($A94=AB$4,0,1))</f>
        <v>83</v>
      </c>
      <c r="AC94" s="2" t="n">
        <f aca="false">MIN(AC93+1,AB94+1,AB93+IF($A94=AC$4,0,1))</f>
        <v>83</v>
      </c>
      <c r="AD94" s="2" t="n">
        <f aca="false">MIN(AD93+1,AC94+1,AC93+IF($A94=AD$4,0,1))</f>
        <v>82</v>
      </c>
      <c r="AE94" s="2" t="n">
        <f aca="false">MIN(AE93+1,AD94+1,AD93+IF($A94=AE$4,0,1))</f>
        <v>82</v>
      </c>
      <c r="AF94" s="2" t="n">
        <f aca="false">MIN(AF93+1,AE94+1,AE93+IF($A94=AF$4,0,1))</f>
        <v>82</v>
      </c>
      <c r="AG94" s="2" t="n">
        <f aca="false">MIN(AG93+1,AF94+1,AF93+IF($A94=AG$4,0,1))</f>
        <v>82</v>
      </c>
      <c r="AH94" s="2" t="n">
        <f aca="false">MIN(AH93+1,AG94+1,AG93+IF($A94=AH$4,0,1))</f>
        <v>82</v>
      </c>
      <c r="AI94" s="2" t="n">
        <f aca="false">MIN(AI93+1,AH94+1,AH93+IF($A94=AI$4,0,1))</f>
        <v>82</v>
      </c>
      <c r="AJ94" s="2" t="n">
        <f aca="false">MIN(AJ93+1,AI94+1,AI93+IF($A94=AJ$4,0,1))</f>
        <v>83</v>
      </c>
      <c r="AK94" s="2" t="n">
        <f aca="false">MIN(AK93+1,AJ94+1,AJ93+IF($A94=AK$4,0,1))</f>
        <v>83</v>
      </c>
      <c r="AL94" s="2" t="n">
        <f aca="false">MIN(AL93+1,AK94+1,AK93+IF($A94=AL$4,0,1))</f>
        <v>83</v>
      </c>
      <c r="AM94" s="2" t="n">
        <f aca="false">MIN(AM93+1,AL94+1,AL93+IF($A94=AM$4,0,1))</f>
        <v>83</v>
      </c>
      <c r="AN94" s="2" t="n">
        <f aca="false">MIN(AN93+1,AM94+1,AM93+IF($A94=AN$4,0,1))</f>
        <v>84</v>
      </c>
      <c r="AO94" s="2" t="n">
        <f aca="false">MIN(AO93+1,AN94+1,AN93+IF($A94=AO$4,0,1))</f>
        <v>84</v>
      </c>
      <c r="AP94" s="2" t="n">
        <f aca="false">MIN(AP93+1,AO94+1,AO93+IF($A94=AP$4,0,1))</f>
        <v>84</v>
      </c>
      <c r="AQ94" s="2" t="n">
        <f aca="false">MIN(AQ93+1,AP94+1,AP93+IF($A94=AQ$4,0,1))</f>
        <v>84</v>
      </c>
      <c r="AR94" s="2" t="n">
        <f aca="false">MIN(AR93+1,AQ94+1,AQ93+IF($A94=AR$4,0,1))</f>
        <v>84</v>
      </c>
      <c r="AS94" s="2" t="n">
        <f aca="false">MIN(AS93+1,AR94+1,AR93+IF($A94=AS$4,0,1))</f>
        <v>84</v>
      </c>
      <c r="AT94" s="2" t="n">
        <f aca="false">MIN(AT93+1,AS94+1,AS93+IF($A94=AT$4,0,1))</f>
        <v>83</v>
      </c>
      <c r="AU94" s="2" t="n">
        <f aca="false">MIN(AU93+1,AT94+1,AT93+IF($A94=AU$4,0,1))</f>
        <v>83</v>
      </c>
      <c r="AV94" s="2" t="n">
        <f aca="false">MIN(AV93+1,AU94+1,AU93+IF($A94=AV$4,0,1))</f>
        <v>83</v>
      </c>
      <c r="AW94" s="2" t="n">
        <f aca="false">MIN(AW93+1,AV94+1,AV93+IF($A94=AW$4,0,1))</f>
        <v>83</v>
      </c>
      <c r="AX94" s="2" t="n">
        <f aca="false">MIN(AX93+1,AW94+1,AW93+IF($A94=AX$4,0,1))</f>
        <v>83</v>
      </c>
      <c r="AY94" s="2" t="n">
        <f aca="false">MIN(AY93+1,AX94+1,AX93+IF($A94=AY$4,0,1))</f>
        <v>83</v>
      </c>
      <c r="AZ94" s="2" t="n">
        <f aca="false">MIN(AZ93+1,AY94+1,AY93+IF($A94=AZ$4,0,1))</f>
        <v>84</v>
      </c>
      <c r="BA94" s="2" t="n">
        <f aca="false">MIN(BA93+1,AZ94+1,AZ93+IF($A94=BA$4,0,1))</f>
        <v>84</v>
      </c>
      <c r="BB94" s="2" t="n">
        <f aca="false">MIN(BB93+1,BA94+1,BA93+IF($A94=BB$4,0,1))</f>
        <v>84</v>
      </c>
      <c r="BC94" s="2" t="n">
        <f aca="false">MIN(BC93+1,BB94+1,BB93+IF($A94=BC$4,0,1))</f>
        <v>84</v>
      </c>
      <c r="BD94" s="2" t="n">
        <f aca="false">MIN(BD93+1,BC94+1,BC93+IF($A94=BD$4,0,1))</f>
        <v>84</v>
      </c>
      <c r="BE94" s="2" t="n">
        <f aca="false">MIN(BE93+1,BD94+1,BD93+IF($A94=BE$4,0,1))</f>
        <v>84</v>
      </c>
      <c r="BF94" s="2" t="n">
        <f aca="false">MIN(BF93+1,BE94+1,BE93+IF($A94=BF$4,0,1))</f>
        <v>84</v>
      </c>
      <c r="BG94" s="2" t="n">
        <f aca="false">MIN(BG93+1,BF94+1,BF93+IF($A94=BG$4,0,1))</f>
        <v>84</v>
      </c>
      <c r="BH94" s="2" t="n">
        <f aca="false">MIN(BH93+1,BG94+1,BG93+IF($A94=BH$4,0,1))</f>
        <v>84</v>
      </c>
      <c r="BI94" s="2" t="n">
        <f aca="false">MIN(BI93+1,BH94+1,BH93+IF($A94=BI$4,0,1))</f>
        <v>84</v>
      </c>
      <c r="BJ94" s="2" t="n">
        <f aca="false">MIN(BJ93+1,BI94+1,BI93+IF($A94=BJ$4,0,1))</f>
        <v>84</v>
      </c>
      <c r="BK94" s="2" t="n">
        <f aca="false">MIN(BK93+1,BJ94+1,BJ93+IF($A94=BK$4,0,1))</f>
        <v>84</v>
      </c>
      <c r="BL94" s="2" t="n">
        <f aca="false">MIN(BL93+1,BK94+1,BK93+IF($A94=BL$4,0,1))</f>
        <v>83</v>
      </c>
      <c r="BM94" s="2" t="n">
        <f aca="false">MIN(BM93+1,BL94+1,BL93+IF($A94=BM$4,0,1))</f>
        <v>83</v>
      </c>
      <c r="BN94" s="2" t="n">
        <f aca="false">MIN(BN93+1,BM94+1,BM93+IF($A94=BN$4,0,1))</f>
        <v>83</v>
      </c>
      <c r="BO94" s="2" t="n">
        <f aca="false">MIN(BO93+1,BN94+1,BN93+IF($A94=BO$4,0,1))</f>
        <v>83</v>
      </c>
      <c r="BP94" s="2" t="n">
        <f aca="false">MIN(BP93+1,BO94+1,BO93+IF($A94=BP$4,0,1))</f>
        <v>83</v>
      </c>
      <c r="BQ94" s="2" t="n">
        <f aca="false">MIN(BQ93+1,BP94+1,BP93+IF($A94=BQ$4,0,1))</f>
        <v>83</v>
      </c>
      <c r="BR94" s="2" t="n">
        <f aca="false">MIN(BR93+1,BQ94+1,BQ93+IF($A94=BR$4,0,1))</f>
        <v>83</v>
      </c>
      <c r="BS94" s="2" t="n">
        <f aca="false">MIN(BS93+1,BR94+1,BR93+IF($A94=BS$4,0,1))</f>
        <v>83</v>
      </c>
      <c r="BT94" s="2" t="n">
        <f aca="false">MIN(BT93+1,BS94+1,BS93+IF($A94=BT$4,0,1))</f>
        <v>83</v>
      </c>
      <c r="BU94" s="2" t="n">
        <f aca="false">MIN(BU93+1,BT94+1,BT93+IF($A94=BU$4,0,1))</f>
        <v>83</v>
      </c>
      <c r="BV94" s="2" t="n">
        <f aca="false">MIN(BV93+1,BU94+1,BU93+IF($A94=BV$4,0,1))</f>
        <v>84</v>
      </c>
      <c r="BW94" s="2" t="n">
        <f aca="false">MIN(BW93+1,BV94+1,BV93+IF($A94=BW$4,0,1))</f>
        <v>84</v>
      </c>
      <c r="BX94" s="2" t="n">
        <f aca="false">MIN(BX93+1,BW94+1,BW93+IF($A94=BX$4,0,1))</f>
        <v>84</v>
      </c>
      <c r="BY94" s="2" t="n">
        <f aca="false">MIN(BY93+1,BX94+1,BX93+IF($A94=BY$4,0,1))</f>
        <v>84</v>
      </c>
      <c r="BZ94" s="2" t="n">
        <f aca="false">MIN(BZ93+1,BY94+1,BY93+IF($A94=BZ$4,0,1))</f>
        <v>84</v>
      </c>
      <c r="CA94" s="2" t="n">
        <f aca="false">MIN(CA93+1,BZ94+1,BZ93+IF($A94=CA$4,0,1))</f>
        <v>84</v>
      </c>
      <c r="CB94" s="2" t="n">
        <f aca="false">MIN(CB93+1,CA94+1,CA93+IF($A94=CB$4,0,1))</f>
        <v>85</v>
      </c>
      <c r="CC94" s="2" t="n">
        <f aca="false">MIN(CC93+1,CB94+1,CB93+IF($A94=CC$4,0,1))</f>
        <v>85</v>
      </c>
      <c r="CD94" s="2" t="n">
        <f aca="false">MIN(CD93+1,CC94+1,CC93+IF($A94=CD$4,0,1))</f>
        <v>85</v>
      </c>
      <c r="CE94" s="2" t="n">
        <f aca="false">MIN(CE93+1,CD94+1,CD93+IF($A94=CE$4,0,1))</f>
        <v>85</v>
      </c>
      <c r="CF94" s="2" t="n">
        <f aca="false">MIN(CF93+1,CE94+1,CE93+IF($A94=CF$4,0,1))</f>
        <v>85</v>
      </c>
      <c r="CG94" s="2" t="n">
        <f aca="false">MIN(CG93+1,CF94+1,CF93+IF($A94=CG$4,0,1))</f>
        <v>86</v>
      </c>
      <c r="CH94" s="2" t="n">
        <f aca="false">MIN(CH93+1,CG94+1,CG93+IF($A94=CH$4,0,1))</f>
        <v>86</v>
      </c>
      <c r="CI94" s="2" t="n">
        <f aca="false">MIN(CI93+1,CH94+1,CH93+IF($A94=CI$4,0,1))</f>
        <v>86</v>
      </c>
      <c r="CJ94" s="2" t="n">
        <f aca="false">MIN(CJ93+1,CI94+1,CI93+IF($A94=CJ$4,0,1))</f>
        <v>86</v>
      </c>
      <c r="CK94" s="2" t="n">
        <f aca="false">MIN(CK93+1,CJ94+1,CJ93+IF($A94=CK$4,0,1))</f>
        <v>86</v>
      </c>
      <c r="CL94" s="2" t="n">
        <f aca="false">MIN(CL93+1,CK94+1,CK93+IF($A94=CL$4,0,1))</f>
        <v>86</v>
      </c>
      <c r="CM94" s="2" t="n">
        <f aca="false">MIN(CM93+1,CL94+1,CL93+IF($A94=CM$4,0,1))</f>
        <v>86</v>
      </c>
      <c r="CN94" s="2" t="n">
        <f aca="false">MIN(CN93+1,CM94+1,CM93+IF($A94=CN$4,0,1))</f>
        <v>86</v>
      </c>
      <c r="CO94" s="2" t="n">
        <f aca="false">MIN(CO93+1,CN94+1,CN93+IF($A94=CO$4,0,1))</f>
        <v>86</v>
      </c>
      <c r="CP94" s="2" t="n">
        <f aca="false">MIN(CP93+1,CO94+1,CO93+IF($A94=CP$4,0,1))</f>
        <v>87</v>
      </c>
      <c r="CQ94" s="2" t="n">
        <f aca="false">MIN(CQ93+1,CP94+1,CP93+IF($A94=CQ$4,0,1))</f>
        <v>88</v>
      </c>
    </row>
    <row r="95" customFormat="false" ht="15" hidden="false" customHeight="false" outlineLevel="0" collapsed="false">
      <c r="A95" s="4" t="s">
        <v>200</v>
      </c>
      <c r="B95" s="12" t="n">
        <v>90</v>
      </c>
      <c r="C95" s="2" t="n">
        <f aca="false">MIN(C94+1,B95+1,B94+IF($A95=C$4,0,1))</f>
        <v>90</v>
      </c>
      <c r="D95" s="2" t="n">
        <f aca="false">MIN(D94+1,C95+1,C94+IF($A95=D$4,0,1))</f>
        <v>89</v>
      </c>
      <c r="E95" s="2" t="n">
        <f aca="false">MIN(E94+1,D95+1,D94+IF($A95=E$4,0,1))</f>
        <v>88</v>
      </c>
      <c r="F95" s="2" t="n">
        <f aca="false">MIN(F94+1,E95+1,E94+IF($A95=F$4,0,1))</f>
        <v>87</v>
      </c>
      <c r="G95" s="2" t="n">
        <f aca="false">MIN(G94+1,F95+1,F94+IF($A95=G$4,0,1))</f>
        <v>86</v>
      </c>
      <c r="H95" s="2" t="n">
        <f aca="false">MIN(H94+1,G95+1,G94+IF($A95=H$4,0,1))</f>
        <v>86</v>
      </c>
      <c r="I95" s="2" t="n">
        <f aca="false">MIN(I94+1,H95+1,H94+IF($A95=I$4,0,1))</f>
        <v>86</v>
      </c>
      <c r="J95" s="2" t="n">
        <f aca="false">MIN(J94+1,I95+1,I94+IF($A95=J$4,0,1))</f>
        <v>86</v>
      </c>
      <c r="K95" s="2" t="n">
        <f aca="false">MIN(K94+1,J95+1,J94+IF($A95=K$4,0,1))</f>
        <v>86</v>
      </c>
      <c r="L95" s="2" t="n">
        <f aca="false">MIN(L94+1,K95+1,K94+IF($A95=L$4,0,1))</f>
        <v>86</v>
      </c>
      <c r="M95" s="2" t="n">
        <f aca="false">MIN(M94+1,L95+1,L94+IF($A95=M$4,0,1))</f>
        <v>86</v>
      </c>
      <c r="N95" s="2" t="n">
        <f aca="false">MIN(N94+1,M95+1,M94+IF($A95=N$4,0,1))</f>
        <v>85</v>
      </c>
      <c r="O95" s="2" t="n">
        <f aca="false">MIN(O94+1,N95+1,N94+IF($A95=O$4,0,1))</f>
        <v>84</v>
      </c>
      <c r="P95" s="2" t="n">
        <f aca="false">MIN(P94+1,O95+1,O94+IF($A95=P$4,0,1))</f>
        <v>84</v>
      </c>
      <c r="Q95" s="2" t="n">
        <f aca="false">MIN(Q94+1,P95+1,P94+IF($A95=Q$4,0,1))</f>
        <v>84</v>
      </c>
      <c r="R95" s="2" t="n">
        <f aca="false">MIN(R94+1,Q95+1,Q94+IF($A95=R$4,0,1))</f>
        <v>84</v>
      </c>
      <c r="S95" s="2" t="n">
        <f aca="false">MIN(S94+1,R95+1,R94+IF($A95=S$4,0,1))</f>
        <v>84</v>
      </c>
      <c r="T95" s="2" t="n">
        <f aca="false">MIN(T94+1,S95+1,S94+IF($A95=T$4,0,1))</f>
        <v>84</v>
      </c>
      <c r="U95" s="2" t="n">
        <f aca="false">MIN(U94+1,T95+1,T94+IF($A95=U$4,0,1))</f>
        <v>84</v>
      </c>
      <c r="V95" s="2" t="n">
        <f aca="false">MIN(V94+1,U95+1,U94+IF($A95=V$4,0,1))</f>
        <v>84</v>
      </c>
      <c r="W95" s="2" t="n">
        <f aca="false">MIN(W94+1,V95+1,V94+IF($A95=W$4,0,1))</f>
        <v>84</v>
      </c>
      <c r="X95" s="2" t="n">
        <f aca="false">MIN(X94+1,W95+1,W94+IF($A95=X$4,0,1))</f>
        <v>84</v>
      </c>
      <c r="Y95" s="2" t="n">
        <f aca="false">MIN(Y94+1,X95+1,X94+IF($A95=Y$4,0,1))</f>
        <v>84</v>
      </c>
      <c r="Z95" s="2" t="n">
        <f aca="false">MIN(Z94+1,Y95+1,Y94+IF($A95=Z$4,0,1))</f>
        <v>84</v>
      </c>
      <c r="AA95" s="2" t="n">
        <f aca="false">MIN(AA94+1,Z95+1,Z94+IF($A95=AA$4,0,1))</f>
        <v>84</v>
      </c>
      <c r="AB95" s="2" t="n">
        <f aca="false">MIN(AB94+1,AA95+1,AA94+IF($A95=AB$4,0,1))</f>
        <v>84</v>
      </c>
      <c r="AC95" s="2" t="n">
        <f aca="false">MIN(AC94+1,AB95+1,AB94+IF($A95=AC$4,0,1))</f>
        <v>84</v>
      </c>
      <c r="AD95" s="2" t="n">
        <f aca="false">MIN(AD94+1,AC95+1,AC94+IF($A95=AD$4,0,1))</f>
        <v>83</v>
      </c>
      <c r="AE95" s="2" t="n">
        <f aca="false">MIN(AE94+1,AD95+1,AD94+IF($A95=AE$4,0,1))</f>
        <v>83</v>
      </c>
      <c r="AF95" s="2" t="n">
        <f aca="false">MIN(AF94+1,AE95+1,AE94+IF($A95=AF$4,0,1))</f>
        <v>83</v>
      </c>
      <c r="AG95" s="2" t="n">
        <f aca="false">MIN(AG94+1,AF95+1,AF94+IF($A95=AG$4,0,1))</f>
        <v>83</v>
      </c>
      <c r="AH95" s="2" t="n">
        <f aca="false">MIN(AH94+1,AG95+1,AG94+IF($A95=AH$4,0,1))</f>
        <v>83</v>
      </c>
      <c r="AI95" s="2" t="n">
        <f aca="false">MIN(AI94+1,AH95+1,AH94+IF($A95=AI$4,0,1))</f>
        <v>83</v>
      </c>
      <c r="AJ95" s="2" t="n">
        <f aca="false">MIN(AJ94+1,AI95+1,AI94+IF($A95=AJ$4,0,1))</f>
        <v>83</v>
      </c>
      <c r="AK95" s="2" t="n">
        <f aca="false">MIN(AK94+1,AJ95+1,AJ94+IF($A95=AK$4,0,1))</f>
        <v>84</v>
      </c>
      <c r="AL95" s="2" t="n">
        <f aca="false">MIN(AL94+1,AK95+1,AK94+IF($A95=AL$4,0,1))</f>
        <v>84</v>
      </c>
      <c r="AM95" s="2" t="n">
        <f aca="false">MIN(AM94+1,AL95+1,AL94+IF($A95=AM$4,0,1))</f>
        <v>84</v>
      </c>
      <c r="AN95" s="2" t="n">
        <f aca="false">MIN(AN94+1,AM95+1,AM94+IF($A95=AN$4,0,1))</f>
        <v>84</v>
      </c>
      <c r="AO95" s="2" t="n">
        <f aca="false">MIN(AO94+1,AN95+1,AN94+IF($A95=AO$4,0,1))</f>
        <v>85</v>
      </c>
      <c r="AP95" s="2" t="n">
        <f aca="false">MIN(AP94+1,AO95+1,AO94+IF($A95=AP$4,0,1))</f>
        <v>85</v>
      </c>
      <c r="AQ95" s="2" t="n">
        <f aca="false">MIN(AQ94+1,AP95+1,AP94+IF($A95=AQ$4,0,1))</f>
        <v>85</v>
      </c>
      <c r="AR95" s="2" t="n">
        <f aca="false">MIN(AR94+1,AQ95+1,AQ94+IF($A95=AR$4,0,1))</f>
        <v>85</v>
      </c>
      <c r="AS95" s="2" t="n">
        <f aca="false">MIN(AS94+1,AR95+1,AR94+IF($A95=AS$4,0,1))</f>
        <v>85</v>
      </c>
      <c r="AT95" s="2" t="n">
        <f aca="false">MIN(AT94+1,AS95+1,AS94+IF($A95=AT$4,0,1))</f>
        <v>84</v>
      </c>
      <c r="AU95" s="2" t="n">
        <f aca="false">MIN(AU94+1,AT95+1,AT94+IF($A95=AU$4,0,1))</f>
        <v>84</v>
      </c>
      <c r="AV95" s="2" t="n">
        <f aca="false">MIN(AV94+1,AU95+1,AU94+IF($A95=AV$4,0,1))</f>
        <v>84</v>
      </c>
      <c r="AW95" s="2" t="n">
        <f aca="false">MIN(AW94+1,AV95+1,AV94+IF($A95=AW$4,0,1))</f>
        <v>84</v>
      </c>
      <c r="AX95" s="2" t="n">
        <f aca="false">MIN(AX94+1,AW95+1,AW94+IF($A95=AX$4,0,1))</f>
        <v>84</v>
      </c>
      <c r="AY95" s="2" t="n">
        <f aca="false">MIN(AY94+1,AX95+1,AX94+IF($A95=AY$4,0,1))</f>
        <v>84</v>
      </c>
      <c r="AZ95" s="2" t="n">
        <f aca="false">MIN(AZ94+1,AY95+1,AY94+IF($A95=AZ$4,0,1))</f>
        <v>84</v>
      </c>
      <c r="BA95" s="2" t="n">
        <f aca="false">MIN(BA94+1,AZ95+1,AZ94+IF($A95=BA$4,0,1))</f>
        <v>85</v>
      </c>
      <c r="BB95" s="2" t="n">
        <f aca="false">MIN(BB94+1,BA95+1,BA94+IF($A95=BB$4,0,1))</f>
        <v>85</v>
      </c>
      <c r="BC95" s="2" t="n">
        <f aca="false">MIN(BC94+1,BB95+1,BB94+IF($A95=BC$4,0,1))</f>
        <v>85</v>
      </c>
      <c r="BD95" s="2" t="n">
        <f aca="false">MIN(BD94+1,BC95+1,BC94+IF($A95=BD$4,0,1))</f>
        <v>85</v>
      </c>
      <c r="BE95" s="2" t="n">
        <f aca="false">MIN(BE94+1,BD95+1,BD94+IF($A95=BE$4,0,1))</f>
        <v>85</v>
      </c>
      <c r="BF95" s="2" t="n">
        <f aca="false">MIN(BF94+1,BE95+1,BE94+IF($A95=BF$4,0,1))</f>
        <v>85</v>
      </c>
      <c r="BG95" s="2" t="n">
        <f aca="false">MIN(BG94+1,BF95+1,BF94+IF($A95=BG$4,0,1))</f>
        <v>85</v>
      </c>
      <c r="BH95" s="2" t="n">
        <f aca="false">MIN(BH94+1,BG95+1,BG94+IF($A95=BH$4,0,1))</f>
        <v>85</v>
      </c>
      <c r="BI95" s="2" t="n">
        <f aca="false">MIN(BI94+1,BH95+1,BH94+IF($A95=BI$4,0,1))</f>
        <v>85</v>
      </c>
      <c r="BJ95" s="2" t="n">
        <f aca="false">MIN(BJ94+1,BI95+1,BI94+IF($A95=BJ$4,0,1))</f>
        <v>85</v>
      </c>
      <c r="BK95" s="2" t="n">
        <f aca="false">MIN(BK94+1,BJ95+1,BJ94+IF($A95=BK$4,0,1))</f>
        <v>85</v>
      </c>
      <c r="BL95" s="2" t="n">
        <f aca="false">MIN(BL94+1,BK95+1,BK94+IF($A95=BL$4,0,1))</f>
        <v>84</v>
      </c>
      <c r="BM95" s="2" t="n">
        <f aca="false">MIN(BM94+1,BL95+1,BL94+IF($A95=BM$4,0,1))</f>
        <v>84</v>
      </c>
      <c r="BN95" s="2" t="n">
        <f aca="false">MIN(BN94+1,BM95+1,BM94+IF($A95=BN$4,0,1))</f>
        <v>84</v>
      </c>
      <c r="BO95" s="2" t="n">
        <f aca="false">MIN(BO94+1,BN95+1,BN94+IF($A95=BO$4,0,1))</f>
        <v>84</v>
      </c>
      <c r="BP95" s="2" t="n">
        <f aca="false">MIN(BP94+1,BO95+1,BO94+IF($A95=BP$4,0,1))</f>
        <v>84</v>
      </c>
      <c r="BQ95" s="2" t="n">
        <f aca="false">MIN(BQ94+1,BP95+1,BP94+IF($A95=BQ$4,0,1))</f>
        <v>84</v>
      </c>
      <c r="BR95" s="2" t="n">
        <f aca="false">MIN(BR94+1,BQ95+1,BQ94+IF($A95=BR$4,0,1))</f>
        <v>84</v>
      </c>
      <c r="BS95" s="2" t="n">
        <f aca="false">MIN(BS94+1,BR95+1,BR94+IF($A95=BS$4,0,1))</f>
        <v>84</v>
      </c>
      <c r="BT95" s="2" t="n">
        <f aca="false">MIN(BT94+1,BS95+1,BS94+IF($A95=BT$4,0,1))</f>
        <v>84</v>
      </c>
      <c r="BU95" s="2" t="n">
        <f aca="false">MIN(BU94+1,BT95+1,BT94+IF($A95=BU$4,0,1))</f>
        <v>84</v>
      </c>
      <c r="BV95" s="2" t="n">
        <f aca="false">MIN(BV94+1,BU95+1,BU94+IF($A95=BV$4,0,1))</f>
        <v>84</v>
      </c>
      <c r="BW95" s="2" t="n">
        <f aca="false">MIN(BW94+1,BV95+1,BV94+IF($A95=BW$4,0,1))</f>
        <v>85</v>
      </c>
      <c r="BX95" s="2" t="n">
        <f aca="false">MIN(BX94+1,BW95+1,BW94+IF($A95=BX$4,0,1))</f>
        <v>85</v>
      </c>
      <c r="BY95" s="2" t="n">
        <f aca="false">MIN(BY94+1,BX95+1,BX94+IF($A95=BY$4,0,1))</f>
        <v>85</v>
      </c>
      <c r="BZ95" s="2" t="n">
        <f aca="false">MIN(BZ94+1,BY95+1,BY94+IF($A95=BZ$4,0,1))</f>
        <v>85</v>
      </c>
      <c r="CA95" s="2" t="n">
        <f aca="false">MIN(CA94+1,BZ95+1,BZ94+IF($A95=CA$4,0,1))</f>
        <v>85</v>
      </c>
      <c r="CB95" s="2" t="n">
        <f aca="false">MIN(CB94+1,CA95+1,CA94+IF($A95=CB$4,0,1))</f>
        <v>85</v>
      </c>
      <c r="CC95" s="2" t="n">
        <f aca="false">MIN(CC94+1,CB95+1,CB94+IF($A95=CC$4,0,1))</f>
        <v>86</v>
      </c>
      <c r="CD95" s="2" t="n">
        <f aca="false">MIN(CD94+1,CC95+1,CC94+IF($A95=CD$4,0,1))</f>
        <v>86</v>
      </c>
      <c r="CE95" s="2" t="n">
        <f aca="false">MIN(CE94+1,CD95+1,CD94+IF($A95=CE$4,0,1))</f>
        <v>86</v>
      </c>
      <c r="CF95" s="2" t="n">
        <f aca="false">MIN(CF94+1,CE95+1,CE94+IF($A95=CF$4,0,1))</f>
        <v>86</v>
      </c>
      <c r="CG95" s="2" t="n">
        <f aca="false">MIN(CG94+1,CF95+1,CF94+IF($A95=CG$4,0,1))</f>
        <v>86</v>
      </c>
      <c r="CH95" s="2" t="n">
        <f aca="false">MIN(CH94+1,CG95+1,CG94+IF($A95=CH$4,0,1))</f>
        <v>87</v>
      </c>
      <c r="CI95" s="2" t="n">
        <f aca="false">MIN(CI94+1,CH95+1,CH94+IF($A95=CI$4,0,1))</f>
        <v>87</v>
      </c>
      <c r="CJ95" s="2" t="n">
        <f aca="false">MIN(CJ94+1,CI95+1,CI94+IF($A95=CJ$4,0,1))</f>
        <v>87</v>
      </c>
      <c r="CK95" s="2" t="n">
        <f aca="false">MIN(CK94+1,CJ95+1,CJ94+IF($A95=CK$4,0,1))</f>
        <v>87</v>
      </c>
      <c r="CL95" s="2" t="n">
        <f aca="false">MIN(CL94+1,CK95+1,CK94+IF($A95=CL$4,0,1))</f>
        <v>87</v>
      </c>
      <c r="CM95" s="2" t="n">
        <f aca="false">MIN(CM94+1,CL95+1,CL94+IF($A95=CM$4,0,1))</f>
        <v>87</v>
      </c>
      <c r="CN95" s="2" t="n">
        <f aca="false">MIN(CN94+1,CM95+1,CM94+IF($A95=CN$4,0,1))</f>
        <v>87</v>
      </c>
      <c r="CO95" s="2" t="n">
        <f aca="false">MIN(CO94+1,CN95+1,CN94+IF($A95=CO$4,0,1))</f>
        <v>87</v>
      </c>
      <c r="CP95" s="2" t="n">
        <f aca="false">MIN(CP94+1,CO95+1,CO94+IF($A95=CP$4,0,1))</f>
        <v>87</v>
      </c>
      <c r="CQ95" s="2" t="n">
        <f aca="false">MIN(CQ94+1,CP95+1,CP94+IF($A95=CQ$4,0,1))</f>
        <v>88</v>
      </c>
    </row>
    <row r="96" customFormat="false" ht="15" hidden="false" customHeight="false" outlineLevel="0" collapsed="false">
      <c r="A96" s="4" t="s">
        <v>201</v>
      </c>
      <c r="B96" s="12" t="n">
        <v>91</v>
      </c>
      <c r="C96" s="2" t="n">
        <f aca="false">MIN(C95+1,B96+1,B95+IF($A96=C$4,0,1))</f>
        <v>91</v>
      </c>
      <c r="D96" s="2" t="n">
        <f aca="false">MIN(D95+1,C96+1,C95+IF($A96=D$4,0,1))</f>
        <v>90</v>
      </c>
      <c r="E96" s="2" t="n">
        <f aca="false">MIN(E95+1,D96+1,D95+IF($A96=E$4,0,1))</f>
        <v>89</v>
      </c>
      <c r="F96" s="2" t="n">
        <f aca="false">MIN(F95+1,E96+1,E95+IF($A96=F$4,0,1))</f>
        <v>88</v>
      </c>
      <c r="G96" s="2" t="n">
        <f aca="false">MIN(G95+1,F96+1,F95+IF($A96=G$4,0,1))</f>
        <v>87</v>
      </c>
      <c r="H96" s="2" t="n">
        <f aca="false">MIN(H95+1,G96+1,G95+IF($A96=H$4,0,1))</f>
        <v>87</v>
      </c>
      <c r="I96" s="2" t="n">
        <f aca="false">MIN(I95+1,H96+1,H95+IF($A96=I$4,0,1))</f>
        <v>87</v>
      </c>
      <c r="J96" s="2" t="n">
        <f aca="false">MIN(J95+1,I96+1,I95+IF($A96=J$4,0,1))</f>
        <v>87</v>
      </c>
      <c r="K96" s="2" t="n">
        <f aca="false">MIN(K95+1,J96+1,J95+IF($A96=K$4,0,1))</f>
        <v>87</v>
      </c>
      <c r="L96" s="2" t="n">
        <f aca="false">MIN(L95+1,K96+1,K95+IF($A96=L$4,0,1))</f>
        <v>87</v>
      </c>
      <c r="M96" s="2" t="n">
        <f aca="false">MIN(M95+1,L96+1,L95+IF($A96=M$4,0,1))</f>
        <v>87</v>
      </c>
      <c r="N96" s="2" t="n">
        <f aca="false">MIN(N95+1,M96+1,M95+IF($A96=N$4,0,1))</f>
        <v>86</v>
      </c>
      <c r="O96" s="2" t="n">
        <f aca="false">MIN(O95+1,N96+1,N95+IF($A96=O$4,0,1))</f>
        <v>85</v>
      </c>
      <c r="P96" s="2" t="n">
        <f aca="false">MIN(P95+1,O96+1,O95+IF($A96=P$4,0,1))</f>
        <v>85</v>
      </c>
      <c r="Q96" s="2" t="n">
        <f aca="false">MIN(Q95+1,P96+1,P95+IF($A96=Q$4,0,1))</f>
        <v>85</v>
      </c>
      <c r="R96" s="2" t="n">
        <f aca="false">MIN(R95+1,Q96+1,Q95+IF($A96=R$4,0,1))</f>
        <v>85</v>
      </c>
      <c r="S96" s="2" t="n">
        <f aca="false">MIN(S95+1,R96+1,R95+IF($A96=S$4,0,1))</f>
        <v>85</v>
      </c>
      <c r="T96" s="2" t="n">
        <f aca="false">MIN(T95+1,S96+1,S95+IF($A96=T$4,0,1))</f>
        <v>85</v>
      </c>
      <c r="U96" s="2" t="n">
        <f aca="false">MIN(U95+1,T96+1,T95+IF($A96=U$4,0,1))</f>
        <v>85</v>
      </c>
      <c r="V96" s="2" t="n">
        <f aca="false">MIN(V95+1,U96+1,U95+IF($A96=V$4,0,1))</f>
        <v>85</v>
      </c>
      <c r="W96" s="2" t="n">
        <f aca="false">MIN(W95+1,V96+1,V95+IF($A96=W$4,0,1))</f>
        <v>85</v>
      </c>
      <c r="X96" s="2" t="n">
        <f aca="false">MIN(X95+1,W96+1,W95+IF($A96=X$4,0,1))</f>
        <v>85</v>
      </c>
      <c r="Y96" s="2" t="n">
        <f aca="false">MIN(Y95+1,X96+1,X95+IF($A96=Y$4,0,1))</f>
        <v>85</v>
      </c>
      <c r="Z96" s="2" t="n">
        <f aca="false">MIN(Z95+1,Y96+1,Y95+IF($A96=Z$4,0,1))</f>
        <v>85</v>
      </c>
      <c r="AA96" s="2" t="n">
        <f aca="false">MIN(AA95+1,Z96+1,Z95+IF($A96=AA$4,0,1))</f>
        <v>85</v>
      </c>
      <c r="AB96" s="2" t="n">
        <f aca="false">MIN(AB95+1,AA96+1,AA95+IF($A96=AB$4,0,1))</f>
        <v>85</v>
      </c>
      <c r="AC96" s="2" t="n">
        <f aca="false">MIN(AC95+1,AB96+1,AB95+IF($A96=AC$4,0,1))</f>
        <v>85</v>
      </c>
      <c r="AD96" s="2" t="n">
        <f aca="false">MIN(AD95+1,AC96+1,AC95+IF($A96=AD$4,0,1))</f>
        <v>84</v>
      </c>
      <c r="AE96" s="2" t="n">
        <f aca="false">MIN(AE95+1,AD96+1,AD95+IF($A96=AE$4,0,1))</f>
        <v>84</v>
      </c>
      <c r="AF96" s="2" t="n">
        <f aca="false">MIN(AF95+1,AE96+1,AE95+IF($A96=AF$4,0,1))</f>
        <v>84</v>
      </c>
      <c r="AG96" s="2" t="n">
        <f aca="false">MIN(AG95+1,AF96+1,AF95+IF($A96=AG$4,0,1))</f>
        <v>84</v>
      </c>
      <c r="AH96" s="2" t="n">
        <f aca="false">MIN(AH95+1,AG96+1,AG95+IF($A96=AH$4,0,1))</f>
        <v>84</v>
      </c>
      <c r="AI96" s="2" t="n">
        <f aca="false">MIN(AI95+1,AH96+1,AH95+IF($A96=AI$4,0,1))</f>
        <v>84</v>
      </c>
      <c r="AJ96" s="2" t="n">
        <f aca="false">MIN(AJ95+1,AI96+1,AI95+IF($A96=AJ$4,0,1))</f>
        <v>84</v>
      </c>
      <c r="AK96" s="2" t="n">
        <f aca="false">MIN(AK95+1,AJ96+1,AJ95+IF($A96=AK$4,0,1))</f>
        <v>84</v>
      </c>
      <c r="AL96" s="2" t="n">
        <f aca="false">MIN(AL95+1,AK96+1,AK95+IF($A96=AL$4,0,1))</f>
        <v>85</v>
      </c>
      <c r="AM96" s="2" t="n">
        <f aca="false">MIN(AM95+1,AL96+1,AL95+IF($A96=AM$4,0,1))</f>
        <v>85</v>
      </c>
      <c r="AN96" s="2" t="n">
        <f aca="false">MIN(AN95+1,AM96+1,AM95+IF($A96=AN$4,0,1))</f>
        <v>85</v>
      </c>
      <c r="AO96" s="2" t="n">
        <f aca="false">MIN(AO95+1,AN96+1,AN95+IF($A96=AO$4,0,1))</f>
        <v>85</v>
      </c>
      <c r="AP96" s="2" t="n">
        <f aca="false">MIN(AP95+1,AO96+1,AO95+IF($A96=AP$4,0,1))</f>
        <v>86</v>
      </c>
      <c r="AQ96" s="2" t="n">
        <f aca="false">MIN(AQ95+1,AP96+1,AP95+IF($A96=AQ$4,0,1))</f>
        <v>86</v>
      </c>
      <c r="AR96" s="2" t="n">
        <f aca="false">MIN(AR95+1,AQ96+1,AQ95+IF($A96=AR$4,0,1))</f>
        <v>86</v>
      </c>
      <c r="AS96" s="2" t="n">
        <f aca="false">MIN(AS95+1,AR96+1,AR95+IF($A96=AS$4,0,1))</f>
        <v>86</v>
      </c>
      <c r="AT96" s="2" t="n">
        <f aca="false">MIN(AT95+1,AS96+1,AS95+IF($A96=AT$4,0,1))</f>
        <v>85</v>
      </c>
      <c r="AU96" s="2" t="n">
        <f aca="false">MIN(AU95+1,AT96+1,AT95+IF($A96=AU$4,0,1))</f>
        <v>85</v>
      </c>
      <c r="AV96" s="2" t="n">
        <f aca="false">MIN(AV95+1,AU96+1,AU95+IF($A96=AV$4,0,1))</f>
        <v>85</v>
      </c>
      <c r="AW96" s="2" t="n">
        <f aca="false">MIN(AW95+1,AV96+1,AV95+IF($A96=AW$4,0,1))</f>
        <v>85</v>
      </c>
      <c r="AX96" s="2" t="n">
        <f aca="false">MIN(AX95+1,AW96+1,AW95+IF($A96=AX$4,0,1))</f>
        <v>85</v>
      </c>
      <c r="AY96" s="2" t="n">
        <f aca="false">MIN(AY95+1,AX96+1,AX95+IF($A96=AY$4,0,1))</f>
        <v>85</v>
      </c>
      <c r="AZ96" s="2" t="n">
        <f aca="false">MIN(AZ95+1,AY96+1,AY95+IF($A96=AZ$4,0,1))</f>
        <v>85</v>
      </c>
      <c r="BA96" s="2" t="n">
        <f aca="false">MIN(BA95+1,AZ96+1,AZ95+IF($A96=BA$4,0,1))</f>
        <v>85</v>
      </c>
      <c r="BB96" s="2" t="n">
        <f aca="false">MIN(BB95+1,BA96+1,BA95+IF($A96=BB$4,0,1))</f>
        <v>86</v>
      </c>
      <c r="BC96" s="2" t="n">
        <f aca="false">MIN(BC95+1,BB96+1,BB95+IF($A96=BC$4,0,1))</f>
        <v>86</v>
      </c>
      <c r="BD96" s="2" t="n">
        <f aca="false">MIN(BD95+1,BC96+1,BC95+IF($A96=BD$4,0,1))</f>
        <v>86</v>
      </c>
      <c r="BE96" s="2" t="n">
        <f aca="false">MIN(BE95+1,BD96+1,BD95+IF($A96=BE$4,0,1))</f>
        <v>86</v>
      </c>
      <c r="BF96" s="2" t="n">
        <f aca="false">MIN(BF95+1,BE96+1,BE95+IF($A96=BF$4,0,1))</f>
        <v>86</v>
      </c>
      <c r="BG96" s="2" t="n">
        <f aca="false">MIN(BG95+1,BF96+1,BF95+IF($A96=BG$4,0,1))</f>
        <v>86</v>
      </c>
      <c r="BH96" s="2" t="n">
        <f aca="false">MIN(BH95+1,BG96+1,BG95+IF($A96=BH$4,0,1))</f>
        <v>86</v>
      </c>
      <c r="BI96" s="2" t="n">
        <f aca="false">MIN(BI95+1,BH96+1,BH95+IF($A96=BI$4,0,1))</f>
        <v>86</v>
      </c>
      <c r="BJ96" s="2" t="n">
        <f aca="false">MIN(BJ95+1,BI96+1,BI95+IF($A96=BJ$4,0,1))</f>
        <v>86</v>
      </c>
      <c r="BK96" s="2" t="n">
        <f aca="false">MIN(BK95+1,BJ96+1,BJ95+IF($A96=BK$4,0,1))</f>
        <v>86</v>
      </c>
      <c r="BL96" s="2" t="n">
        <f aca="false">MIN(BL95+1,BK96+1,BK95+IF($A96=BL$4,0,1))</f>
        <v>85</v>
      </c>
      <c r="BM96" s="2" t="n">
        <f aca="false">MIN(BM95+1,BL96+1,BL95+IF($A96=BM$4,0,1))</f>
        <v>85</v>
      </c>
      <c r="BN96" s="2" t="n">
        <f aca="false">MIN(BN95+1,BM96+1,BM95+IF($A96=BN$4,0,1))</f>
        <v>85</v>
      </c>
      <c r="BO96" s="2" t="n">
        <f aca="false">MIN(BO95+1,BN96+1,BN95+IF($A96=BO$4,0,1))</f>
        <v>85</v>
      </c>
      <c r="BP96" s="2" t="n">
        <f aca="false">MIN(BP95+1,BO96+1,BO95+IF($A96=BP$4,0,1))</f>
        <v>85</v>
      </c>
      <c r="BQ96" s="2" t="n">
        <f aca="false">MIN(BQ95+1,BP96+1,BP95+IF($A96=BQ$4,0,1))</f>
        <v>85</v>
      </c>
      <c r="BR96" s="2" t="n">
        <f aca="false">MIN(BR95+1,BQ96+1,BQ95+IF($A96=BR$4,0,1))</f>
        <v>85</v>
      </c>
      <c r="BS96" s="2" t="n">
        <f aca="false">MIN(BS95+1,BR96+1,BR95+IF($A96=BS$4,0,1))</f>
        <v>85</v>
      </c>
      <c r="BT96" s="2" t="n">
        <f aca="false">MIN(BT95+1,BS96+1,BS95+IF($A96=BT$4,0,1))</f>
        <v>85</v>
      </c>
      <c r="BU96" s="2" t="n">
        <f aca="false">MIN(BU95+1,BT96+1,BT95+IF($A96=BU$4,0,1))</f>
        <v>85</v>
      </c>
      <c r="BV96" s="2" t="n">
        <f aca="false">MIN(BV95+1,BU96+1,BU95+IF($A96=BV$4,0,1))</f>
        <v>85</v>
      </c>
      <c r="BW96" s="2" t="n">
        <f aca="false">MIN(BW95+1,BV96+1,BV95+IF($A96=BW$4,0,1))</f>
        <v>85</v>
      </c>
      <c r="BX96" s="2" t="n">
        <f aca="false">MIN(BX95+1,BW96+1,BW95+IF($A96=BX$4,0,1))</f>
        <v>86</v>
      </c>
      <c r="BY96" s="2" t="n">
        <f aca="false">MIN(BY95+1,BX96+1,BX95+IF($A96=BY$4,0,1))</f>
        <v>86</v>
      </c>
      <c r="BZ96" s="2" t="n">
        <f aca="false">MIN(BZ95+1,BY96+1,BY95+IF($A96=BZ$4,0,1))</f>
        <v>86</v>
      </c>
      <c r="CA96" s="2" t="n">
        <f aca="false">MIN(CA95+1,BZ96+1,BZ95+IF($A96=CA$4,0,1))</f>
        <v>86</v>
      </c>
      <c r="CB96" s="2" t="n">
        <f aca="false">MIN(CB95+1,CA96+1,CA95+IF($A96=CB$4,0,1))</f>
        <v>86</v>
      </c>
      <c r="CC96" s="2" t="n">
        <f aca="false">MIN(CC95+1,CB96+1,CB95+IF($A96=CC$4,0,1))</f>
        <v>86</v>
      </c>
      <c r="CD96" s="2" t="n">
        <f aca="false">MIN(CD95+1,CC96+1,CC95+IF($A96=CD$4,0,1))</f>
        <v>87</v>
      </c>
      <c r="CE96" s="2" t="n">
        <f aca="false">MIN(CE95+1,CD96+1,CD95+IF($A96=CE$4,0,1))</f>
        <v>87</v>
      </c>
      <c r="CF96" s="2" t="n">
        <f aca="false">MIN(CF95+1,CE96+1,CE95+IF($A96=CF$4,0,1))</f>
        <v>87</v>
      </c>
      <c r="CG96" s="2" t="n">
        <f aca="false">MIN(CG95+1,CF96+1,CF95+IF($A96=CG$4,0,1))</f>
        <v>87</v>
      </c>
      <c r="CH96" s="2" t="n">
        <f aca="false">MIN(CH95+1,CG96+1,CG95+IF($A96=CH$4,0,1))</f>
        <v>87</v>
      </c>
      <c r="CI96" s="2" t="n">
        <f aca="false">MIN(CI95+1,CH96+1,CH95+IF($A96=CI$4,0,1))</f>
        <v>88</v>
      </c>
      <c r="CJ96" s="2" t="n">
        <f aca="false">MIN(CJ95+1,CI96+1,CI95+IF($A96=CJ$4,0,1))</f>
        <v>88</v>
      </c>
      <c r="CK96" s="2" t="n">
        <f aca="false">MIN(CK95+1,CJ96+1,CJ95+IF($A96=CK$4,0,1))</f>
        <v>88</v>
      </c>
      <c r="CL96" s="2" t="n">
        <f aca="false">MIN(CL95+1,CK96+1,CK95+IF($A96=CL$4,0,1))</f>
        <v>88</v>
      </c>
      <c r="CM96" s="2" t="n">
        <f aca="false">MIN(CM95+1,CL96+1,CL95+IF($A96=CM$4,0,1))</f>
        <v>88</v>
      </c>
      <c r="CN96" s="2" t="n">
        <f aca="false">MIN(CN95+1,CM96+1,CM95+IF($A96=CN$4,0,1))</f>
        <v>88</v>
      </c>
      <c r="CO96" s="2" t="n">
        <f aca="false">MIN(CO95+1,CN96+1,CN95+IF($A96=CO$4,0,1))</f>
        <v>88</v>
      </c>
      <c r="CP96" s="2" t="n">
        <f aca="false">MIN(CP95+1,CO96+1,CO95+IF($A96=CP$4,0,1))</f>
        <v>88</v>
      </c>
      <c r="CQ96" s="2" t="n">
        <f aca="false">MIN(CQ95+1,CP96+1,CP95+IF($A96=CQ$4,0,1))</f>
        <v>88</v>
      </c>
    </row>
    <row r="97" customFormat="false" ht="15" hidden="false" customHeight="false" outlineLevel="0" collapsed="false">
      <c r="A97" s="4" t="s">
        <v>61</v>
      </c>
      <c r="B97" s="12" t="n">
        <v>92</v>
      </c>
      <c r="C97" s="2" t="n">
        <f aca="false">MIN(C96+1,B97+1,B96+IF($A97=C$4,0,1))</f>
        <v>92</v>
      </c>
      <c r="D97" s="2" t="n">
        <f aca="false">MIN(D96+1,C97+1,C96+IF($A97=D$4,0,1))</f>
        <v>91</v>
      </c>
      <c r="E97" s="2" t="n">
        <f aca="false">MIN(E96+1,D97+1,D96+IF($A97=E$4,0,1))</f>
        <v>90</v>
      </c>
      <c r="F97" s="2" t="n">
        <f aca="false">MIN(F96+1,E97+1,E96+IF($A97=F$4,0,1))</f>
        <v>89</v>
      </c>
      <c r="G97" s="2" t="n">
        <f aca="false">MIN(G96+1,F97+1,F96+IF($A97=G$4,0,1))</f>
        <v>88</v>
      </c>
      <c r="H97" s="2" t="n">
        <f aca="false">MIN(H96+1,G97+1,G96+IF($A97=H$4,0,1))</f>
        <v>88</v>
      </c>
      <c r="I97" s="2" t="n">
        <f aca="false">MIN(I96+1,H97+1,H96+IF($A97=I$4,0,1))</f>
        <v>88</v>
      </c>
      <c r="J97" s="2" t="n">
        <f aca="false">MIN(J96+1,I97+1,I96+IF($A97=J$4,0,1))</f>
        <v>88</v>
      </c>
      <c r="K97" s="2" t="n">
        <f aca="false">MIN(K96+1,J97+1,J96+IF($A97=K$4,0,1))</f>
        <v>88</v>
      </c>
      <c r="L97" s="2" t="n">
        <f aca="false">MIN(L96+1,K97+1,K96+IF($A97=L$4,0,1))</f>
        <v>88</v>
      </c>
      <c r="M97" s="2" t="n">
        <f aca="false">MIN(M96+1,L97+1,L96+IF($A97=M$4,0,1))</f>
        <v>88</v>
      </c>
      <c r="N97" s="2" t="n">
        <f aca="false">MIN(N96+1,M97+1,M96+IF($A97=N$4,0,1))</f>
        <v>87</v>
      </c>
      <c r="O97" s="2" t="n">
        <f aca="false">MIN(O96+1,N97+1,N96+IF($A97=O$4,0,1))</f>
        <v>86</v>
      </c>
      <c r="P97" s="2" t="n">
        <f aca="false">MIN(P96+1,O97+1,O96+IF($A97=P$4,0,1))</f>
        <v>86</v>
      </c>
      <c r="Q97" s="2" t="n">
        <f aca="false">MIN(Q96+1,P97+1,P96+IF($A97=Q$4,0,1))</f>
        <v>86</v>
      </c>
      <c r="R97" s="2" t="n">
        <f aca="false">MIN(R96+1,Q97+1,Q96+IF($A97=R$4,0,1))</f>
        <v>86</v>
      </c>
      <c r="S97" s="2" t="n">
        <f aca="false">MIN(S96+1,R97+1,R96+IF($A97=S$4,0,1))</f>
        <v>86</v>
      </c>
      <c r="T97" s="2" t="n">
        <f aca="false">MIN(T96+1,S97+1,S96+IF($A97=T$4,0,1))</f>
        <v>86</v>
      </c>
      <c r="U97" s="2" t="n">
        <f aca="false">MIN(U96+1,T97+1,T96+IF($A97=U$4,0,1))</f>
        <v>86</v>
      </c>
      <c r="V97" s="2" t="n">
        <f aca="false">MIN(V96+1,U97+1,U96+IF($A97=V$4,0,1))</f>
        <v>86</v>
      </c>
      <c r="W97" s="2" t="n">
        <f aca="false">MIN(W96+1,V97+1,V96+IF($A97=W$4,0,1))</f>
        <v>86</v>
      </c>
      <c r="X97" s="2" t="n">
        <f aca="false">MIN(X96+1,W97+1,W96+IF($A97=X$4,0,1))</f>
        <v>86</v>
      </c>
      <c r="Y97" s="2" t="n">
        <f aca="false">MIN(Y96+1,X97+1,X96+IF($A97=Y$4,0,1))</f>
        <v>86</v>
      </c>
      <c r="Z97" s="2" t="n">
        <f aca="false">MIN(Z96+1,Y97+1,Y96+IF($A97=Z$4,0,1))</f>
        <v>86</v>
      </c>
      <c r="AA97" s="2" t="n">
        <f aca="false">MIN(AA96+1,Z97+1,Z96+IF($A97=AA$4,0,1))</f>
        <v>86</v>
      </c>
      <c r="AB97" s="2" t="n">
        <f aca="false">MIN(AB96+1,AA97+1,AA96+IF($A97=AB$4,0,1))</f>
        <v>86</v>
      </c>
      <c r="AC97" s="2" t="n">
        <f aca="false">MIN(AC96+1,AB97+1,AB96+IF($A97=AC$4,0,1))</f>
        <v>86</v>
      </c>
      <c r="AD97" s="2" t="n">
        <f aca="false">MIN(AD96+1,AC97+1,AC96+IF($A97=AD$4,0,1))</f>
        <v>85</v>
      </c>
      <c r="AE97" s="2" t="n">
        <f aca="false">MIN(AE96+1,AD97+1,AD96+IF($A97=AE$4,0,1))</f>
        <v>85</v>
      </c>
      <c r="AF97" s="2" t="n">
        <f aca="false">MIN(AF96+1,AE97+1,AE96+IF($A97=AF$4,0,1))</f>
        <v>85</v>
      </c>
      <c r="AG97" s="2" t="n">
        <f aca="false">MIN(AG96+1,AF97+1,AF96+IF($A97=AG$4,0,1))</f>
        <v>85</v>
      </c>
      <c r="AH97" s="2" t="n">
        <f aca="false">MIN(AH96+1,AG97+1,AG96+IF($A97=AH$4,0,1))</f>
        <v>85</v>
      </c>
      <c r="AI97" s="2" t="n">
        <f aca="false">MIN(AI96+1,AH97+1,AH96+IF($A97=AI$4,0,1))</f>
        <v>85</v>
      </c>
      <c r="AJ97" s="2" t="n">
        <f aca="false">MIN(AJ96+1,AI97+1,AI96+IF($A97=AJ$4,0,1))</f>
        <v>85</v>
      </c>
      <c r="AK97" s="2" t="n">
        <f aca="false">MIN(AK96+1,AJ97+1,AJ96+IF($A97=AK$4,0,1))</f>
        <v>85</v>
      </c>
      <c r="AL97" s="2" t="n">
        <f aca="false">MIN(AL96+1,AK97+1,AK96+IF($A97=AL$4,0,1))</f>
        <v>85</v>
      </c>
      <c r="AM97" s="2" t="n">
        <f aca="false">MIN(AM96+1,AL97+1,AL96+IF($A97=AM$4,0,1))</f>
        <v>86</v>
      </c>
      <c r="AN97" s="2" t="n">
        <f aca="false">MIN(AN96+1,AM97+1,AM96+IF($A97=AN$4,0,1))</f>
        <v>86</v>
      </c>
      <c r="AO97" s="2" t="n">
        <f aca="false">MIN(AO96+1,AN97+1,AN96+IF($A97=AO$4,0,1))</f>
        <v>86</v>
      </c>
      <c r="AP97" s="2" t="n">
        <f aca="false">MIN(AP96+1,AO97+1,AO96+IF($A97=AP$4,0,1))</f>
        <v>86</v>
      </c>
      <c r="AQ97" s="2" t="n">
        <f aca="false">MIN(AQ96+1,AP97+1,AP96+IF($A97=AQ$4,0,1))</f>
        <v>87</v>
      </c>
      <c r="AR97" s="2" t="n">
        <f aca="false">MIN(AR96+1,AQ97+1,AQ96+IF($A97=AR$4,0,1))</f>
        <v>87</v>
      </c>
      <c r="AS97" s="2" t="n">
        <f aca="false">MIN(AS96+1,AR97+1,AR96+IF($A97=AS$4,0,1))</f>
        <v>87</v>
      </c>
      <c r="AT97" s="2" t="n">
        <f aca="false">MIN(AT96+1,AS97+1,AS96+IF($A97=AT$4,0,1))</f>
        <v>86</v>
      </c>
      <c r="AU97" s="2" t="n">
        <f aca="false">MIN(AU96+1,AT97+1,AT96+IF($A97=AU$4,0,1))</f>
        <v>86</v>
      </c>
      <c r="AV97" s="2" t="n">
        <f aca="false">MIN(AV96+1,AU97+1,AU96+IF($A97=AV$4,0,1))</f>
        <v>86</v>
      </c>
      <c r="AW97" s="2" t="n">
        <f aca="false">MIN(AW96+1,AV97+1,AV96+IF($A97=AW$4,0,1))</f>
        <v>86</v>
      </c>
      <c r="AX97" s="2" t="n">
        <f aca="false">MIN(AX96+1,AW97+1,AW96+IF($A97=AX$4,0,1))</f>
        <v>86</v>
      </c>
      <c r="AY97" s="2" t="n">
        <f aca="false">MIN(AY96+1,AX97+1,AX96+IF($A97=AY$4,0,1))</f>
        <v>86</v>
      </c>
      <c r="AZ97" s="2" t="n">
        <f aca="false">MIN(AZ96+1,AY97+1,AY96+IF($A97=AZ$4,0,1))</f>
        <v>86</v>
      </c>
      <c r="BA97" s="2" t="n">
        <f aca="false">MIN(BA96+1,AZ97+1,AZ96+IF($A97=BA$4,0,1))</f>
        <v>86</v>
      </c>
      <c r="BB97" s="2" t="n">
        <f aca="false">MIN(BB96+1,BA97+1,BA96+IF($A97=BB$4,0,1))</f>
        <v>86</v>
      </c>
      <c r="BC97" s="2" t="n">
        <f aca="false">MIN(BC96+1,BB97+1,BB96+IF($A97=BC$4,0,1))</f>
        <v>87</v>
      </c>
      <c r="BD97" s="2" t="n">
        <f aca="false">MIN(BD96+1,BC97+1,BC96+IF($A97=BD$4,0,1))</f>
        <v>87</v>
      </c>
      <c r="BE97" s="2" t="n">
        <f aca="false">MIN(BE96+1,BD97+1,BD96+IF($A97=BE$4,0,1))</f>
        <v>86</v>
      </c>
      <c r="BF97" s="2" t="n">
        <f aca="false">MIN(BF96+1,BE97+1,BE96+IF($A97=BF$4,0,1))</f>
        <v>87</v>
      </c>
      <c r="BG97" s="2" t="n">
        <f aca="false">MIN(BG96+1,BF97+1,BF96+IF($A97=BG$4,0,1))</f>
        <v>87</v>
      </c>
      <c r="BH97" s="2" t="n">
        <f aca="false">MIN(BH96+1,BG97+1,BG96+IF($A97=BH$4,0,1))</f>
        <v>87</v>
      </c>
      <c r="BI97" s="2" t="n">
        <f aca="false">MIN(BI96+1,BH97+1,BH96+IF($A97=BI$4,0,1))</f>
        <v>87</v>
      </c>
      <c r="BJ97" s="2" t="n">
        <f aca="false">MIN(BJ96+1,BI97+1,BI96+IF($A97=BJ$4,0,1))</f>
        <v>87</v>
      </c>
      <c r="BK97" s="2" t="n">
        <f aca="false">MIN(BK96+1,BJ97+1,BJ96+IF($A97=BK$4,0,1))</f>
        <v>87</v>
      </c>
      <c r="BL97" s="2" t="n">
        <f aca="false">MIN(BL96+1,BK97+1,BK96+IF($A97=BL$4,0,1))</f>
        <v>86</v>
      </c>
      <c r="BM97" s="2" t="n">
        <f aca="false">MIN(BM96+1,BL97+1,BL96+IF($A97=BM$4,0,1))</f>
        <v>86</v>
      </c>
      <c r="BN97" s="2" t="n">
        <f aca="false">MIN(BN96+1,BM97+1,BM96+IF($A97=BN$4,0,1))</f>
        <v>86</v>
      </c>
      <c r="BO97" s="2" t="n">
        <f aca="false">MIN(BO96+1,BN97+1,BN96+IF($A97=BO$4,0,1))</f>
        <v>86</v>
      </c>
      <c r="BP97" s="2" t="n">
        <f aca="false">MIN(BP96+1,BO97+1,BO96+IF($A97=BP$4,0,1))</f>
        <v>85</v>
      </c>
      <c r="BQ97" s="2" t="n">
        <f aca="false">MIN(BQ96+1,BP97+1,BP96+IF($A97=BQ$4,0,1))</f>
        <v>86</v>
      </c>
      <c r="BR97" s="2" t="n">
        <f aca="false">MIN(BR96+1,BQ97+1,BQ96+IF($A97=BR$4,0,1))</f>
        <v>86</v>
      </c>
      <c r="BS97" s="2" t="n">
        <f aca="false">MIN(BS96+1,BR97+1,BR96+IF($A97=BS$4,0,1))</f>
        <v>86</v>
      </c>
      <c r="BT97" s="2" t="n">
        <f aca="false">MIN(BT96+1,BS97+1,BS96+IF($A97=BT$4,0,1))</f>
        <v>86</v>
      </c>
      <c r="BU97" s="2" t="n">
        <f aca="false">MIN(BU96+1,BT97+1,BT96+IF($A97=BU$4,0,1))</f>
        <v>86</v>
      </c>
      <c r="BV97" s="2" t="n">
        <f aca="false">MIN(BV96+1,BU97+1,BU96+IF($A97=BV$4,0,1))</f>
        <v>86</v>
      </c>
      <c r="BW97" s="2" t="n">
        <f aca="false">MIN(BW96+1,BV97+1,BV96+IF($A97=BW$4,0,1))</f>
        <v>86</v>
      </c>
      <c r="BX97" s="2" t="n">
        <f aca="false">MIN(BX96+1,BW97+1,BW96+IF($A97=BX$4,0,1))</f>
        <v>86</v>
      </c>
      <c r="BY97" s="2" t="n">
        <f aca="false">MIN(BY96+1,BX97+1,BX96+IF($A97=BY$4,0,1))</f>
        <v>87</v>
      </c>
      <c r="BZ97" s="2" t="n">
        <f aca="false">MIN(BZ96+1,BY97+1,BY96+IF($A97=BZ$4,0,1))</f>
        <v>87</v>
      </c>
      <c r="CA97" s="2" t="n">
        <f aca="false">MIN(CA96+1,BZ97+1,BZ96+IF($A97=CA$4,0,1))</f>
        <v>86</v>
      </c>
      <c r="CB97" s="2" t="n">
        <f aca="false">MIN(CB96+1,CA97+1,CA96+IF($A97=CB$4,0,1))</f>
        <v>87</v>
      </c>
      <c r="CC97" s="2" t="n">
        <f aca="false">MIN(CC96+1,CB97+1,CB96+IF($A97=CC$4,0,1))</f>
        <v>87</v>
      </c>
      <c r="CD97" s="2" t="n">
        <f aca="false">MIN(CD96+1,CC97+1,CC96+IF($A97=CD$4,0,1))</f>
        <v>87</v>
      </c>
      <c r="CE97" s="2" t="n">
        <f aca="false">MIN(CE96+1,CD97+1,CD96+IF($A97=CE$4,0,1))</f>
        <v>88</v>
      </c>
      <c r="CF97" s="2" t="n">
        <f aca="false">MIN(CF96+1,CE97+1,CE96+IF($A97=CF$4,0,1))</f>
        <v>88</v>
      </c>
      <c r="CG97" s="2" t="n">
        <f aca="false">MIN(CG96+1,CF97+1,CF96+IF($A97=CG$4,0,1))</f>
        <v>88</v>
      </c>
      <c r="CH97" s="2" t="n">
        <f aca="false">MIN(CH96+1,CG97+1,CG96+IF($A97=CH$4,0,1))</f>
        <v>88</v>
      </c>
      <c r="CI97" s="2" t="n">
        <f aca="false">MIN(CI96+1,CH97+1,CH96+IF($A97=CI$4,0,1))</f>
        <v>88</v>
      </c>
      <c r="CJ97" s="2" t="n">
        <f aca="false">MIN(CJ96+1,CI97+1,CI96+IF($A97=CJ$4,0,1))</f>
        <v>88</v>
      </c>
      <c r="CK97" s="2" t="n">
        <f aca="false">MIN(CK96+1,CJ97+1,CJ96+IF($A97=CK$4,0,1))</f>
        <v>89</v>
      </c>
      <c r="CL97" s="2" t="n">
        <f aca="false">MIN(CL96+1,CK97+1,CK96+IF($A97=CL$4,0,1))</f>
        <v>89</v>
      </c>
      <c r="CM97" s="2" t="n">
        <f aca="false">MIN(CM96+1,CL97+1,CL96+IF($A97=CM$4,0,1))</f>
        <v>89</v>
      </c>
      <c r="CN97" s="2" t="n">
        <f aca="false">MIN(CN96+1,CM97+1,CM96+IF($A97=CN$4,0,1))</f>
        <v>89</v>
      </c>
      <c r="CO97" s="2" t="n">
        <f aca="false">MIN(CO96+1,CN97+1,CN96+IF($A97=CO$4,0,1))</f>
        <v>89</v>
      </c>
      <c r="CP97" s="2" t="n">
        <f aca="false">MIN(CP96+1,CO97+1,CO96+IF($A97=CP$4,0,1))</f>
        <v>89</v>
      </c>
      <c r="CQ97" s="2" t="n">
        <f aca="false">MIN(CQ96+1,CP97+1,CP96+IF($A97=CQ$4,0,1))</f>
        <v>89</v>
      </c>
    </row>
    <row r="98" customFormat="false" ht="15" hidden="false" customHeight="false" outlineLevel="0" collapsed="false">
      <c r="A98" s="4" t="s">
        <v>89</v>
      </c>
      <c r="B98" s="12" t="n">
        <v>93</v>
      </c>
      <c r="C98" s="2" t="n">
        <f aca="false">MIN(C97+1,B98+1,B97+IF($A98=C$4,0,1))</f>
        <v>93</v>
      </c>
      <c r="D98" s="2" t="n">
        <f aca="false">MIN(D97+1,C98+1,C97+IF($A98=D$4,0,1))</f>
        <v>92</v>
      </c>
      <c r="E98" s="2" t="n">
        <f aca="false">MIN(E97+1,D98+1,D97+IF($A98=E$4,0,1))</f>
        <v>91</v>
      </c>
      <c r="F98" s="2" t="n">
        <f aca="false">MIN(F97+1,E98+1,E97+IF($A98=F$4,0,1))</f>
        <v>90</v>
      </c>
      <c r="G98" s="2" t="n">
        <f aca="false">MIN(G97+1,F98+1,F97+IF($A98=G$4,0,1))</f>
        <v>89</v>
      </c>
      <c r="H98" s="2" t="n">
        <f aca="false">MIN(H97+1,G98+1,G97+IF($A98=H$4,0,1))</f>
        <v>89</v>
      </c>
      <c r="I98" s="2" t="n">
        <f aca="false">MIN(I97+1,H98+1,H97+IF($A98=I$4,0,1))</f>
        <v>89</v>
      </c>
      <c r="J98" s="2" t="n">
        <f aca="false">MIN(J97+1,I98+1,I97+IF($A98=J$4,0,1))</f>
        <v>89</v>
      </c>
      <c r="K98" s="2" t="n">
        <f aca="false">MIN(K97+1,J98+1,J97+IF($A98=K$4,0,1))</f>
        <v>88</v>
      </c>
      <c r="L98" s="2" t="n">
        <f aca="false">MIN(L97+1,K98+1,K97+IF($A98=L$4,0,1))</f>
        <v>89</v>
      </c>
      <c r="M98" s="2" t="n">
        <f aca="false">MIN(M97+1,L98+1,L97+IF($A98=M$4,0,1))</f>
        <v>89</v>
      </c>
      <c r="N98" s="2" t="n">
        <f aca="false">MIN(N97+1,M98+1,M97+IF($A98=N$4,0,1))</f>
        <v>88</v>
      </c>
      <c r="O98" s="2" t="n">
        <f aca="false">MIN(O97+1,N98+1,N97+IF($A98=O$4,0,1))</f>
        <v>87</v>
      </c>
      <c r="P98" s="2" t="n">
        <f aca="false">MIN(P97+1,O98+1,O97+IF($A98=P$4,0,1))</f>
        <v>87</v>
      </c>
      <c r="Q98" s="2" t="n">
        <f aca="false">MIN(Q97+1,P98+1,P97+IF($A98=Q$4,0,1))</f>
        <v>87</v>
      </c>
      <c r="R98" s="2" t="n">
        <f aca="false">MIN(R97+1,Q98+1,Q97+IF($A98=R$4,0,1))</f>
        <v>87</v>
      </c>
      <c r="S98" s="2" t="n">
        <f aca="false">MIN(S97+1,R98+1,R97+IF($A98=S$4,0,1))</f>
        <v>87</v>
      </c>
      <c r="T98" s="2" t="n">
        <f aca="false">MIN(T97+1,S98+1,S97+IF($A98=T$4,0,1))</f>
        <v>87</v>
      </c>
      <c r="U98" s="2" t="n">
        <f aca="false">MIN(U97+1,T98+1,T97+IF($A98=U$4,0,1))</f>
        <v>87</v>
      </c>
      <c r="V98" s="2" t="n">
        <f aca="false">MIN(V97+1,U98+1,U97+IF($A98=V$4,0,1))</f>
        <v>87</v>
      </c>
      <c r="W98" s="2" t="n">
        <f aca="false">MIN(W97+1,V98+1,V97+IF($A98=W$4,0,1))</f>
        <v>87</v>
      </c>
      <c r="X98" s="2" t="n">
        <f aca="false">MIN(X97+1,W98+1,W97+IF($A98=X$4,0,1))</f>
        <v>87</v>
      </c>
      <c r="Y98" s="2" t="n">
        <f aca="false">MIN(Y97+1,X98+1,X97+IF($A98=Y$4,0,1))</f>
        <v>87</v>
      </c>
      <c r="Z98" s="2" t="n">
        <f aca="false">MIN(Z97+1,Y98+1,Y97+IF($A98=Z$4,0,1))</f>
        <v>87</v>
      </c>
      <c r="AA98" s="2" t="n">
        <f aca="false">MIN(AA97+1,Z98+1,Z97+IF($A98=AA$4,0,1))</f>
        <v>87</v>
      </c>
      <c r="AB98" s="2" t="n">
        <f aca="false">MIN(AB97+1,AA98+1,AA97+IF($A98=AB$4,0,1))</f>
        <v>87</v>
      </c>
      <c r="AC98" s="2" t="n">
        <f aca="false">MIN(AC97+1,AB98+1,AB97+IF($A98=AC$4,0,1))</f>
        <v>87</v>
      </c>
      <c r="AD98" s="2" t="n">
        <f aca="false">MIN(AD97+1,AC98+1,AC97+IF($A98=AD$4,0,1))</f>
        <v>86</v>
      </c>
      <c r="AE98" s="2" t="n">
        <f aca="false">MIN(AE97+1,AD98+1,AD97+IF($A98=AE$4,0,1))</f>
        <v>86</v>
      </c>
      <c r="AF98" s="2" t="n">
        <f aca="false">MIN(AF97+1,AE98+1,AE97+IF($A98=AF$4,0,1))</f>
        <v>86</v>
      </c>
      <c r="AG98" s="2" t="n">
        <f aca="false">MIN(AG97+1,AF98+1,AF97+IF($A98=AG$4,0,1))</f>
        <v>86</v>
      </c>
      <c r="AH98" s="2" t="n">
        <f aca="false">MIN(AH97+1,AG98+1,AG97+IF($A98=AH$4,0,1))</f>
        <v>86</v>
      </c>
      <c r="AI98" s="2" t="n">
        <f aca="false">MIN(AI97+1,AH98+1,AH97+IF($A98=AI$4,0,1))</f>
        <v>86</v>
      </c>
      <c r="AJ98" s="2" t="n">
        <f aca="false">MIN(AJ97+1,AI98+1,AI97+IF($A98=AJ$4,0,1))</f>
        <v>86</v>
      </c>
      <c r="AK98" s="2" t="n">
        <f aca="false">MIN(AK97+1,AJ98+1,AJ97+IF($A98=AK$4,0,1))</f>
        <v>86</v>
      </c>
      <c r="AL98" s="2" t="n">
        <f aca="false">MIN(AL97+1,AK98+1,AK97+IF($A98=AL$4,0,1))</f>
        <v>86</v>
      </c>
      <c r="AM98" s="2" t="n">
        <f aca="false">MIN(AM97+1,AL98+1,AL97+IF($A98=AM$4,0,1))</f>
        <v>86</v>
      </c>
      <c r="AN98" s="2" t="n">
        <f aca="false">MIN(AN97+1,AM98+1,AM97+IF($A98=AN$4,0,1))</f>
        <v>87</v>
      </c>
      <c r="AO98" s="2" t="n">
        <f aca="false">MIN(AO97+1,AN98+1,AN97+IF($A98=AO$4,0,1))</f>
        <v>87</v>
      </c>
      <c r="AP98" s="2" t="n">
        <f aca="false">MIN(AP97+1,AO98+1,AO97+IF($A98=AP$4,0,1))</f>
        <v>87</v>
      </c>
      <c r="AQ98" s="2" t="n">
        <f aca="false">MIN(AQ97+1,AP98+1,AP97+IF($A98=AQ$4,0,1))</f>
        <v>87</v>
      </c>
      <c r="AR98" s="2" t="n">
        <f aca="false">MIN(AR97+1,AQ98+1,AQ97+IF($A98=AR$4,0,1))</f>
        <v>88</v>
      </c>
      <c r="AS98" s="2" t="n">
        <f aca="false">MIN(AS97+1,AR98+1,AR97+IF($A98=AS$4,0,1))</f>
        <v>88</v>
      </c>
      <c r="AT98" s="2" t="n">
        <f aca="false">MIN(AT97+1,AS98+1,AS97+IF($A98=AT$4,0,1))</f>
        <v>87</v>
      </c>
      <c r="AU98" s="2" t="n">
        <f aca="false">MIN(AU97+1,AT98+1,AT97+IF($A98=AU$4,0,1))</f>
        <v>87</v>
      </c>
      <c r="AV98" s="2" t="n">
        <f aca="false">MIN(AV97+1,AU98+1,AU97+IF($A98=AV$4,0,1))</f>
        <v>87</v>
      </c>
      <c r="AW98" s="2" t="n">
        <f aca="false">MIN(AW97+1,AV98+1,AV97+IF($A98=AW$4,0,1))</f>
        <v>87</v>
      </c>
      <c r="AX98" s="2" t="n">
        <f aca="false">MIN(AX97+1,AW98+1,AW97+IF($A98=AX$4,0,1))</f>
        <v>87</v>
      </c>
      <c r="AY98" s="2" t="n">
        <f aca="false">MIN(AY97+1,AX98+1,AX97+IF($A98=AY$4,0,1))</f>
        <v>87</v>
      </c>
      <c r="AZ98" s="2" t="n">
        <f aca="false">MIN(AZ97+1,AY98+1,AY97+IF($A98=AZ$4,0,1))</f>
        <v>87</v>
      </c>
      <c r="BA98" s="2" t="n">
        <f aca="false">MIN(BA97+1,AZ98+1,AZ97+IF($A98=BA$4,0,1))</f>
        <v>87</v>
      </c>
      <c r="BB98" s="2" t="n">
        <f aca="false">MIN(BB97+1,BA98+1,BA97+IF($A98=BB$4,0,1))</f>
        <v>87</v>
      </c>
      <c r="BC98" s="2" t="n">
        <f aca="false">MIN(BC97+1,BB98+1,BB97+IF($A98=BC$4,0,1))</f>
        <v>87</v>
      </c>
      <c r="BD98" s="2" t="n">
        <f aca="false">MIN(BD97+1,BC98+1,BC97+IF($A98=BD$4,0,1))</f>
        <v>88</v>
      </c>
      <c r="BE98" s="2" t="n">
        <f aca="false">MIN(BE97+1,BD98+1,BD97+IF($A98=BE$4,0,1))</f>
        <v>87</v>
      </c>
      <c r="BF98" s="2" t="n">
        <f aca="false">MIN(BF97+1,BE98+1,BE97+IF($A98=BF$4,0,1))</f>
        <v>87</v>
      </c>
      <c r="BG98" s="2" t="n">
        <f aca="false">MIN(BG97+1,BF98+1,BF97+IF($A98=BG$4,0,1))</f>
        <v>88</v>
      </c>
      <c r="BH98" s="2" t="n">
        <f aca="false">MIN(BH97+1,BG98+1,BG97+IF($A98=BH$4,0,1))</f>
        <v>88</v>
      </c>
      <c r="BI98" s="2" t="n">
        <f aca="false">MIN(BI97+1,BH98+1,BH97+IF($A98=BI$4,0,1))</f>
        <v>88</v>
      </c>
      <c r="BJ98" s="2" t="n">
        <f aca="false">MIN(BJ97+1,BI98+1,BI97+IF($A98=BJ$4,0,1))</f>
        <v>88</v>
      </c>
      <c r="BK98" s="2" t="n">
        <f aca="false">MIN(BK97+1,BJ98+1,BJ97+IF($A98=BK$4,0,1))</f>
        <v>88</v>
      </c>
      <c r="BL98" s="2" t="n">
        <f aca="false">MIN(BL97+1,BK98+1,BK97+IF($A98=BL$4,0,1))</f>
        <v>87</v>
      </c>
      <c r="BM98" s="2" t="n">
        <f aca="false">MIN(BM97+1,BL98+1,BL97+IF($A98=BM$4,0,1))</f>
        <v>87</v>
      </c>
      <c r="BN98" s="2" t="n">
        <f aca="false">MIN(BN97+1,BM98+1,BM97+IF($A98=BN$4,0,1))</f>
        <v>87</v>
      </c>
      <c r="BO98" s="2" t="n">
        <f aca="false">MIN(BO97+1,BN98+1,BN97+IF($A98=BO$4,0,1))</f>
        <v>87</v>
      </c>
      <c r="BP98" s="2" t="n">
        <f aca="false">MIN(BP97+1,BO98+1,BO97+IF($A98=BP$4,0,1))</f>
        <v>86</v>
      </c>
      <c r="BQ98" s="2" t="n">
        <f aca="false">MIN(BQ97+1,BP98+1,BP97+IF($A98=BQ$4,0,1))</f>
        <v>86</v>
      </c>
      <c r="BR98" s="2" t="n">
        <f aca="false">MIN(BR97+1,BQ98+1,BQ97+IF($A98=BR$4,0,1))</f>
        <v>87</v>
      </c>
      <c r="BS98" s="2" t="n">
        <f aca="false">MIN(BS97+1,BR98+1,BR97+IF($A98=BS$4,0,1))</f>
        <v>87</v>
      </c>
      <c r="BT98" s="2" t="n">
        <f aca="false">MIN(BT97+1,BS98+1,BS97+IF($A98=BT$4,0,1))</f>
        <v>87</v>
      </c>
      <c r="BU98" s="2" t="n">
        <f aca="false">MIN(BU97+1,BT98+1,BT97+IF($A98=BU$4,0,1))</f>
        <v>87</v>
      </c>
      <c r="BV98" s="2" t="n">
        <f aca="false">MIN(BV97+1,BU98+1,BU97+IF($A98=BV$4,0,1))</f>
        <v>87</v>
      </c>
      <c r="BW98" s="2" t="n">
        <f aca="false">MIN(BW97+1,BV98+1,BV97+IF($A98=BW$4,0,1))</f>
        <v>87</v>
      </c>
      <c r="BX98" s="2" t="n">
        <f aca="false">MIN(BX97+1,BW98+1,BW97+IF($A98=BX$4,0,1))</f>
        <v>87</v>
      </c>
      <c r="BY98" s="2" t="n">
        <f aca="false">MIN(BY97+1,BX98+1,BX97+IF($A98=BY$4,0,1))</f>
        <v>87</v>
      </c>
      <c r="BZ98" s="2" t="n">
        <f aca="false">MIN(BZ97+1,BY98+1,BY97+IF($A98=BZ$4,0,1))</f>
        <v>88</v>
      </c>
      <c r="CA98" s="2" t="n">
        <f aca="false">MIN(CA97+1,BZ98+1,BZ97+IF($A98=CA$4,0,1))</f>
        <v>87</v>
      </c>
      <c r="CB98" s="2" t="n">
        <f aca="false">MIN(CB97+1,CA98+1,CA97+IF($A98=CB$4,0,1))</f>
        <v>87</v>
      </c>
      <c r="CC98" s="2" t="n">
        <f aca="false">MIN(CC97+1,CB98+1,CB97+IF($A98=CC$4,0,1))</f>
        <v>88</v>
      </c>
      <c r="CD98" s="2" t="n">
        <f aca="false">MIN(CD97+1,CC98+1,CC97+IF($A98=CD$4,0,1))</f>
        <v>88</v>
      </c>
      <c r="CE98" s="2" t="n">
        <f aca="false">MIN(CE97+1,CD98+1,CD97+IF($A98=CE$4,0,1))</f>
        <v>88</v>
      </c>
      <c r="CF98" s="2" t="n">
        <f aca="false">MIN(CF97+1,CE98+1,CE97+IF($A98=CF$4,0,1))</f>
        <v>89</v>
      </c>
      <c r="CG98" s="2" t="n">
        <f aca="false">MIN(CG97+1,CF98+1,CF97+IF($A98=CG$4,0,1))</f>
        <v>89</v>
      </c>
      <c r="CH98" s="2" t="n">
        <f aca="false">MIN(CH97+1,CG98+1,CG97+IF($A98=CH$4,0,1))</f>
        <v>89</v>
      </c>
      <c r="CI98" s="2" t="n">
        <f aca="false">MIN(CI97+1,CH98+1,CH97+IF($A98=CI$4,0,1))</f>
        <v>89</v>
      </c>
      <c r="CJ98" s="2" t="n">
        <f aca="false">MIN(CJ97+1,CI98+1,CI97+IF($A98=CJ$4,0,1))</f>
        <v>89</v>
      </c>
      <c r="CK98" s="2" t="n">
        <f aca="false">MIN(CK97+1,CJ98+1,CJ97+IF($A98=CK$4,0,1))</f>
        <v>89</v>
      </c>
      <c r="CL98" s="2" t="n">
        <f aca="false">MIN(CL97+1,CK98+1,CK97+IF($A98=CL$4,0,1))</f>
        <v>90</v>
      </c>
      <c r="CM98" s="2" t="n">
        <f aca="false">MIN(CM97+1,CL98+1,CL97+IF($A98=CM$4,0,1))</f>
        <v>90</v>
      </c>
      <c r="CN98" s="2" t="n">
        <f aca="false">MIN(CN97+1,CM98+1,CM97+IF($A98=CN$4,0,1))</f>
        <v>90</v>
      </c>
      <c r="CO98" s="2" t="n">
        <f aca="false">MIN(CO97+1,CN98+1,CN97+IF($A98=CO$4,0,1))</f>
        <v>90</v>
      </c>
      <c r="CP98" s="2" t="n">
        <f aca="false">MIN(CP97+1,CO98+1,CO97+IF($A98=CP$4,0,1))</f>
        <v>90</v>
      </c>
      <c r="CQ98" s="2" t="n">
        <f aca="false">MIN(CQ97+1,CP98+1,CP97+IF($A98=CQ$4,0,1))</f>
        <v>90</v>
      </c>
    </row>
    <row r="99" customFormat="false" ht="15" hidden="false" customHeight="false" outlineLevel="0" collapsed="false">
      <c r="A99" s="4" t="s">
        <v>202</v>
      </c>
      <c r="B99" s="12" t="n">
        <v>94</v>
      </c>
      <c r="C99" s="2" t="n">
        <f aca="false">MIN(C98+1,B99+1,B98+IF($A99=C$4,0,1))</f>
        <v>94</v>
      </c>
      <c r="D99" s="2" t="n">
        <f aca="false">MIN(D98+1,C99+1,C98+IF($A99=D$4,0,1))</f>
        <v>93</v>
      </c>
      <c r="E99" s="2" t="n">
        <f aca="false">MIN(E98+1,D99+1,D98+IF($A99=E$4,0,1))</f>
        <v>92</v>
      </c>
      <c r="F99" s="2" t="n">
        <f aca="false">MIN(F98+1,E99+1,E98+IF($A99=F$4,0,1))</f>
        <v>91</v>
      </c>
      <c r="G99" s="2" t="n">
        <f aca="false">MIN(G98+1,F99+1,F98+IF($A99=G$4,0,1))</f>
        <v>90</v>
      </c>
      <c r="H99" s="2" t="n">
        <f aca="false">MIN(H98+1,G99+1,G98+IF($A99=H$4,0,1))</f>
        <v>90</v>
      </c>
      <c r="I99" s="2" t="n">
        <f aca="false">MIN(I98+1,H99+1,H98+IF($A99=I$4,0,1))</f>
        <v>90</v>
      </c>
      <c r="J99" s="2" t="n">
        <f aca="false">MIN(J98+1,I99+1,I98+IF($A99=J$4,0,1))</f>
        <v>90</v>
      </c>
      <c r="K99" s="2" t="n">
        <f aca="false">MIN(K98+1,J99+1,J98+IF($A99=K$4,0,1))</f>
        <v>89</v>
      </c>
      <c r="L99" s="2" t="n">
        <f aca="false">MIN(L98+1,K99+1,K98+IF($A99=L$4,0,1))</f>
        <v>89</v>
      </c>
      <c r="M99" s="2" t="n">
        <f aca="false">MIN(M98+1,L99+1,L98+IF($A99=M$4,0,1))</f>
        <v>90</v>
      </c>
      <c r="N99" s="2" t="n">
        <f aca="false">MIN(N98+1,M99+1,M98+IF($A99=N$4,0,1))</f>
        <v>89</v>
      </c>
      <c r="O99" s="2" t="n">
        <f aca="false">MIN(O98+1,N99+1,N98+IF($A99=O$4,0,1))</f>
        <v>88</v>
      </c>
      <c r="P99" s="2" t="n">
        <f aca="false">MIN(P98+1,O99+1,O98+IF($A99=P$4,0,1))</f>
        <v>88</v>
      </c>
      <c r="Q99" s="2" t="n">
        <f aca="false">MIN(Q98+1,P99+1,P98+IF($A99=Q$4,0,1))</f>
        <v>88</v>
      </c>
      <c r="R99" s="2" t="n">
        <f aca="false">MIN(R98+1,Q99+1,Q98+IF($A99=R$4,0,1))</f>
        <v>88</v>
      </c>
      <c r="S99" s="2" t="n">
        <f aca="false">MIN(S98+1,R99+1,R98+IF($A99=S$4,0,1))</f>
        <v>88</v>
      </c>
      <c r="T99" s="2" t="n">
        <f aca="false">MIN(T98+1,S99+1,S98+IF($A99=T$4,0,1))</f>
        <v>88</v>
      </c>
      <c r="U99" s="2" t="n">
        <f aca="false">MIN(U98+1,T99+1,T98+IF($A99=U$4,0,1))</f>
        <v>88</v>
      </c>
      <c r="V99" s="2" t="n">
        <f aca="false">MIN(V98+1,U99+1,U98+IF($A99=V$4,0,1))</f>
        <v>88</v>
      </c>
      <c r="W99" s="2" t="n">
        <f aca="false">MIN(W98+1,V99+1,V98+IF($A99=W$4,0,1))</f>
        <v>88</v>
      </c>
      <c r="X99" s="2" t="n">
        <f aca="false">MIN(X98+1,W99+1,W98+IF($A99=X$4,0,1))</f>
        <v>88</v>
      </c>
      <c r="Y99" s="2" t="n">
        <f aca="false">MIN(Y98+1,X99+1,X98+IF($A99=Y$4,0,1))</f>
        <v>88</v>
      </c>
      <c r="Z99" s="2" t="n">
        <f aca="false">MIN(Z98+1,Y99+1,Y98+IF($A99=Z$4,0,1))</f>
        <v>88</v>
      </c>
      <c r="AA99" s="2" t="n">
        <f aca="false">MIN(AA98+1,Z99+1,Z98+IF($A99=AA$4,0,1))</f>
        <v>88</v>
      </c>
      <c r="AB99" s="2" t="n">
        <f aca="false">MIN(AB98+1,AA99+1,AA98+IF($A99=AB$4,0,1))</f>
        <v>88</v>
      </c>
      <c r="AC99" s="2" t="n">
        <f aca="false">MIN(AC98+1,AB99+1,AB98+IF($A99=AC$4,0,1))</f>
        <v>88</v>
      </c>
      <c r="AD99" s="2" t="n">
        <f aca="false">MIN(AD98+1,AC99+1,AC98+IF($A99=AD$4,0,1))</f>
        <v>87</v>
      </c>
      <c r="AE99" s="2" t="n">
        <f aca="false">MIN(AE98+1,AD99+1,AD98+IF($A99=AE$4,0,1))</f>
        <v>87</v>
      </c>
      <c r="AF99" s="2" t="n">
        <f aca="false">MIN(AF98+1,AE99+1,AE98+IF($A99=AF$4,0,1))</f>
        <v>87</v>
      </c>
      <c r="AG99" s="2" t="n">
        <f aca="false">MIN(AG98+1,AF99+1,AF98+IF($A99=AG$4,0,1))</f>
        <v>87</v>
      </c>
      <c r="AH99" s="2" t="n">
        <f aca="false">MIN(AH98+1,AG99+1,AG98+IF($A99=AH$4,0,1))</f>
        <v>87</v>
      </c>
      <c r="AI99" s="2" t="n">
        <f aca="false">MIN(AI98+1,AH99+1,AH98+IF($A99=AI$4,0,1))</f>
        <v>87</v>
      </c>
      <c r="AJ99" s="2" t="n">
        <f aca="false">MIN(AJ98+1,AI99+1,AI98+IF($A99=AJ$4,0,1))</f>
        <v>87</v>
      </c>
      <c r="AK99" s="2" t="n">
        <f aca="false">MIN(AK98+1,AJ99+1,AJ98+IF($A99=AK$4,0,1))</f>
        <v>87</v>
      </c>
      <c r="AL99" s="2" t="n">
        <f aca="false">MIN(AL98+1,AK99+1,AK98+IF($A99=AL$4,0,1))</f>
        <v>87</v>
      </c>
      <c r="AM99" s="2" t="n">
        <f aca="false">MIN(AM98+1,AL99+1,AL98+IF($A99=AM$4,0,1))</f>
        <v>87</v>
      </c>
      <c r="AN99" s="2" t="n">
        <f aca="false">MIN(AN98+1,AM99+1,AM98+IF($A99=AN$4,0,1))</f>
        <v>87</v>
      </c>
      <c r="AO99" s="2" t="n">
        <f aca="false">MIN(AO98+1,AN99+1,AN98+IF($A99=AO$4,0,1))</f>
        <v>88</v>
      </c>
      <c r="AP99" s="2" t="n">
        <f aca="false">MIN(AP98+1,AO99+1,AO98+IF($A99=AP$4,0,1))</f>
        <v>88</v>
      </c>
      <c r="AQ99" s="2" t="n">
        <f aca="false">MIN(AQ98+1,AP99+1,AP98+IF($A99=AQ$4,0,1))</f>
        <v>88</v>
      </c>
      <c r="AR99" s="2" t="n">
        <f aca="false">MIN(AR98+1,AQ99+1,AQ98+IF($A99=AR$4,0,1))</f>
        <v>88</v>
      </c>
      <c r="AS99" s="2" t="n">
        <f aca="false">MIN(AS98+1,AR99+1,AR98+IF($A99=AS$4,0,1))</f>
        <v>89</v>
      </c>
      <c r="AT99" s="2" t="n">
        <f aca="false">MIN(AT98+1,AS99+1,AS98+IF($A99=AT$4,0,1))</f>
        <v>88</v>
      </c>
      <c r="AU99" s="2" t="n">
        <f aca="false">MIN(AU98+1,AT99+1,AT98+IF($A99=AU$4,0,1))</f>
        <v>88</v>
      </c>
      <c r="AV99" s="2" t="n">
        <f aca="false">MIN(AV98+1,AU99+1,AU98+IF($A99=AV$4,0,1))</f>
        <v>88</v>
      </c>
      <c r="AW99" s="2" t="n">
        <f aca="false">MIN(AW98+1,AV99+1,AV98+IF($A99=AW$4,0,1))</f>
        <v>88</v>
      </c>
      <c r="AX99" s="2" t="n">
        <f aca="false">MIN(AX98+1,AW99+1,AW98+IF($A99=AX$4,0,1))</f>
        <v>88</v>
      </c>
      <c r="AY99" s="2" t="n">
        <f aca="false">MIN(AY98+1,AX99+1,AX98+IF($A99=AY$4,0,1))</f>
        <v>88</v>
      </c>
      <c r="AZ99" s="2" t="n">
        <f aca="false">MIN(AZ98+1,AY99+1,AY98+IF($A99=AZ$4,0,1))</f>
        <v>88</v>
      </c>
      <c r="BA99" s="2" t="n">
        <f aca="false">MIN(BA98+1,AZ99+1,AZ98+IF($A99=BA$4,0,1))</f>
        <v>88</v>
      </c>
      <c r="BB99" s="2" t="n">
        <f aca="false">MIN(BB98+1,BA99+1,BA98+IF($A99=BB$4,0,1))</f>
        <v>88</v>
      </c>
      <c r="BC99" s="2" t="n">
        <f aca="false">MIN(BC98+1,BB99+1,BB98+IF($A99=BC$4,0,1))</f>
        <v>88</v>
      </c>
      <c r="BD99" s="2" t="n">
        <f aca="false">MIN(BD98+1,BC99+1,BC98+IF($A99=BD$4,0,1))</f>
        <v>88</v>
      </c>
      <c r="BE99" s="2" t="n">
        <f aca="false">MIN(BE98+1,BD99+1,BD98+IF($A99=BE$4,0,1))</f>
        <v>88</v>
      </c>
      <c r="BF99" s="2" t="n">
        <f aca="false">MIN(BF98+1,BE99+1,BE98+IF($A99=BF$4,0,1))</f>
        <v>88</v>
      </c>
      <c r="BG99" s="2" t="n">
        <f aca="false">MIN(BG98+1,BF99+1,BF98+IF($A99=BG$4,0,1))</f>
        <v>88</v>
      </c>
      <c r="BH99" s="2" t="n">
        <f aca="false">MIN(BH98+1,BG99+1,BG98+IF($A99=BH$4,0,1))</f>
        <v>89</v>
      </c>
      <c r="BI99" s="2" t="n">
        <f aca="false">MIN(BI98+1,BH99+1,BH98+IF($A99=BI$4,0,1))</f>
        <v>89</v>
      </c>
      <c r="BJ99" s="2" t="n">
        <f aca="false">MIN(BJ98+1,BI99+1,BI98+IF($A99=BJ$4,0,1))</f>
        <v>89</v>
      </c>
      <c r="BK99" s="2" t="n">
        <f aca="false">MIN(BK98+1,BJ99+1,BJ98+IF($A99=BK$4,0,1))</f>
        <v>89</v>
      </c>
      <c r="BL99" s="2" t="n">
        <f aca="false">MIN(BL98+1,BK99+1,BK98+IF($A99=BL$4,0,1))</f>
        <v>88</v>
      </c>
      <c r="BM99" s="2" t="n">
        <f aca="false">MIN(BM98+1,BL99+1,BL98+IF($A99=BM$4,0,1))</f>
        <v>88</v>
      </c>
      <c r="BN99" s="2" t="n">
        <f aca="false">MIN(BN98+1,BM99+1,BM98+IF($A99=BN$4,0,1))</f>
        <v>88</v>
      </c>
      <c r="BO99" s="2" t="n">
        <f aca="false">MIN(BO98+1,BN99+1,BN98+IF($A99=BO$4,0,1))</f>
        <v>88</v>
      </c>
      <c r="BP99" s="2" t="n">
        <f aca="false">MIN(BP98+1,BO99+1,BO98+IF($A99=BP$4,0,1))</f>
        <v>87</v>
      </c>
      <c r="BQ99" s="2" t="n">
        <f aca="false">MIN(BQ98+1,BP99+1,BP98+IF($A99=BQ$4,0,1))</f>
        <v>87</v>
      </c>
      <c r="BR99" s="2" t="n">
        <f aca="false">MIN(BR98+1,BQ99+1,BQ98+IF($A99=BR$4,0,1))</f>
        <v>87</v>
      </c>
      <c r="BS99" s="2" t="n">
        <f aca="false">MIN(BS98+1,BR99+1,BR98+IF($A99=BS$4,0,1))</f>
        <v>88</v>
      </c>
      <c r="BT99" s="2" t="n">
        <f aca="false">MIN(BT98+1,BS99+1,BS98+IF($A99=BT$4,0,1))</f>
        <v>88</v>
      </c>
      <c r="BU99" s="2" t="n">
        <f aca="false">MIN(BU98+1,BT99+1,BT98+IF($A99=BU$4,0,1))</f>
        <v>88</v>
      </c>
      <c r="BV99" s="2" t="n">
        <f aca="false">MIN(BV98+1,BU99+1,BU98+IF($A99=BV$4,0,1))</f>
        <v>88</v>
      </c>
      <c r="BW99" s="2" t="n">
        <f aca="false">MIN(BW98+1,BV99+1,BV98+IF($A99=BW$4,0,1))</f>
        <v>88</v>
      </c>
      <c r="BX99" s="2" t="n">
        <f aca="false">MIN(BX98+1,BW99+1,BW98+IF($A99=BX$4,0,1))</f>
        <v>88</v>
      </c>
      <c r="BY99" s="2" t="n">
        <f aca="false">MIN(BY98+1,BX99+1,BX98+IF($A99=BY$4,0,1))</f>
        <v>88</v>
      </c>
      <c r="BZ99" s="2" t="n">
        <f aca="false">MIN(BZ98+1,BY99+1,BY98+IF($A99=BZ$4,0,1))</f>
        <v>88</v>
      </c>
      <c r="CA99" s="2" t="n">
        <f aca="false">MIN(CA98+1,BZ99+1,BZ98+IF($A99=CA$4,0,1))</f>
        <v>88</v>
      </c>
      <c r="CB99" s="2" t="n">
        <f aca="false">MIN(CB98+1,CA99+1,CA98+IF($A99=CB$4,0,1))</f>
        <v>88</v>
      </c>
      <c r="CC99" s="2" t="n">
        <f aca="false">MIN(CC98+1,CB99+1,CB98+IF($A99=CC$4,0,1))</f>
        <v>88</v>
      </c>
      <c r="CD99" s="2" t="n">
        <f aca="false">MIN(CD98+1,CC99+1,CC98+IF($A99=CD$4,0,1))</f>
        <v>89</v>
      </c>
      <c r="CE99" s="2" t="n">
        <f aca="false">MIN(CE98+1,CD99+1,CD98+IF($A99=CE$4,0,1))</f>
        <v>89</v>
      </c>
      <c r="CF99" s="2" t="n">
        <f aca="false">MIN(CF98+1,CE99+1,CE98+IF($A99=CF$4,0,1))</f>
        <v>89</v>
      </c>
      <c r="CG99" s="2" t="n">
        <f aca="false">MIN(CG98+1,CF99+1,CF98+IF($A99=CG$4,0,1))</f>
        <v>90</v>
      </c>
      <c r="CH99" s="2" t="n">
        <f aca="false">MIN(CH98+1,CG99+1,CG98+IF($A99=CH$4,0,1))</f>
        <v>90</v>
      </c>
      <c r="CI99" s="2" t="n">
        <f aca="false">MIN(CI98+1,CH99+1,CH98+IF($A99=CI$4,0,1))</f>
        <v>90</v>
      </c>
      <c r="CJ99" s="2" t="n">
        <f aca="false">MIN(CJ98+1,CI99+1,CI98+IF($A99=CJ$4,0,1))</f>
        <v>90</v>
      </c>
      <c r="CK99" s="2" t="n">
        <f aca="false">MIN(CK98+1,CJ99+1,CJ98+IF($A99=CK$4,0,1))</f>
        <v>90</v>
      </c>
      <c r="CL99" s="2" t="n">
        <f aca="false">MIN(CL98+1,CK99+1,CK98+IF($A99=CL$4,0,1))</f>
        <v>90</v>
      </c>
      <c r="CM99" s="2" t="n">
        <f aca="false">MIN(CM98+1,CL99+1,CL98+IF($A99=CM$4,0,1))</f>
        <v>91</v>
      </c>
      <c r="CN99" s="2" t="n">
        <f aca="false">MIN(CN98+1,CM99+1,CM98+IF($A99=CN$4,0,1))</f>
        <v>91</v>
      </c>
      <c r="CO99" s="2" t="n">
        <f aca="false">MIN(CO98+1,CN99+1,CN98+IF($A99=CO$4,0,1))</f>
        <v>91</v>
      </c>
      <c r="CP99" s="2" t="n">
        <f aca="false">MIN(CP98+1,CO99+1,CO98+IF($A99=CP$4,0,1))</f>
        <v>91</v>
      </c>
      <c r="CQ99" s="2" t="n">
        <f aca="false">MIN(CQ98+1,CP99+1,CP98+IF($A99=CQ$4,0,1))</f>
        <v>91</v>
      </c>
    </row>
    <row r="100" customFormat="false" ht="15" hidden="false" customHeight="false" outlineLevel="0" collapsed="false">
      <c r="A100" s="4" t="s">
        <v>203</v>
      </c>
      <c r="B100" s="12" t="n">
        <v>95</v>
      </c>
      <c r="C100" s="2" t="n">
        <f aca="false">MIN(C99+1,B100+1,B99+IF($A100=C$4,0,1))</f>
        <v>95</v>
      </c>
      <c r="D100" s="2" t="n">
        <f aca="false">MIN(D99+1,C100+1,C99+IF($A100=D$4,0,1))</f>
        <v>94</v>
      </c>
      <c r="E100" s="2" t="n">
        <f aca="false">MIN(E99+1,D100+1,D99+IF($A100=E$4,0,1))</f>
        <v>93</v>
      </c>
      <c r="F100" s="2" t="n">
        <f aca="false">MIN(F99+1,E100+1,E99+IF($A100=F$4,0,1))</f>
        <v>92</v>
      </c>
      <c r="G100" s="2" t="n">
        <f aca="false">MIN(G99+1,F100+1,F99+IF($A100=G$4,0,1))</f>
        <v>91</v>
      </c>
      <c r="H100" s="2" t="n">
        <f aca="false">MIN(H99+1,G100+1,G99+IF($A100=H$4,0,1))</f>
        <v>91</v>
      </c>
      <c r="I100" s="2" t="n">
        <f aca="false">MIN(I99+1,H100+1,H99+IF($A100=I$4,0,1))</f>
        <v>91</v>
      </c>
      <c r="J100" s="2" t="n">
        <f aca="false">MIN(J99+1,I100+1,I99+IF($A100=J$4,0,1))</f>
        <v>91</v>
      </c>
      <c r="K100" s="2" t="n">
        <f aca="false">MIN(K99+1,J100+1,J99+IF($A100=K$4,0,1))</f>
        <v>90</v>
      </c>
      <c r="L100" s="2" t="n">
        <f aca="false">MIN(L99+1,K100+1,K99+IF($A100=L$4,0,1))</f>
        <v>90</v>
      </c>
      <c r="M100" s="2" t="n">
        <f aca="false">MIN(M99+1,L100+1,L99+IF($A100=M$4,0,1))</f>
        <v>90</v>
      </c>
      <c r="N100" s="2" t="n">
        <f aca="false">MIN(N99+1,M100+1,M99+IF($A100=N$4,0,1))</f>
        <v>90</v>
      </c>
      <c r="O100" s="2" t="n">
        <f aca="false">MIN(O99+1,N100+1,N99+IF($A100=O$4,0,1))</f>
        <v>89</v>
      </c>
      <c r="P100" s="2" t="n">
        <f aca="false">MIN(P99+1,O100+1,O99+IF($A100=P$4,0,1))</f>
        <v>89</v>
      </c>
      <c r="Q100" s="2" t="n">
        <f aca="false">MIN(Q99+1,P100+1,P99+IF($A100=Q$4,0,1))</f>
        <v>89</v>
      </c>
      <c r="R100" s="2" t="n">
        <f aca="false">MIN(R99+1,Q100+1,Q99+IF($A100=R$4,0,1))</f>
        <v>89</v>
      </c>
      <c r="S100" s="2" t="n">
        <f aca="false">MIN(S99+1,R100+1,R99+IF($A100=S$4,0,1))</f>
        <v>89</v>
      </c>
      <c r="T100" s="2" t="n">
        <f aca="false">MIN(T99+1,S100+1,S99+IF($A100=T$4,0,1))</f>
        <v>89</v>
      </c>
      <c r="U100" s="2" t="n">
        <f aca="false">MIN(U99+1,T100+1,T99+IF($A100=U$4,0,1))</f>
        <v>89</v>
      </c>
      <c r="V100" s="2" t="n">
        <f aca="false">MIN(V99+1,U100+1,U99+IF($A100=V$4,0,1))</f>
        <v>89</v>
      </c>
      <c r="W100" s="2" t="n">
        <f aca="false">MIN(W99+1,V100+1,V99+IF($A100=W$4,0,1))</f>
        <v>89</v>
      </c>
      <c r="X100" s="2" t="n">
        <f aca="false">MIN(X99+1,W100+1,W99+IF($A100=X$4,0,1))</f>
        <v>89</v>
      </c>
      <c r="Y100" s="2" t="n">
        <f aca="false">MIN(Y99+1,X100+1,X99+IF($A100=Y$4,0,1))</f>
        <v>89</v>
      </c>
      <c r="Z100" s="2" t="n">
        <f aca="false">MIN(Z99+1,Y100+1,Y99+IF($A100=Z$4,0,1))</f>
        <v>89</v>
      </c>
      <c r="AA100" s="2" t="n">
        <f aca="false">MIN(AA99+1,Z100+1,Z99+IF($A100=AA$4,0,1))</f>
        <v>89</v>
      </c>
      <c r="AB100" s="2" t="n">
        <f aca="false">MIN(AB99+1,AA100+1,AA99+IF($A100=AB$4,0,1))</f>
        <v>89</v>
      </c>
      <c r="AC100" s="2" t="n">
        <f aca="false">MIN(AC99+1,AB100+1,AB99+IF($A100=AC$4,0,1))</f>
        <v>89</v>
      </c>
      <c r="AD100" s="2" t="n">
        <f aca="false">MIN(AD99+1,AC100+1,AC99+IF($A100=AD$4,0,1))</f>
        <v>88</v>
      </c>
      <c r="AE100" s="2" t="n">
        <f aca="false">MIN(AE99+1,AD100+1,AD99+IF($A100=AE$4,0,1))</f>
        <v>88</v>
      </c>
      <c r="AF100" s="2" t="n">
        <f aca="false">MIN(AF99+1,AE100+1,AE99+IF($A100=AF$4,0,1))</f>
        <v>88</v>
      </c>
      <c r="AG100" s="2" t="n">
        <f aca="false">MIN(AG99+1,AF100+1,AF99+IF($A100=AG$4,0,1))</f>
        <v>88</v>
      </c>
      <c r="AH100" s="2" t="n">
        <f aca="false">MIN(AH99+1,AG100+1,AG99+IF($A100=AH$4,0,1))</f>
        <v>88</v>
      </c>
      <c r="AI100" s="2" t="n">
        <f aca="false">MIN(AI99+1,AH100+1,AH99+IF($A100=AI$4,0,1))</f>
        <v>88</v>
      </c>
      <c r="AJ100" s="2" t="n">
        <f aca="false">MIN(AJ99+1,AI100+1,AI99+IF($A100=AJ$4,0,1))</f>
        <v>88</v>
      </c>
      <c r="AK100" s="2" t="n">
        <f aca="false">MIN(AK99+1,AJ100+1,AJ99+IF($A100=AK$4,0,1))</f>
        <v>88</v>
      </c>
      <c r="AL100" s="2" t="n">
        <f aca="false">MIN(AL99+1,AK100+1,AK99+IF($A100=AL$4,0,1))</f>
        <v>88</v>
      </c>
      <c r="AM100" s="2" t="n">
        <f aca="false">MIN(AM99+1,AL100+1,AL99+IF($A100=AM$4,0,1))</f>
        <v>88</v>
      </c>
      <c r="AN100" s="2" t="n">
        <f aca="false">MIN(AN99+1,AM100+1,AM99+IF($A100=AN$4,0,1))</f>
        <v>88</v>
      </c>
      <c r="AO100" s="2" t="n">
        <f aca="false">MIN(AO99+1,AN100+1,AN99+IF($A100=AO$4,0,1))</f>
        <v>88</v>
      </c>
      <c r="AP100" s="2" t="n">
        <f aca="false">MIN(AP99+1,AO100+1,AO99+IF($A100=AP$4,0,1))</f>
        <v>89</v>
      </c>
      <c r="AQ100" s="2" t="n">
        <f aca="false">MIN(AQ99+1,AP100+1,AP99+IF($A100=AQ$4,0,1))</f>
        <v>89</v>
      </c>
      <c r="AR100" s="2" t="n">
        <f aca="false">MIN(AR99+1,AQ100+1,AQ99+IF($A100=AR$4,0,1))</f>
        <v>89</v>
      </c>
      <c r="AS100" s="2" t="n">
        <f aca="false">MIN(AS99+1,AR100+1,AR99+IF($A100=AS$4,0,1))</f>
        <v>89</v>
      </c>
      <c r="AT100" s="2" t="n">
        <f aca="false">MIN(AT99+1,AS100+1,AS99+IF($A100=AT$4,0,1))</f>
        <v>89</v>
      </c>
      <c r="AU100" s="2" t="n">
        <f aca="false">MIN(AU99+1,AT100+1,AT99+IF($A100=AU$4,0,1))</f>
        <v>89</v>
      </c>
      <c r="AV100" s="2" t="n">
        <f aca="false">MIN(AV99+1,AU100+1,AU99+IF($A100=AV$4,0,1))</f>
        <v>89</v>
      </c>
      <c r="AW100" s="2" t="n">
        <f aca="false">MIN(AW99+1,AV100+1,AV99+IF($A100=AW$4,0,1))</f>
        <v>89</v>
      </c>
      <c r="AX100" s="2" t="n">
        <f aca="false">MIN(AX99+1,AW100+1,AW99+IF($A100=AX$4,0,1))</f>
        <v>89</v>
      </c>
      <c r="AY100" s="2" t="n">
        <f aca="false">MIN(AY99+1,AX100+1,AX99+IF($A100=AY$4,0,1))</f>
        <v>89</v>
      </c>
      <c r="AZ100" s="2" t="n">
        <f aca="false">MIN(AZ99+1,AY100+1,AY99+IF($A100=AZ$4,0,1))</f>
        <v>89</v>
      </c>
      <c r="BA100" s="2" t="n">
        <f aca="false">MIN(BA99+1,AZ100+1,AZ99+IF($A100=BA$4,0,1))</f>
        <v>89</v>
      </c>
      <c r="BB100" s="2" t="n">
        <f aca="false">MIN(BB99+1,BA100+1,BA99+IF($A100=BB$4,0,1))</f>
        <v>89</v>
      </c>
      <c r="BC100" s="2" t="n">
        <f aca="false">MIN(BC99+1,BB100+1,BB99+IF($A100=BC$4,0,1))</f>
        <v>89</v>
      </c>
      <c r="BD100" s="2" t="n">
        <f aca="false">MIN(BD99+1,BC100+1,BC99+IF($A100=BD$4,0,1))</f>
        <v>89</v>
      </c>
      <c r="BE100" s="2" t="n">
        <f aca="false">MIN(BE99+1,BD100+1,BD99+IF($A100=BE$4,0,1))</f>
        <v>89</v>
      </c>
      <c r="BF100" s="2" t="n">
        <f aca="false">MIN(BF99+1,BE100+1,BE99+IF($A100=BF$4,0,1))</f>
        <v>89</v>
      </c>
      <c r="BG100" s="2" t="n">
        <f aca="false">MIN(BG99+1,BF100+1,BF99+IF($A100=BG$4,0,1))</f>
        <v>89</v>
      </c>
      <c r="BH100" s="2" t="n">
        <f aca="false">MIN(BH99+1,BG100+1,BG99+IF($A100=BH$4,0,1))</f>
        <v>89</v>
      </c>
      <c r="BI100" s="2" t="n">
        <f aca="false">MIN(BI99+1,BH100+1,BH99+IF($A100=BI$4,0,1))</f>
        <v>90</v>
      </c>
      <c r="BJ100" s="2" t="n">
        <f aca="false">MIN(BJ99+1,BI100+1,BI99+IF($A100=BJ$4,0,1))</f>
        <v>90</v>
      </c>
      <c r="BK100" s="2" t="n">
        <f aca="false">MIN(BK99+1,BJ100+1,BJ99+IF($A100=BK$4,0,1))</f>
        <v>90</v>
      </c>
      <c r="BL100" s="2" t="n">
        <f aca="false">MIN(BL99+1,BK100+1,BK99+IF($A100=BL$4,0,1))</f>
        <v>89</v>
      </c>
      <c r="BM100" s="2" t="n">
        <f aca="false">MIN(BM99+1,BL100+1,BL99+IF($A100=BM$4,0,1))</f>
        <v>89</v>
      </c>
      <c r="BN100" s="2" t="n">
        <f aca="false">MIN(BN99+1,BM100+1,BM99+IF($A100=BN$4,0,1))</f>
        <v>89</v>
      </c>
      <c r="BO100" s="2" t="n">
        <f aca="false">MIN(BO99+1,BN100+1,BN99+IF($A100=BO$4,0,1))</f>
        <v>89</v>
      </c>
      <c r="BP100" s="2" t="n">
        <f aca="false">MIN(BP99+1,BO100+1,BO99+IF($A100=BP$4,0,1))</f>
        <v>88</v>
      </c>
      <c r="BQ100" s="2" t="n">
        <f aca="false">MIN(BQ99+1,BP100+1,BP99+IF($A100=BQ$4,0,1))</f>
        <v>88</v>
      </c>
      <c r="BR100" s="2" t="n">
        <f aca="false">MIN(BR99+1,BQ100+1,BQ99+IF($A100=BR$4,0,1))</f>
        <v>88</v>
      </c>
      <c r="BS100" s="2" t="n">
        <f aca="false">MIN(BS99+1,BR100+1,BR99+IF($A100=BS$4,0,1))</f>
        <v>88</v>
      </c>
      <c r="BT100" s="2" t="n">
        <f aca="false">MIN(BT99+1,BS100+1,BS99+IF($A100=BT$4,0,1))</f>
        <v>89</v>
      </c>
      <c r="BU100" s="2" t="n">
        <f aca="false">MIN(BU99+1,BT100+1,BT99+IF($A100=BU$4,0,1))</f>
        <v>89</v>
      </c>
      <c r="BV100" s="2" t="n">
        <f aca="false">MIN(BV99+1,BU100+1,BU99+IF($A100=BV$4,0,1))</f>
        <v>89</v>
      </c>
      <c r="BW100" s="2" t="n">
        <f aca="false">MIN(BW99+1,BV100+1,BV99+IF($A100=BW$4,0,1))</f>
        <v>89</v>
      </c>
      <c r="BX100" s="2" t="n">
        <f aca="false">MIN(BX99+1,BW100+1,BW99+IF($A100=BX$4,0,1))</f>
        <v>89</v>
      </c>
      <c r="BY100" s="2" t="n">
        <f aca="false">MIN(BY99+1,BX100+1,BX99+IF($A100=BY$4,0,1))</f>
        <v>89</v>
      </c>
      <c r="BZ100" s="2" t="n">
        <f aca="false">MIN(BZ99+1,BY100+1,BY99+IF($A100=BZ$4,0,1))</f>
        <v>89</v>
      </c>
      <c r="CA100" s="2" t="n">
        <f aca="false">MIN(CA99+1,BZ100+1,BZ99+IF($A100=CA$4,0,1))</f>
        <v>89</v>
      </c>
      <c r="CB100" s="2" t="n">
        <f aca="false">MIN(CB99+1,CA100+1,CA99+IF($A100=CB$4,0,1))</f>
        <v>89</v>
      </c>
      <c r="CC100" s="2" t="n">
        <f aca="false">MIN(CC99+1,CB100+1,CB99+IF($A100=CC$4,0,1))</f>
        <v>89</v>
      </c>
      <c r="CD100" s="2" t="n">
        <f aca="false">MIN(CD99+1,CC100+1,CC99+IF($A100=CD$4,0,1))</f>
        <v>89</v>
      </c>
      <c r="CE100" s="2" t="n">
        <f aca="false">MIN(CE99+1,CD100+1,CD99+IF($A100=CE$4,0,1))</f>
        <v>90</v>
      </c>
      <c r="CF100" s="2" t="n">
        <f aca="false">MIN(CF99+1,CE100+1,CE99+IF($A100=CF$4,0,1))</f>
        <v>90</v>
      </c>
      <c r="CG100" s="2" t="n">
        <f aca="false">MIN(CG99+1,CF100+1,CF99+IF($A100=CG$4,0,1))</f>
        <v>90</v>
      </c>
      <c r="CH100" s="2" t="n">
        <f aca="false">MIN(CH99+1,CG100+1,CG99+IF($A100=CH$4,0,1))</f>
        <v>91</v>
      </c>
      <c r="CI100" s="2" t="n">
        <f aca="false">MIN(CI99+1,CH100+1,CH99+IF($A100=CI$4,0,1))</f>
        <v>91</v>
      </c>
      <c r="CJ100" s="2" t="n">
        <f aca="false">MIN(CJ99+1,CI100+1,CI99+IF($A100=CJ$4,0,1))</f>
        <v>91</v>
      </c>
      <c r="CK100" s="2" t="n">
        <f aca="false">MIN(CK99+1,CJ100+1,CJ99+IF($A100=CK$4,0,1))</f>
        <v>91</v>
      </c>
      <c r="CL100" s="2" t="n">
        <f aca="false">MIN(CL99+1,CK100+1,CK99+IF($A100=CL$4,0,1))</f>
        <v>91</v>
      </c>
      <c r="CM100" s="2" t="n">
        <f aca="false">MIN(CM99+1,CL100+1,CL99+IF($A100=CM$4,0,1))</f>
        <v>91</v>
      </c>
      <c r="CN100" s="2" t="n">
        <f aca="false">MIN(CN99+1,CM100+1,CM99+IF($A100=CN$4,0,1))</f>
        <v>92</v>
      </c>
      <c r="CO100" s="2" t="n">
        <f aca="false">MIN(CO99+1,CN100+1,CN99+IF($A100=CO$4,0,1))</f>
        <v>92</v>
      </c>
      <c r="CP100" s="2" t="n">
        <f aca="false">MIN(CP99+1,CO100+1,CO99+IF($A100=CP$4,0,1))</f>
        <v>92</v>
      </c>
      <c r="CQ100" s="2" t="n">
        <f aca="false">MIN(CQ99+1,CP100+1,CP99+IF($A100=CQ$4,0,1))</f>
        <v>92</v>
      </c>
    </row>
    <row r="101" customFormat="false" ht="15" hidden="false" customHeight="false" outlineLevel="0" collapsed="false">
      <c r="A101" s="4" t="s">
        <v>179</v>
      </c>
      <c r="B101" s="12" t="n">
        <v>96</v>
      </c>
      <c r="C101" s="2" t="n">
        <f aca="false">MIN(C100+1,B101+1,B100+IF($A101=C$4,0,1))</f>
        <v>96</v>
      </c>
      <c r="D101" s="2" t="n">
        <f aca="false">MIN(D100+1,C101+1,C100+IF($A101=D$4,0,1))</f>
        <v>95</v>
      </c>
      <c r="E101" s="2" t="n">
        <f aca="false">MIN(E100+1,D101+1,D100+IF($A101=E$4,0,1))</f>
        <v>94</v>
      </c>
      <c r="F101" s="2" t="n">
        <f aca="false">MIN(F100+1,E101+1,E100+IF($A101=F$4,0,1))</f>
        <v>93</v>
      </c>
      <c r="G101" s="2" t="n">
        <f aca="false">MIN(G100+1,F101+1,F100+IF($A101=G$4,0,1))</f>
        <v>92</v>
      </c>
      <c r="H101" s="2" t="n">
        <f aca="false">MIN(H100+1,G101+1,G100+IF($A101=H$4,0,1))</f>
        <v>92</v>
      </c>
      <c r="I101" s="2" t="n">
        <f aca="false">MIN(I100+1,H101+1,H100+IF($A101=I$4,0,1))</f>
        <v>92</v>
      </c>
      <c r="J101" s="2" t="n">
        <f aca="false">MIN(J100+1,I101+1,I100+IF($A101=J$4,0,1))</f>
        <v>92</v>
      </c>
      <c r="K101" s="2" t="n">
        <f aca="false">MIN(K100+1,J101+1,J100+IF($A101=K$4,0,1))</f>
        <v>91</v>
      </c>
      <c r="L101" s="2" t="n">
        <f aca="false">MIN(L100+1,K101+1,K100+IF($A101=L$4,0,1))</f>
        <v>91</v>
      </c>
      <c r="M101" s="2" t="n">
        <f aca="false">MIN(M100+1,L101+1,L100+IF($A101=M$4,0,1))</f>
        <v>91</v>
      </c>
      <c r="N101" s="2" t="n">
        <f aca="false">MIN(N100+1,M101+1,M100+IF($A101=N$4,0,1))</f>
        <v>91</v>
      </c>
      <c r="O101" s="2" t="n">
        <f aca="false">MIN(O100+1,N101+1,N100+IF($A101=O$4,0,1))</f>
        <v>90</v>
      </c>
      <c r="P101" s="2" t="n">
        <f aca="false">MIN(P100+1,O101+1,O100+IF($A101=P$4,0,1))</f>
        <v>90</v>
      </c>
      <c r="Q101" s="2" t="n">
        <f aca="false">MIN(Q100+1,P101+1,P100+IF($A101=Q$4,0,1))</f>
        <v>90</v>
      </c>
      <c r="R101" s="2" t="n">
        <f aca="false">MIN(R100+1,Q101+1,Q100+IF($A101=R$4,0,1))</f>
        <v>90</v>
      </c>
      <c r="S101" s="2" t="n">
        <f aca="false">MIN(S100+1,R101+1,R100+IF($A101=S$4,0,1))</f>
        <v>90</v>
      </c>
      <c r="T101" s="2" t="n">
        <f aca="false">MIN(T100+1,S101+1,S100+IF($A101=T$4,0,1))</f>
        <v>90</v>
      </c>
      <c r="U101" s="2" t="n">
        <f aca="false">MIN(U100+1,T101+1,T100+IF($A101=U$4,0,1))</f>
        <v>90</v>
      </c>
      <c r="V101" s="2" t="n">
        <f aca="false">MIN(V100+1,U101+1,U100+IF($A101=V$4,0,1))</f>
        <v>90</v>
      </c>
      <c r="W101" s="2" t="n">
        <f aca="false">MIN(W100+1,V101+1,V100+IF($A101=W$4,0,1))</f>
        <v>90</v>
      </c>
      <c r="X101" s="2" t="n">
        <f aca="false">MIN(X100+1,W101+1,W100+IF($A101=X$4,0,1))</f>
        <v>90</v>
      </c>
      <c r="Y101" s="2" t="n">
        <f aca="false">MIN(Y100+1,X101+1,X100+IF($A101=Y$4,0,1))</f>
        <v>90</v>
      </c>
      <c r="Z101" s="2" t="n">
        <f aca="false">MIN(Z100+1,Y101+1,Y100+IF($A101=Z$4,0,1))</f>
        <v>90</v>
      </c>
      <c r="AA101" s="2" t="n">
        <f aca="false">MIN(AA100+1,Z101+1,Z100+IF($A101=AA$4,0,1))</f>
        <v>90</v>
      </c>
      <c r="AB101" s="2" t="n">
        <f aca="false">MIN(AB100+1,AA101+1,AA100+IF($A101=AB$4,0,1))</f>
        <v>90</v>
      </c>
      <c r="AC101" s="2" t="n">
        <f aca="false">MIN(AC100+1,AB101+1,AB100+IF($A101=AC$4,0,1))</f>
        <v>90</v>
      </c>
      <c r="AD101" s="2" t="n">
        <f aca="false">MIN(AD100+1,AC101+1,AC100+IF($A101=AD$4,0,1))</f>
        <v>89</v>
      </c>
      <c r="AE101" s="2" t="n">
        <f aca="false">MIN(AE100+1,AD101+1,AD100+IF($A101=AE$4,0,1))</f>
        <v>89</v>
      </c>
      <c r="AF101" s="2" t="n">
        <f aca="false">MIN(AF100+1,AE101+1,AE100+IF($A101=AF$4,0,1))</f>
        <v>89</v>
      </c>
      <c r="AG101" s="2" t="n">
        <f aca="false">MIN(AG100+1,AF101+1,AF100+IF($A101=AG$4,0,1))</f>
        <v>89</v>
      </c>
      <c r="AH101" s="2" t="n">
        <f aca="false">MIN(AH100+1,AG101+1,AG100+IF($A101=AH$4,0,1))</f>
        <v>89</v>
      </c>
      <c r="AI101" s="2" t="n">
        <f aca="false">MIN(AI100+1,AH101+1,AH100+IF($A101=AI$4,0,1))</f>
        <v>89</v>
      </c>
      <c r="AJ101" s="2" t="n">
        <f aca="false">MIN(AJ100+1,AI101+1,AI100+IF($A101=AJ$4,0,1))</f>
        <v>89</v>
      </c>
      <c r="AK101" s="2" t="n">
        <f aca="false">MIN(AK100+1,AJ101+1,AJ100+IF($A101=AK$4,0,1))</f>
        <v>89</v>
      </c>
      <c r="AL101" s="2" t="n">
        <f aca="false">MIN(AL100+1,AK101+1,AK100+IF($A101=AL$4,0,1))</f>
        <v>89</v>
      </c>
      <c r="AM101" s="2" t="n">
        <f aca="false">MIN(AM100+1,AL101+1,AL100+IF($A101=AM$4,0,1))</f>
        <v>89</v>
      </c>
      <c r="AN101" s="2" t="n">
        <f aca="false">MIN(AN100+1,AM101+1,AM100+IF($A101=AN$4,0,1))</f>
        <v>89</v>
      </c>
      <c r="AO101" s="2" t="n">
        <f aca="false">MIN(AO100+1,AN101+1,AN100+IF($A101=AO$4,0,1))</f>
        <v>89</v>
      </c>
      <c r="AP101" s="2" t="n">
        <f aca="false">MIN(AP100+1,AO101+1,AO100+IF($A101=AP$4,0,1))</f>
        <v>89</v>
      </c>
      <c r="AQ101" s="2" t="n">
        <f aca="false">MIN(AQ100+1,AP101+1,AP100+IF($A101=AQ$4,0,1))</f>
        <v>90</v>
      </c>
      <c r="AR101" s="2" t="n">
        <f aca="false">MIN(AR100+1,AQ101+1,AQ100+IF($A101=AR$4,0,1))</f>
        <v>90</v>
      </c>
      <c r="AS101" s="2" t="n">
        <f aca="false">MIN(AS100+1,AR101+1,AR100+IF($A101=AS$4,0,1))</f>
        <v>90</v>
      </c>
      <c r="AT101" s="2" t="n">
        <f aca="false">MIN(AT100+1,AS101+1,AS100+IF($A101=AT$4,0,1))</f>
        <v>90</v>
      </c>
      <c r="AU101" s="2" t="n">
        <f aca="false">MIN(AU100+1,AT101+1,AT100+IF($A101=AU$4,0,1))</f>
        <v>90</v>
      </c>
      <c r="AV101" s="2" t="n">
        <f aca="false">MIN(AV100+1,AU101+1,AU100+IF($A101=AV$4,0,1))</f>
        <v>90</v>
      </c>
      <c r="AW101" s="2" t="n">
        <f aca="false">MIN(AW100+1,AV101+1,AV100+IF($A101=AW$4,0,1))</f>
        <v>90</v>
      </c>
      <c r="AX101" s="2" t="n">
        <f aca="false">MIN(AX100+1,AW101+1,AW100+IF($A101=AX$4,0,1))</f>
        <v>90</v>
      </c>
      <c r="AY101" s="2" t="n">
        <f aca="false">MIN(AY100+1,AX101+1,AX100+IF($A101=AY$4,0,1))</f>
        <v>90</v>
      </c>
      <c r="AZ101" s="2" t="n">
        <f aca="false">MIN(AZ100+1,AY101+1,AY100+IF($A101=AZ$4,0,1))</f>
        <v>90</v>
      </c>
      <c r="BA101" s="2" t="n">
        <f aca="false">MIN(BA100+1,AZ101+1,AZ100+IF($A101=BA$4,0,1))</f>
        <v>90</v>
      </c>
      <c r="BB101" s="2" t="n">
        <f aca="false">MIN(BB100+1,BA101+1,BA100+IF($A101=BB$4,0,1))</f>
        <v>90</v>
      </c>
      <c r="BC101" s="2" t="n">
        <f aca="false">MIN(BC100+1,BB101+1,BB100+IF($A101=BC$4,0,1))</f>
        <v>90</v>
      </c>
      <c r="BD101" s="2" t="n">
        <f aca="false">MIN(BD100+1,BC101+1,BC100+IF($A101=BD$4,0,1))</f>
        <v>90</v>
      </c>
      <c r="BE101" s="2" t="n">
        <f aca="false">MIN(BE100+1,BD101+1,BD100+IF($A101=BE$4,0,1))</f>
        <v>90</v>
      </c>
      <c r="BF101" s="2" t="n">
        <f aca="false">MIN(BF100+1,BE101+1,BE100+IF($A101=BF$4,0,1))</f>
        <v>90</v>
      </c>
      <c r="BG101" s="2" t="n">
        <f aca="false">MIN(BG100+1,BF101+1,BF100+IF($A101=BG$4,0,1))</f>
        <v>90</v>
      </c>
      <c r="BH101" s="2" t="n">
        <f aca="false">MIN(BH100+1,BG101+1,BG100+IF($A101=BH$4,0,1))</f>
        <v>90</v>
      </c>
      <c r="BI101" s="2" t="n">
        <f aca="false">MIN(BI100+1,BH101+1,BH100+IF($A101=BI$4,0,1))</f>
        <v>90</v>
      </c>
      <c r="BJ101" s="2" t="n">
        <f aca="false">MIN(BJ100+1,BI101+1,BI100+IF($A101=BJ$4,0,1))</f>
        <v>91</v>
      </c>
      <c r="BK101" s="2" t="n">
        <f aca="false">MIN(BK100+1,BJ101+1,BJ100+IF($A101=BK$4,0,1))</f>
        <v>91</v>
      </c>
      <c r="BL101" s="2" t="n">
        <f aca="false">MIN(BL100+1,BK101+1,BK100+IF($A101=BL$4,0,1))</f>
        <v>90</v>
      </c>
      <c r="BM101" s="2" t="n">
        <f aca="false">MIN(BM100+1,BL101+1,BL100+IF($A101=BM$4,0,1))</f>
        <v>90</v>
      </c>
      <c r="BN101" s="2" t="n">
        <f aca="false">MIN(BN100+1,BM101+1,BM100+IF($A101=BN$4,0,1))</f>
        <v>90</v>
      </c>
      <c r="BO101" s="2" t="n">
        <f aca="false">MIN(BO100+1,BN101+1,BN100+IF($A101=BO$4,0,1))</f>
        <v>90</v>
      </c>
      <c r="BP101" s="2" t="n">
        <f aca="false">MIN(BP100+1,BO101+1,BO100+IF($A101=BP$4,0,1))</f>
        <v>89</v>
      </c>
      <c r="BQ101" s="2" t="n">
        <f aca="false">MIN(BQ100+1,BP101+1,BP100+IF($A101=BQ$4,0,1))</f>
        <v>89</v>
      </c>
      <c r="BR101" s="2" t="n">
        <f aca="false">MIN(BR100+1,BQ101+1,BQ100+IF($A101=BR$4,0,1))</f>
        <v>89</v>
      </c>
      <c r="BS101" s="2" t="n">
        <f aca="false">MIN(BS100+1,BR101+1,BR100+IF($A101=BS$4,0,1))</f>
        <v>89</v>
      </c>
      <c r="BT101" s="2" t="n">
        <f aca="false">MIN(BT100+1,BS101+1,BS100+IF($A101=BT$4,0,1))</f>
        <v>89</v>
      </c>
      <c r="BU101" s="2" t="n">
        <f aca="false">MIN(BU100+1,BT101+1,BT100+IF($A101=BU$4,0,1))</f>
        <v>90</v>
      </c>
      <c r="BV101" s="2" t="n">
        <f aca="false">MIN(BV100+1,BU101+1,BU100+IF($A101=BV$4,0,1))</f>
        <v>90</v>
      </c>
      <c r="BW101" s="2" t="n">
        <f aca="false">MIN(BW100+1,BV101+1,BV100+IF($A101=BW$4,0,1))</f>
        <v>90</v>
      </c>
      <c r="BX101" s="2" t="n">
        <f aca="false">MIN(BX100+1,BW101+1,BW100+IF($A101=BX$4,0,1))</f>
        <v>90</v>
      </c>
      <c r="BY101" s="2" t="n">
        <f aca="false">MIN(BY100+1,BX101+1,BX100+IF($A101=BY$4,0,1))</f>
        <v>90</v>
      </c>
      <c r="BZ101" s="2" t="n">
        <f aca="false">MIN(BZ100+1,BY101+1,BY100+IF($A101=BZ$4,0,1))</f>
        <v>90</v>
      </c>
      <c r="CA101" s="2" t="n">
        <f aca="false">MIN(CA100+1,BZ101+1,BZ100+IF($A101=CA$4,0,1))</f>
        <v>90</v>
      </c>
      <c r="CB101" s="2" t="n">
        <f aca="false">MIN(CB100+1,CA101+1,CA100+IF($A101=CB$4,0,1))</f>
        <v>90</v>
      </c>
      <c r="CC101" s="2" t="n">
        <f aca="false">MIN(CC100+1,CB101+1,CB100+IF($A101=CC$4,0,1))</f>
        <v>90</v>
      </c>
      <c r="CD101" s="2" t="n">
        <f aca="false">MIN(CD100+1,CC101+1,CC100+IF($A101=CD$4,0,1))</f>
        <v>90</v>
      </c>
      <c r="CE101" s="2" t="n">
        <f aca="false">MIN(CE100+1,CD101+1,CD100+IF($A101=CE$4,0,1))</f>
        <v>90</v>
      </c>
      <c r="CF101" s="2" t="n">
        <f aca="false">MIN(CF100+1,CE101+1,CE100+IF($A101=CF$4,0,1))</f>
        <v>91</v>
      </c>
      <c r="CG101" s="2" t="n">
        <f aca="false">MIN(CG100+1,CF101+1,CF100+IF($A101=CG$4,0,1))</f>
        <v>91</v>
      </c>
      <c r="CH101" s="2" t="n">
        <f aca="false">MIN(CH100+1,CG101+1,CG100+IF($A101=CH$4,0,1))</f>
        <v>91</v>
      </c>
      <c r="CI101" s="2" t="n">
        <f aca="false">MIN(CI100+1,CH101+1,CH100+IF($A101=CI$4,0,1))</f>
        <v>92</v>
      </c>
      <c r="CJ101" s="2" t="n">
        <f aca="false">MIN(CJ100+1,CI101+1,CI100+IF($A101=CJ$4,0,1))</f>
        <v>92</v>
      </c>
      <c r="CK101" s="2" t="n">
        <f aca="false">MIN(CK100+1,CJ101+1,CJ100+IF($A101=CK$4,0,1))</f>
        <v>92</v>
      </c>
      <c r="CL101" s="2" t="n">
        <f aca="false">MIN(CL100+1,CK101+1,CK100+IF($A101=CL$4,0,1))</f>
        <v>92</v>
      </c>
      <c r="CM101" s="2" t="n">
        <f aca="false">MIN(CM100+1,CL101+1,CL100+IF($A101=CM$4,0,1))</f>
        <v>92</v>
      </c>
      <c r="CN101" s="2" t="n">
        <f aca="false">MIN(CN100+1,CM101+1,CM100+IF($A101=CN$4,0,1))</f>
        <v>92</v>
      </c>
      <c r="CO101" s="2" t="n">
        <f aca="false">MIN(CO100+1,CN101+1,CN100+IF($A101=CO$4,0,1))</f>
        <v>93</v>
      </c>
      <c r="CP101" s="2" t="n">
        <f aca="false">MIN(CP100+1,CO101+1,CO100+IF($A101=CP$4,0,1))</f>
        <v>93</v>
      </c>
      <c r="CQ101" s="2" t="n">
        <f aca="false">MIN(CQ100+1,CP101+1,CP100+IF($A101=CQ$4,0,1))</f>
        <v>93</v>
      </c>
    </row>
    <row r="102" customFormat="false" ht="15" hidden="false" customHeight="false" outlineLevel="0" collapsed="false">
      <c r="A102" s="4" t="s">
        <v>204</v>
      </c>
      <c r="B102" s="12" t="n">
        <v>97</v>
      </c>
      <c r="C102" s="2" t="n">
        <f aca="false">MIN(C101+1,B102+1,B101+IF($A102=C$4,0,1))</f>
        <v>97</v>
      </c>
      <c r="D102" s="2" t="n">
        <f aca="false">MIN(D101+1,C102+1,C101+IF($A102=D$4,0,1))</f>
        <v>96</v>
      </c>
      <c r="E102" s="2" t="n">
        <f aca="false">MIN(E101+1,D102+1,D101+IF($A102=E$4,0,1))</f>
        <v>95</v>
      </c>
      <c r="F102" s="2" t="n">
        <f aca="false">MIN(F101+1,E102+1,E101+IF($A102=F$4,0,1))</f>
        <v>94</v>
      </c>
      <c r="G102" s="2" t="n">
        <f aca="false">MIN(G101+1,F102+1,F101+IF($A102=G$4,0,1))</f>
        <v>93</v>
      </c>
      <c r="H102" s="2" t="n">
        <f aca="false">MIN(H101+1,G102+1,G101+IF($A102=H$4,0,1))</f>
        <v>93</v>
      </c>
      <c r="I102" s="2" t="n">
        <f aca="false">MIN(I101+1,H102+1,H101+IF($A102=I$4,0,1))</f>
        <v>93</v>
      </c>
      <c r="J102" s="2" t="n">
        <f aca="false">MIN(J101+1,I102+1,I101+IF($A102=J$4,0,1))</f>
        <v>93</v>
      </c>
      <c r="K102" s="2" t="n">
        <f aca="false">MIN(K101+1,J102+1,J101+IF($A102=K$4,0,1))</f>
        <v>92</v>
      </c>
      <c r="L102" s="2" t="n">
        <f aca="false">MIN(L101+1,K102+1,K101+IF($A102=L$4,0,1))</f>
        <v>92</v>
      </c>
      <c r="M102" s="2" t="n">
        <f aca="false">MIN(M101+1,L102+1,L101+IF($A102=M$4,0,1))</f>
        <v>92</v>
      </c>
      <c r="N102" s="2" t="n">
        <f aca="false">MIN(N101+1,M102+1,M101+IF($A102=N$4,0,1))</f>
        <v>92</v>
      </c>
      <c r="O102" s="2" t="n">
        <f aca="false">MIN(O101+1,N102+1,N101+IF($A102=O$4,0,1))</f>
        <v>91</v>
      </c>
      <c r="P102" s="2" t="n">
        <f aca="false">MIN(P101+1,O102+1,O101+IF($A102=P$4,0,1))</f>
        <v>91</v>
      </c>
      <c r="Q102" s="2" t="n">
        <f aca="false">MIN(Q101+1,P102+1,P101+IF($A102=Q$4,0,1))</f>
        <v>91</v>
      </c>
      <c r="R102" s="2" t="n">
        <f aca="false">MIN(R101+1,Q102+1,Q101+IF($A102=R$4,0,1))</f>
        <v>91</v>
      </c>
      <c r="S102" s="2" t="n">
        <f aca="false">MIN(S101+1,R102+1,R101+IF($A102=S$4,0,1))</f>
        <v>91</v>
      </c>
      <c r="T102" s="2" t="n">
        <f aca="false">MIN(T101+1,S102+1,S101+IF($A102=T$4,0,1))</f>
        <v>91</v>
      </c>
      <c r="U102" s="2" t="n">
        <f aca="false">MIN(U101+1,T102+1,T101+IF($A102=U$4,0,1))</f>
        <v>91</v>
      </c>
      <c r="V102" s="2" t="n">
        <f aca="false">MIN(V101+1,U102+1,U101+IF($A102=V$4,0,1))</f>
        <v>91</v>
      </c>
      <c r="W102" s="2" t="n">
        <f aca="false">MIN(W101+1,V102+1,V101+IF($A102=W$4,0,1))</f>
        <v>91</v>
      </c>
      <c r="X102" s="2" t="n">
        <f aca="false">MIN(X101+1,W102+1,W101+IF($A102=X$4,0,1))</f>
        <v>91</v>
      </c>
      <c r="Y102" s="2" t="n">
        <f aca="false">MIN(Y101+1,X102+1,X101+IF($A102=Y$4,0,1))</f>
        <v>91</v>
      </c>
      <c r="Z102" s="2" t="n">
        <f aca="false">MIN(Z101+1,Y102+1,Y101+IF($A102=Z$4,0,1))</f>
        <v>91</v>
      </c>
      <c r="AA102" s="2" t="n">
        <f aca="false">MIN(AA101+1,Z102+1,Z101+IF($A102=AA$4,0,1))</f>
        <v>91</v>
      </c>
      <c r="AB102" s="2" t="n">
        <f aca="false">MIN(AB101+1,AA102+1,AA101+IF($A102=AB$4,0,1))</f>
        <v>91</v>
      </c>
      <c r="AC102" s="2" t="n">
        <f aca="false">MIN(AC101+1,AB102+1,AB101+IF($A102=AC$4,0,1))</f>
        <v>91</v>
      </c>
      <c r="AD102" s="2" t="n">
        <f aca="false">MIN(AD101+1,AC102+1,AC101+IF($A102=AD$4,0,1))</f>
        <v>90</v>
      </c>
      <c r="AE102" s="2" t="n">
        <f aca="false">MIN(AE101+1,AD102+1,AD101+IF($A102=AE$4,0,1))</f>
        <v>90</v>
      </c>
      <c r="AF102" s="2" t="n">
        <f aca="false">MIN(AF101+1,AE102+1,AE101+IF($A102=AF$4,0,1))</f>
        <v>90</v>
      </c>
      <c r="AG102" s="2" t="n">
        <f aca="false">MIN(AG101+1,AF102+1,AF101+IF($A102=AG$4,0,1))</f>
        <v>90</v>
      </c>
      <c r="AH102" s="2" t="n">
        <f aca="false">MIN(AH101+1,AG102+1,AG101+IF($A102=AH$4,0,1))</f>
        <v>90</v>
      </c>
      <c r="AI102" s="2" t="n">
        <f aca="false">MIN(AI101+1,AH102+1,AH101+IF($A102=AI$4,0,1))</f>
        <v>90</v>
      </c>
      <c r="AJ102" s="2" t="n">
        <f aca="false">MIN(AJ101+1,AI102+1,AI101+IF($A102=AJ$4,0,1))</f>
        <v>90</v>
      </c>
      <c r="AK102" s="2" t="n">
        <f aca="false">MIN(AK101+1,AJ102+1,AJ101+IF($A102=AK$4,0,1))</f>
        <v>90</v>
      </c>
      <c r="AL102" s="2" t="n">
        <f aca="false">MIN(AL101+1,AK102+1,AK101+IF($A102=AL$4,0,1))</f>
        <v>90</v>
      </c>
      <c r="AM102" s="2" t="n">
        <f aca="false">MIN(AM101+1,AL102+1,AL101+IF($A102=AM$4,0,1))</f>
        <v>90</v>
      </c>
      <c r="AN102" s="2" t="n">
        <f aca="false">MIN(AN101+1,AM102+1,AM101+IF($A102=AN$4,0,1))</f>
        <v>90</v>
      </c>
      <c r="AO102" s="2" t="n">
        <f aca="false">MIN(AO101+1,AN102+1,AN101+IF($A102=AO$4,0,1))</f>
        <v>90</v>
      </c>
      <c r="AP102" s="2" t="n">
        <f aca="false">MIN(AP101+1,AO102+1,AO101+IF($A102=AP$4,0,1))</f>
        <v>90</v>
      </c>
      <c r="AQ102" s="2" t="n">
        <f aca="false">MIN(AQ101+1,AP102+1,AP101+IF($A102=AQ$4,0,1))</f>
        <v>90</v>
      </c>
      <c r="AR102" s="2" t="n">
        <f aca="false">MIN(AR101+1,AQ102+1,AQ101+IF($A102=AR$4,0,1))</f>
        <v>91</v>
      </c>
      <c r="AS102" s="2" t="n">
        <f aca="false">MIN(AS101+1,AR102+1,AR101+IF($A102=AS$4,0,1))</f>
        <v>91</v>
      </c>
      <c r="AT102" s="2" t="n">
        <f aca="false">MIN(AT101+1,AS102+1,AS101+IF($A102=AT$4,0,1))</f>
        <v>91</v>
      </c>
      <c r="AU102" s="2" t="n">
        <f aca="false">MIN(AU101+1,AT102+1,AT101+IF($A102=AU$4,0,1))</f>
        <v>91</v>
      </c>
      <c r="AV102" s="2" t="n">
        <f aca="false">MIN(AV101+1,AU102+1,AU101+IF($A102=AV$4,0,1))</f>
        <v>91</v>
      </c>
      <c r="AW102" s="2" t="n">
        <f aca="false">MIN(AW101+1,AV102+1,AV101+IF($A102=AW$4,0,1))</f>
        <v>91</v>
      </c>
      <c r="AX102" s="2" t="n">
        <f aca="false">MIN(AX101+1,AW102+1,AW101+IF($A102=AX$4,0,1))</f>
        <v>91</v>
      </c>
      <c r="AY102" s="2" t="n">
        <f aca="false">MIN(AY101+1,AX102+1,AX101+IF($A102=AY$4,0,1))</f>
        <v>91</v>
      </c>
      <c r="AZ102" s="2" t="n">
        <f aca="false">MIN(AZ101+1,AY102+1,AY101+IF($A102=AZ$4,0,1))</f>
        <v>91</v>
      </c>
      <c r="BA102" s="2" t="n">
        <f aca="false">MIN(BA101+1,AZ102+1,AZ101+IF($A102=BA$4,0,1))</f>
        <v>91</v>
      </c>
      <c r="BB102" s="2" t="n">
        <f aca="false">MIN(BB101+1,BA102+1,BA101+IF($A102=BB$4,0,1))</f>
        <v>91</v>
      </c>
      <c r="BC102" s="2" t="n">
        <f aca="false">MIN(BC101+1,BB102+1,BB101+IF($A102=BC$4,0,1))</f>
        <v>91</v>
      </c>
      <c r="BD102" s="2" t="n">
        <f aca="false">MIN(BD101+1,BC102+1,BC101+IF($A102=BD$4,0,1))</f>
        <v>91</v>
      </c>
      <c r="BE102" s="2" t="n">
        <f aca="false">MIN(BE101+1,BD102+1,BD101+IF($A102=BE$4,0,1))</f>
        <v>91</v>
      </c>
      <c r="BF102" s="2" t="n">
        <f aca="false">MIN(BF101+1,BE102+1,BE101+IF($A102=BF$4,0,1))</f>
        <v>91</v>
      </c>
      <c r="BG102" s="2" t="n">
        <f aca="false">MIN(BG101+1,BF102+1,BF101+IF($A102=BG$4,0,1))</f>
        <v>91</v>
      </c>
      <c r="BH102" s="2" t="n">
        <f aca="false">MIN(BH101+1,BG102+1,BG101+IF($A102=BH$4,0,1))</f>
        <v>91</v>
      </c>
      <c r="BI102" s="2" t="n">
        <f aca="false">MIN(BI101+1,BH102+1,BH101+IF($A102=BI$4,0,1))</f>
        <v>91</v>
      </c>
      <c r="BJ102" s="2" t="n">
        <f aca="false">MIN(BJ101+1,BI102+1,BI101+IF($A102=BJ$4,0,1))</f>
        <v>91</v>
      </c>
      <c r="BK102" s="2" t="n">
        <f aca="false">MIN(BK101+1,BJ102+1,BJ101+IF($A102=BK$4,0,1))</f>
        <v>92</v>
      </c>
      <c r="BL102" s="2" t="n">
        <f aca="false">MIN(BL101+1,BK102+1,BK101+IF($A102=BL$4,0,1))</f>
        <v>91</v>
      </c>
      <c r="BM102" s="2" t="n">
        <f aca="false">MIN(BM101+1,BL102+1,BL101+IF($A102=BM$4,0,1))</f>
        <v>91</v>
      </c>
      <c r="BN102" s="2" t="n">
        <f aca="false">MIN(BN101+1,BM102+1,BM101+IF($A102=BN$4,0,1))</f>
        <v>91</v>
      </c>
      <c r="BO102" s="2" t="n">
        <f aca="false">MIN(BO101+1,BN102+1,BN101+IF($A102=BO$4,0,1))</f>
        <v>91</v>
      </c>
      <c r="BP102" s="2" t="n">
        <f aca="false">MIN(BP101+1,BO102+1,BO101+IF($A102=BP$4,0,1))</f>
        <v>90</v>
      </c>
      <c r="BQ102" s="2" t="n">
        <f aca="false">MIN(BQ101+1,BP102+1,BP101+IF($A102=BQ$4,0,1))</f>
        <v>90</v>
      </c>
      <c r="BR102" s="2" t="n">
        <f aca="false">MIN(BR101+1,BQ102+1,BQ101+IF($A102=BR$4,0,1))</f>
        <v>90</v>
      </c>
      <c r="BS102" s="2" t="n">
        <f aca="false">MIN(BS101+1,BR102+1,BR101+IF($A102=BS$4,0,1))</f>
        <v>90</v>
      </c>
      <c r="BT102" s="2" t="n">
        <f aca="false">MIN(BT101+1,BS102+1,BS101+IF($A102=BT$4,0,1))</f>
        <v>90</v>
      </c>
      <c r="BU102" s="2" t="n">
        <f aca="false">MIN(BU101+1,BT102+1,BT101+IF($A102=BU$4,0,1))</f>
        <v>90</v>
      </c>
      <c r="BV102" s="2" t="n">
        <f aca="false">MIN(BV101+1,BU102+1,BU101+IF($A102=BV$4,0,1))</f>
        <v>91</v>
      </c>
      <c r="BW102" s="2" t="n">
        <f aca="false">MIN(BW101+1,BV102+1,BV101+IF($A102=BW$4,0,1))</f>
        <v>91</v>
      </c>
      <c r="BX102" s="2" t="n">
        <f aca="false">MIN(BX101+1,BW102+1,BW101+IF($A102=BX$4,0,1))</f>
        <v>91</v>
      </c>
      <c r="BY102" s="2" t="n">
        <f aca="false">MIN(BY101+1,BX102+1,BX101+IF($A102=BY$4,0,1))</f>
        <v>91</v>
      </c>
      <c r="BZ102" s="2" t="n">
        <f aca="false">MIN(BZ101+1,BY102+1,BY101+IF($A102=BZ$4,0,1))</f>
        <v>91</v>
      </c>
      <c r="CA102" s="2" t="n">
        <f aca="false">MIN(CA101+1,BZ102+1,BZ101+IF($A102=CA$4,0,1))</f>
        <v>91</v>
      </c>
      <c r="CB102" s="2" t="n">
        <f aca="false">MIN(CB101+1,CA102+1,CA101+IF($A102=CB$4,0,1))</f>
        <v>91</v>
      </c>
      <c r="CC102" s="2" t="n">
        <f aca="false">MIN(CC101+1,CB102+1,CB101+IF($A102=CC$4,0,1))</f>
        <v>91</v>
      </c>
      <c r="CD102" s="2" t="n">
        <f aca="false">MIN(CD101+1,CC102+1,CC101+IF($A102=CD$4,0,1))</f>
        <v>91</v>
      </c>
      <c r="CE102" s="2" t="n">
        <f aca="false">MIN(CE101+1,CD102+1,CD101+IF($A102=CE$4,0,1))</f>
        <v>91</v>
      </c>
      <c r="CF102" s="2" t="n">
        <f aca="false">MIN(CF101+1,CE102+1,CE101+IF($A102=CF$4,0,1))</f>
        <v>91</v>
      </c>
      <c r="CG102" s="2" t="n">
        <f aca="false">MIN(CG101+1,CF102+1,CF101+IF($A102=CG$4,0,1))</f>
        <v>92</v>
      </c>
      <c r="CH102" s="2" t="n">
        <f aca="false">MIN(CH101+1,CG102+1,CG101+IF($A102=CH$4,0,1))</f>
        <v>92</v>
      </c>
      <c r="CI102" s="2" t="n">
        <f aca="false">MIN(CI101+1,CH102+1,CH101+IF($A102=CI$4,0,1))</f>
        <v>92</v>
      </c>
      <c r="CJ102" s="2" t="n">
        <f aca="false">MIN(CJ101+1,CI102+1,CI101+IF($A102=CJ$4,0,1))</f>
        <v>93</v>
      </c>
      <c r="CK102" s="2" t="n">
        <f aca="false">MIN(CK101+1,CJ102+1,CJ101+IF($A102=CK$4,0,1))</f>
        <v>93</v>
      </c>
      <c r="CL102" s="2" t="n">
        <f aca="false">MIN(CL101+1,CK102+1,CK101+IF($A102=CL$4,0,1))</f>
        <v>93</v>
      </c>
      <c r="CM102" s="2" t="n">
        <f aca="false">MIN(CM101+1,CL102+1,CL101+IF($A102=CM$4,0,1))</f>
        <v>93</v>
      </c>
      <c r="CN102" s="2" t="n">
        <f aca="false">MIN(CN101+1,CM102+1,CM101+IF($A102=CN$4,0,1))</f>
        <v>93</v>
      </c>
      <c r="CO102" s="2" t="n">
        <f aca="false">MIN(CO101+1,CN102+1,CN101+IF($A102=CO$4,0,1))</f>
        <v>93</v>
      </c>
      <c r="CP102" s="2" t="n">
        <f aca="false">MIN(CP101+1,CO102+1,CO101+IF($A102=CP$4,0,1))</f>
        <v>94</v>
      </c>
      <c r="CQ102" s="2" t="n">
        <f aca="false">MIN(CQ101+1,CP102+1,CP101+IF($A102=CQ$4,0,1))</f>
        <v>94</v>
      </c>
    </row>
    <row r="103" customFormat="false" ht="15" hidden="false" customHeight="false" outlineLevel="0" collapsed="false">
      <c r="A103" s="4" t="s">
        <v>205</v>
      </c>
      <c r="B103" s="12" t="n">
        <v>98</v>
      </c>
      <c r="C103" s="2" t="n">
        <f aca="false">MIN(C102+1,B103+1,B102+IF($A103=C$4,0,1))</f>
        <v>98</v>
      </c>
      <c r="D103" s="2" t="n">
        <f aca="false">MIN(D102+1,C103+1,C102+IF($A103=D$4,0,1))</f>
        <v>97</v>
      </c>
      <c r="E103" s="2" t="n">
        <f aca="false">MIN(E102+1,D103+1,D102+IF($A103=E$4,0,1))</f>
        <v>96</v>
      </c>
      <c r="F103" s="2" t="n">
        <f aca="false">MIN(F102+1,E103+1,E102+IF($A103=F$4,0,1))</f>
        <v>95</v>
      </c>
      <c r="G103" s="2" t="n">
        <f aca="false">MIN(G102+1,F103+1,F102+IF($A103=G$4,0,1))</f>
        <v>94</v>
      </c>
      <c r="H103" s="2" t="n">
        <f aca="false">MIN(H102+1,G103+1,G102+IF($A103=H$4,0,1))</f>
        <v>94</v>
      </c>
      <c r="I103" s="2" t="n">
        <f aca="false">MIN(I102+1,H103+1,H102+IF($A103=I$4,0,1))</f>
        <v>94</v>
      </c>
      <c r="J103" s="2" t="n">
        <f aca="false">MIN(J102+1,I103+1,I102+IF($A103=J$4,0,1))</f>
        <v>94</v>
      </c>
      <c r="K103" s="2" t="n">
        <f aca="false">MIN(K102+1,J103+1,J102+IF($A103=K$4,0,1))</f>
        <v>93</v>
      </c>
      <c r="L103" s="2" t="n">
        <f aca="false">MIN(L102+1,K103+1,K102+IF($A103=L$4,0,1))</f>
        <v>93</v>
      </c>
      <c r="M103" s="2" t="n">
        <f aca="false">MIN(M102+1,L103+1,L102+IF($A103=M$4,0,1))</f>
        <v>93</v>
      </c>
      <c r="N103" s="2" t="n">
        <f aca="false">MIN(N102+1,M103+1,M102+IF($A103=N$4,0,1))</f>
        <v>93</v>
      </c>
      <c r="O103" s="2" t="n">
        <f aca="false">MIN(O102+1,N103+1,N102+IF($A103=O$4,0,1))</f>
        <v>92</v>
      </c>
      <c r="P103" s="2" t="n">
        <f aca="false">MIN(P102+1,O103+1,O102+IF($A103=P$4,0,1))</f>
        <v>92</v>
      </c>
      <c r="Q103" s="2" t="n">
        <f aca="false">MIN(Q102+1,P103+1,P102+IF($A103=Q$4,0,1))</f>
        <v>92</v>
      </c>
      <c r="R103" s="2" t="n">
        <f aca="false">MIN(R102+1,Q103+1,Q102+IF($A103=R$4,0,1))</f>
        <v>92</v>
      </c>
      <c r="S103" s="2" t="n">
        <f aca="false">MIN(S102+1,R103+1,R102+IF($A103=S$4,0,1))</f>
        <v>92</v>
      </c>
      <c r="T103" s="2" t="n">
        <f aca="false">MIN(T102+1,S103+1,S102+IF($A103=T$4,0,1))</f>
        <v>92</v>
      </c>
      <c r="U103" s="2" t="n">
        <f aca="false">MIN(U102+1,T103+1,T102+IF($A103=U$4,0,1))</f>
        <v>92</v>
      </c>
      <c r="V103" s="2" t="n">
        <f aca="false">MIN(V102+1,U103+1,U102+IF($A103=V$4,0,1))</f>
        <v>92</v>
      </c>
      <c r="W103" s="2" t="n">
        <f aca="false">MIN(W102+1,V103+1,V102+IF($A103=W$4,0,1))</f>
        <v>92</v>
      </c>
      <c r="X103" s="2" t="n">
        <f aca="false">MIN(X102+1,W103+1,W102+IF($A103=X$4,0,1))</f>
        <v>92</v>
      </c>
      <c r="Y103" s="2" t="n">
        <f aca="false">MIN(Y102+1,X103+1,X102+IF($A103=Y$4,0,1))</f>
        <v>92</v>
      </c>
      <c r="Z103" s="2" t="n">
        <f aca="false">MIN(Z102+1,Y103+1,Y102+IF($A103=Z$4,0,1))</f>
        <v>92</v>
      </c>
      <c r="AA103" s="2" t="n">
        <f aca="false">MIN(AA102+1,Z103+1,Z102+IF($A103=AA$4,0,1))</f>
        <v>92</v>
      </c>
      <c r="AB103" s="2" t="n">
        <f aca="false">MIN(AB102+1,AA103+1,AA102+IF($A103=AB$4,0,1))</f>
        <v>92</v>
      </c>
      <c r="AC103" s="2" t="n">
        <f aca="false">MIN(AC102+1,AB103+1,AB102+IF($A103=AC$4,0,1))</f>
        <v>92</v>
      </c>
      <c r="AD103" s="2" t="n">
        <f aca="false">MIN(AD102+1,AC103+1,AC102+IF($A103=AD$4,0,1))</f>
        <v>91</v>
      </c>
      <c r="AE103" s="2" t="n">
        <f aca="false">MIN(AE102+1,AD103+1,AD102+IF($A103=AE$4,0,1))</f>
        <v>91</v>
      </c>
      <c r="AF103" s="2" t="n">
        <f aca="false">MIN(AF102+1,AE103+1,AE102+IF($A103=AF$4,0,1))</f>
        <v>91</v>
      </c>
      <c r="AG103" s="2" t="n">
        <f aca="false">MIN(AG102+1,AF103+1,AF102+IF($A103=AG$4,0,1))</f>
        <v>91</v>
      </c>
      <c r="AH103" s="2" t="n">
        <f aca="false">MIN(AH102+1,AG103+1,AG102+IF($A103=AH$4,0,1))</f>
        <v>91</v>
      </c>
      <c r="AI103" s="2" t="n">
        <f aca="false">MIN(AI102+1,AH103+1,AH102+IF($A103=AI$4,0,1))</f>
        <v>91</v>
      </c>
      <c r="AJ103" s="2" t="n">
        <f aca="false">MIN(AJ102+1,AI103+1,AI102+IF($A103=AJ$4,0,1))</f>
        <v>91</v>
      </c>
      <c r="AK103" s="2" t="n">
        <f aca="false">MIN(AK102+1,AJ103+1,AJ102+IF($A103=AK$4,0,1))</f>
        <v>91</v>
      </c>
      <c r="AL103" s="2" t="n">
        <f aca="false">MIN(AL102+1,AK103+1,AK102+IF($A103=AL$4,0,1))</f>
        <v>91</v>
      </c>
      <c r="AM103" s="2" t="n">
        <f aca="false">MIN(AM102+1,AL103+1,AL102+IF($A103=AM$4,0,1))</f>
        <v>91</v>
      </c>
      <c r="AN103" s="2" t="n">
        <f aca="false">MIN(AN102+1,AM103+1,AM102+IF($A103=AN$4,0,1))</f>
        <v>91</v>
      </c>
      <c r="AO103" s="2" t="n">
        <f aca="false">MIN(AO102+1,AN103+1,AN102+IF($A103=AO$4,0,1))</f>
        <v>91</v>
      </c>
      <c r="AP103" s="2" t="n">
        <f aca="false">MIN(AP102+1,AO103+1,AO102+IF($A103=AP$4,0,1))</f>
        <v>91</v>
      </c>
      <c r="AQ103" s="2" t="n">
        <f aca="false">MIN(AQ102+1,AP103+1,AP102+IF($A103=AQ$4,0,1))</f>
        <v>91</v>
      </c>
      <c r="AR103" s="2" t="n">
        <f aca="false">MIN(AR102+1,AQ103+1,AQ102+IF($A103=AR$4,0,1))</f>
        <v>91</v>
      </c>
      <c r="AS103" s="2" t="n">
        <f aca="false">MIN(AS102+1,AR103+1,AR102+IF($A103=AS$4,0,1))</f>
        <v>92</v>
      </c>
      <c r="AT103" s="2" t="n">
        <f aca="false">MIN(AT102+1,AS103+1,AS102+IF($A103=AT$4,0,1))</f>
        <v>92</v>
      </c>
      <c r="AU103" s="2" t="n">
        <f aca="false">MIN(AU102+1,AT103+1,AT102+IF($A103=AU$4,0,1))</f>
        <v>92</v>
      </c>
      <c r="AV103" s="2" t="n">
        <f aca="false">MIN(AV102+1,AU103+1,AU102+IF($A103=AV$4,0,1))</f>
        <v>92</v>
      </c>
      <c r="AW103" s="2" t="n">
        <f aca="false">MIN(AW102+1,AV103+1,AV102+IF($A103=AW$4,0,1))</f>
        <v>92</v>
      </c>
      <c r="AX103" s="2" t="n">
        <f aca="false">MIN(AX102+1,AW103+1,AW102+IF($A103=AX$4,0,1))</f>
        <v>92</v>
      </c>
      <c r="AY103" s="2" t="n">
        <f aca="false">MIN(AY102+1,AX103+1,AX102+IF($A103=AY$4,0,1))</f>
        <v>92</v>
      </c>
      <c r="AZ103" s="2" t="n">
        <f aca="false">MIN(AZ102+1,AY103+1,AY102+IF($A103=AZ$4,0,1))</f>
        <v>92</v>
      </c>
      <c r="BA103" s="2" t="n">
        <f aca="false">MIN(BA102+1,AZ103+1,AZ102+IF($A103=BA$4,0,1))</f>
        <v>92</v>
      </c>
      <c r="BB103" s="2" t="n">
        <f aca="false">MIN(BB102+1,BA103+1,BA102+IF($A103=BB$4,0,1))</f>
        <v>92</v>
      </c>
      <c r="BC103" s="2" t="n">
        <f aca="false">MIN(BC102+1,BB103+1,BB102+IF($A103=BC$4,0,1))</f>
        <v>92</v>
      </c>
      <c r="BD103" s="2" t="n">
        <f aca="false">MIN(BD102+1,BC103+1,BC102+IF($A103=BD$4,0,1))</f>
        <v>92</v>
      </c>
      <c r="BE103" s="2" t="n">
        <f aca="false">MIN(BE102+1,BD103+1,BD102+IF($A103=BE$4,0,1))</f>
        <v>92</v>
      </c>
      <c r="BF103" s="2" t="n">
        <f aca="false">MIN(BF102+1,BE103+1,BE102+IF($A103=BF$4,0,1))</f>
        <v>92</v>
      </c>
      <c r="BG103" s="2" t="n">
        <f aca="false">MIN(BG102+1,BF103+1,BF102+IF($A103=BG$4,0,1))</f>
        <v>92</v>
      </c>
      <c r="BH103" s="2" t="n">
        <f aca="false">MIN(BH102+1,BG103+1,BG102+IF($A103=BH$4,0,1))</f>
        <v>92</v>
      </c>
      <c r="BI103" s="2" t="n">
        <f aca="false">MIN(BI102+1,BH103+1,BH102+IF($A103=BI$4,0,1))</f>
        <v>92</v>
      </c>
      <c r="BJ103" s="2" t="n">
        <f aca="false">MIN(BJ102+1,BI103+1,BI102+IF($A103=BJ$4,0,1))</f>
        <v>92</v>
      </c>
      <c r="BK103" s="2" t="n">
        <f aca="false">MIN(BK102+1,BJ103+1,BJ102+IF($A103=BK$4,0,1))</f>
        <v>92</v>
      </c>
      <c r="BL103" s="2" t="n">
        <f aca="false">MIN(BL102+1,BK103+1,BK102+IF($A103=BL$4,0,1))</f>
        <v>92</v>
      </c>
      <c r="BM103" s="2" t="n">
        <f aca="false">MIN(BM102+1,BL103+1,BL102+IF($A103=BM$4,0,1))</f>
        <v>92</v>
      </c>
      <c r="BN103" s="2" t="n">
        <f aca="false">MIN(BN102+1,BM103+1,BM102+IF($A103=BN$4,0,1))</f>
        <v>92</v>
      </c>
      <c r="BO103" s="2" t="n">
        <f aca="false">MIN(BO102+1,BN103+1,BN102+IF($A103=BO$4,0,1))</f>
        <v>92</v>
      </c>
      <c r="BP103" s="2" t="n">
        <f aca="false">MIN(BP102+1,BO103+1,BO102+IF($A103=BP$4,0,1))</f>
        <v>91</v>
      </c>
      <c r="BQ103" s="2" t="n">
        <f aca="false">MIN(BQ102+1,BP103+1,BP102+IF($A103=BQ$4,0,1))</f>
        <v>91</v>
      </c>
      <c r="BR103" s="2" t="n">
        <f aca="false">MIN(BR102+1,BQ103+1,BQ102+IF($A103=BR$4,0,1))</f>
        <v>91</v>
      </c>
      <c r="BS103" s="2" t="n">
        <f aca="false">MIN(BS102+1,BR103+1,BR102+IF($A103=BS$4,0,1))</f>
        <v>91</v>
      </c>
      <c r="BT103" s="2" t="n">
        <f aca="false">MIN(BT102+1,BS103+1,BS102+IF($A103=BT$4,0,1))</f>
        <v>91</v>
      </c>
      <c r="BU103" s="2" t="n">
        <f aca="false">MIN(BU102+1,BT103+1,BT102+IF($A103=BU$4,0,1))</f>
        <v>91</v>
      </c>
      <c r="BV103" s="2" t="n">
        <f aca="false">MIN(BV102+1,BU103+1,BU102+IF($A103=BV$4,0,1))</f>
        <v>91</v>
      </c>
      <c r="BW103" s="2" t="n">
        <f aca="false">MIN(BW102+1,BV103+1,BV102+IF($A103=BW$4,0,1))</f>
        <v>92</v>
      </c>
      <c r="BX103" s="2" t="n">
        <f aca="false">MIN(BX102+1,BW103+1,BW102+IF($A103=BX$4,0,1))</f>
        <v>92</v>
      </c>
      <c r="BY103" s="2" t="n">
        <f aca="false">MIN(BY102+1,BX103+1,BX102+IF($A103=BY$4,0,1))</f>
        <v>92</v>
      </c>
      <c r="BZ103" s="2" t="n">
        <f aca="false">MIN(BZ102+1,BY103+1,BY102+IF($A103=BZ$4,0,1))</f>
        <v>92</v>
      </c>
      <c r="CA103" s="2" t="n">
        <f aca="false">MIN(CA102+1,BZ103+1,BZ102+IF($A103=CA$4,0,1))</f>
        <v>92</v>
      </c>
      <c r="CB103" s="2" t="n">
        <f aca="false">MIN(CB102+1,CA103+1,CA102+IF($A103=CB$4,0,1))</f>
        <v>92</v>
      </c>
      <c r="CC103" s="2" t="n">
        <f aca="false">MIN(CC102+1,CB103+1,CB102+IF($A103=CC$4,0,1))</f>
        <v>92</v>
      </c>
      <c r="CD103" s="2" t="n">
        <f aca="false">MIN(CD102+1,CC103+1,CC102+IF($A103=CD$4,0,1))</f>
        <v>92</v>
      </c>
      <c r="CE103" s="2" t="n">
        <f aca="false">MIN(CE102+1,CD103+1,CD102+IF($A103=CE$4,0,1))</f>
        <v>92</v>
      </c>
      <c r="CF103" s="2" t="n">
        <f aca="false">MIN(CF102+1,CE103+1,CE102+IF($A103=CF$4,0,1))</f>
        <v>92</v>
      </c>
      <c r="CG103" s="2" t="n">
        <f aca="false">MIN(CG102+1,CF103+1,CF102+IF($A103=CG$4,0,1))</f>
        <v>92</v>
      </c>
      <c r="CH103" s="2" t="n">
        <f aca="false">MIN(CH102+1,CG103+1,CG102+IF($A103=CH$4,0,1))</f>
        <v>93</v>
      </c>
      <c r="CI103" s="2" t="n">
        <f aca="false">MIN(CI102+1,CH103+1,CH102+IF($A103=CI$4,0,1))</f>
        <v>93</v>
      </c>
      <c r="CJ103" s="2" t="n">
        <f aca="false">MIN(CJ102+1,CI103+1,CI102+IF($A103=CJ$4,0,1))</f>
        <v>93</v>
      </c>
      <c r="CK103" s="2" t="n">
        <f aca="false">MIN(CK102+1,CJ103+1,CJ102+IF($A103=CK$4,0,1))</f>
        <v>94</v>
      </c>
      <c r="CL103" s="2" t="n">
        <f aca="false">MIN(CL102+1,CK103+1,CK102+IF($A103=CL$4,0,1))</f>
        <v>94</v>
      </c>
      <c r="CM103" s="2" t="n">
        <f aca="false">MIN(CM102+1,CL103+1,CL102+IF($A103=CM$4,0,1))</f>
        <v>94</v>
      </c>
      <c r="CN103" s="2" t="n">
        <f aca="false">MIN(CN102+1,CM103+1,CM102+IF($A103=CN$4,0,1))</f>
        <v>94</v>
      </c>
      <c r="CO103" s="2" t="n">
        <f aca="false">MIN(CO102+1,CN103+1,CN102+IF($A103=CO$4,0,1))</f>
        <v>94</v>
      </c>
      <c r="CP103" s="2" t="n">
        <f aca="false">MIN(CP102+1,CO103+1,CO102+IF($A103=CP$4,0,1))</f>
        <v>94</v>
      </c>
      <c r="CQ103" s="2" t="n">
        <f aca="false">MIN(CQ102+1,CP103+1,CP102+IF($A103=CQ$4,0,1))</f>
        <v>95</v>
      </c>
    </row>
    <row r="104" customFormat="false" ht="15" hidden="false" customHeight="false" outlineLevel="0" collapsed="false">
      <c r="A104" s="4" t="s">
        <v>206</v>
      </c>
      <c r="B104" s="12" t="n">
        <v>99</v>
      </c>
      <c r="C104" s="2" t="n">
        <f aca="false">MIN(C103+1,B104+1,B103+IF($A104=C$4,0,1))</f>
        <v>99</v>
      </c>
      <c r="D104" s="2" t="n">
        <f aca="false">MIN(D103+1,C104+1,C103+IF($A104=D$4,0,1))</f>
        <v>98</v>
      </c>
      <c r="E104" s="2" t="n">
        <f aca="false">MIN(E103+1,D104+1,D103+IF($A104=E$4,0,1))</f>
        <v>97</v>
      </c>
      <c r="F104" s="2" t="n">
        <f aca="false">MIN(F103+1,E104+1,E103+IF($A104=F$4,0,1))</f>
        <v>96</v>
      </c>
      <c r="G104" s="2" t="n">
        <f aca="false">MIN(G103+1,F104+1,F103+IF($A104=G$4,0,1))</f>
        <v>95</v>
      </c>
      <c r="H104" s="2" t="n">
        <f aca="false">MIN(H103+1,G104+1,G103+IF($A104=H$4,0,1))</f>
        <v>95</v>
      </c>
      <c r="I104" s="2" t="n">
        <f aca="false">MIN(I103+1,H104+1,H103+IF($A104=I$4,0,1))</f>
        <v>95</v>
      </c>
      <c r="J104" s="2" t="n">
        <f aca="false">MIN(J103+1,I104+1,I103+IF($A104=J$4,0,1))</f>
        <v>95</v>
      </c>
      <c r="K104" s="2" t="n">
        <f aca="false">MIN(K103+1,J104+1,J103+IF($A104=K$4,0,1))</f>
        <v>94</v>
      </c>
      <c r="L104" s="2" t="n">
        <f aca="false">MIN(L103+1,K104+1,K103+IF($A104=L$4,0,1))</f>
        <v>94</v>
      </c>
      <c r="M104" s="2" t="n">
        <f aca="false">MIN(M103+1,L104+1,L103+IF($A104=M$4,0,1))</f>
        <v>94</v>
      </c>
      <c r="N104" s="2" t="n">
        <f aca="false">MIN(N103+1,M104+1,M103+IF($A104=N$4,0,1))</f>
        <v>94</v>
      </c>
      <c r="O104" s="2" t="n">
        <f aca="false">MIN(O103+1,N104+1,N103+IF($A104=O$4,0,1))</f>
        <v>93</v>
      </c>
      <c r="P104" s="2" t="n">
        <f aca="false">MIN(P103+1,O104+1,O103+IF($A104=P$4,0,1))</f>
        <v>93</v>
      </c>
      <c r="Q104" s="2" t="n">
        <f aca="false">MIN(Q103+1,P104+1,P103+IF($A104=Q$4,0,1))</f>
        <v>93</v>
      </c>
      <c r="R104" s="2" t="n">
        <f aca="false">MIN(R103+1,Q104+1,Q103+IF($A104=R$4,0,1))</f>
        <v>93</v>
      </c>
      <c r="S104" s="2" t="n">
        <f aca="false">MIN(S103+1,R104+1,R103+IF($A104=S$4,0,1))</f>
        <v>93</v>
      </c>
      <c r="T104" s="2" t="n">
        <f aca="false">MIN(T103+1,S104+1,S103+IF($A104=T$4,0,1))</f>
        <v>93</v>
      </c>
      <c r="U104" s="2" t="n">
        <f aca="false">MIN(U103+1,T104+1,T103+IF($A104=U$4,0,1))</f>
        <v>93</v>
      </c>
      <c r="V104" s="2" t="n">
        <f aca="false">MIN(V103+1,U104+1,U103+IF($A104=V$4,0,1))</f>
        <v>93</v>
      </c>
      <c r="W104" s="2" t="n">
        <f aca="false">MIN(W103+1,V104+1,V103+IF($A104=W$4,0,1))</f>
        <v>93</v>
      </c>
      <c r="X104" s="2" t="n">
        <f aca="false">MIN(X103+1,W104+1,W103+IF($A104=X$4,0,1))</f>
        <v>93</v>
      </c>
      <c r="Y104" s="2" t="n">
        <f aca="false">MIN(Y103+1,X104+1,X103+IF($A104=Y$4,0,1))</f>
        <v>93</v>
      </c>
      <c r="Z104" s="2" t="n">
        <f aca="false">MIN(Z103+1,Y104+1,Y103+IF($A104=Z$4,0,1))</f>
        <v>93</v>
      </c>
      <c r="AA104" s="2" t="n">
        <f aca="false">MIN(AA103+1,Z104+1,Z103+IF($A104=AA$4,0,1))</f>
        <v>93</v>
      </c>
      <c r="AB104" s="2" t="n">
        <f aca="false">MIN(AB103+1,AA104+1,AA103+IF($A104=AB$4,0,1))</f>
        <v>93</v>
      </c>
      <c r="AC104" s="2" t="n">
        <f aca="false">MIN(AC103+1,AB104+1,AB103+IF($A104=AC$4,0,1))</f>
        <v>93</v>
      </c>
      <c r="AD104" s="2" t="n">
        <f aca="false">MIN(AD103+1,AC104+1,AC103+IF($A104=AD$4,0,1))</f>
        <v>92</v>
      </c>
      <c r="AE104" s="2" t="n">
        <f aca="false">MIN(AE103+1,AD104+1,AD103+IF($A104=AE$4,0,1))</f>
        <v>92</v>
      </c>
      <c r="AF104" s="2" t="n">
        <f aca="false">MIN(AF103+1,AE104+1,AE103+IF($A104=AF$4,0,1))</f>
        <v>92</v>
      </c>
      <c r="AG104" s="2" t="n">
        <f aca="false">MIN(AG103+1,AF104+1,AF103+IF($A104=AG$4,0,1))</f>
        <v>92</v>
      </c>
      <c r="AH104" s="2" t="n">
        <f aca="false">MIN(AH103+1,AG104+1,AG103+IF($A104=AH$4,0,1))</f>
        <v>92</v>
      </c>
      <c r="AI104" s="2" t="n">
        <f aca="false">MIN(AI103+1,AH104+1,AH103+IF($A104=AI$4,0,1))</f>
        <v>92</v>
      </c>
      <c r="AJ104" s="2" t="n">
        <f aca="false">MIN(AJ103+1,AI104+1,AI103+IF($A104=AJ$4,0,1))</f>
        <v>92</v>
      </c>
      <c r="AK104" s="2" t="n">
        <f aca="false">MIN(AK103+1,AJ104+1,AJ103+IF($A104=AK$4,0,1))</f>
        <v>92</v>
      </c>
      <c r="AL104" s="2" t="n">
        <f aca="false">MIN(AL103+1,AK104+1,AK103+IF($A104=AL$4,0,1))</f>
        <v>92</v>
      </c>
      <c r="AM104" s="2" t="n">
        <f aca="false">MIN(AM103+1,AL104+1,AL103+IF($A104=AM$4,0,1))</f>
        <v>92</v>
      </c>
      <c r="AN104" s="2" t="n">
        <f aca="false">MIN(AN103+1,AM104+1,AM103+IF($A104=AN$4,0,1))</f>
        <v>92</v>
      </c>
      <c r="AO104" s="2" t="n">
        <f aca="false">MIN(AO103+1,AN104+1,AN103+IF($A104=AO$4,0,1))</f>
        <v>92</v>
      </c>
      <c r="AP104" s="2" t="n">
        <f aca="false">MIN(AP103+1,AO104+1,AO103+IF($A104=AP$4,0,1))</f>
        <v>92</v>
      </c>
      <c r="AQ104" s="2" t="n">
        <f aca="false">MIN(AQ103+1,AP104+1,AP103+IF($A104=AQ$4,0,1))</f>
        <v>92</v>
      </c>
      <c r="AR104" s="2" t="n">
        <f aca="false">MIN(AR103+1,AQ104+1,AQ103+IF($A104=AR$4,0,1))</f>
        <v>92</v>
      </c>
      <c r="AS104" s="2" t="n">
        <f aca="false">MIN(AS103+1,AR104+1,AR103+IF($A104=AS$4,0,1))</f>
        <v>92</v>
      </c>
      <c r="AT104" s="2" t="n">
        <f aca="false">MIN(AT103+1,AS104+1,AS103+IF($A104=AT$4,0,1))</f>
        <v>93</v>
      </c>
      <c r="AU104" s="2" t="n">
        <f aca="false">MIN(AU103+1,AT104+1,AT103+IF($A104=AU$4,0,1))</f>
        <v>93</v>
      </c>
      <c r="AV104" s="2" t="n">
        <f aca="false">MIN(AV103+1,AU104+1,AU103+IF($A104=AV$4,0,1))</f>
        <v>93</v>
      </c>
      <c r="AW104" s="2" t="n">
        <f aca="false">MIN(AW103+1,AV104+1,AV103+IF($A104=AW$4,0,1))</f>
        <v>93</v>
      </c>
      <c r="AX104" s="2" t="n">
        <f aca="false">MIN(AX103+1,AW104+1,AW103+IF($A104=AX$4,0,1))</f>
        <v>93</v>
      </c>
      <c r="AY104" s="2" t="n">
        <f aca="false">MIN(AY103+1,AX104+1,AX103+IF($A104=AY$4,0,1))</f>
        <v>93</v>
      </c>
      <c r="AZ104" s="2" t="n">
        <f aca="false">MIN(AZ103+1,AY104+1,AY103+IF($A104=AZ$4,0,1))</f>
        <v>93</v>
      </c>
      <c r="BA104" s="2" t="n">
        <f aca="false">MIN(BA103+1,AZ104+1,AZ103+IF($A104=BA$4,0,1))</f>
        <v>93</v>
      </c>
      <c r="BB104" s="2" t="n">
        <f aca="false">MIN(BB103+1,BA104+1,BA103+IF($A104=BB$4,0,1))</f>
        <v>93</v>
      </c>
      <c r="BC104" s="2" t="n">
        <f aca="false">MIN(BC103+1,BB104+1,BB103+IF($A104=BC$4,0,1))</f>
        <v>93</v>
      </c>
      <c r="BD104" s="2" t="n">
        <f aca="false">MIN(BD103+1,BC104+1,BC103+IF($A104=BD$4,0,1))</f>
        <v>93</v>
      </c>
      <c r="BE104" s="2" t="n">
        <f aca="false">MIN(BE103+1,BD104+1,BD103+IF($A104=BE$4,0,1))</f>
        <v>93</v>
      </c>
      <c r="BF104" s="2" t="n">
        <f aca="false">MIN(BF103+1,BE104+1,BE103+IF($A104=BF$4,0,1))</f>
        <v>93</v>
      </c>
      <c r="BG104" s="2" t="n">
        <f aca="false">MIN(BG103+1,BF104+1,BF103+IF($A104=BG$4,0,1))</f>
        <v>93</v>
      </c>
      <c r="BH104" s="2" t="n">
        <f aca="false">MIN(BH103+1,BG104+1,BG103+IF($A104=BH$4,0,1))</f>
        <v>93</v>
      </c>
      <c r="BI104" s="2" t="n">
        <f aca="false">MIN(BI103+1,BH104+1,BH103+IF($A104=BI$4,0,1))</f>
        <v>93</v>
      </c>
      <c r="BJ104" s="2" t="n">
        <f aca="false">MIN(BJ103+1,BI104+1,BI103+IF($A104=BJ$4,0,1))</f>
        <v>93</v>
      </c>
      <c r="BK104" s="2" t="n">
        <f aca="false">MIN(BK103+1,BJ104+1,BJ103+IF($A104=BK$4,0,1))</f>
        <v>93</v>
      </c>
      <c r="BL104" s="2" t="n">
        <f aca="false">MIN(BL103+1,BK104+1,BK103+IF($A104=BL$4,0,1))</f>
        <v>93</v>
      </c>
      <c r="BM104" s="2" t="n">
        <f aca="false">MIN(BM103+1,BL104+1,BL103+IF($A104=BM$4,0,1))</f>
        <v>93</v>
      </c>
      <c r="BN104" s="2" t="n">
        <f aca="false">MIN(BN103+1,BM104+1,BM103+IF($A104=BN$4,0,1))</f>
        <v>93</v>
      </c>
      <c r="BO104" s="2" t="n">
        <f aca="false">MIN(BO103+1,BN104+1,BN103+IF($A104=BO$4,0,1))</f>
        <v>93</v>
      </c>
      <c r="BP104" s="2" t="n">
        <f aca="false">MIN(BP103+1,BO104+1,BO103+IF($A104=BP$4,0,1))</f>
        <v>92</v>
      </c>
      <c r="BQ104" s="2" t="n">
        <f aca="false">MIN(BQ103+1,BP104+1,BP103+IF($A104=BQ$4,0,1))</f>
        <v>92</v>
      </c>
      <c r="BR104" s="2" t="n">
        <f aca="false">MIN(BR103+1,BQ104+1,BQ103+IF($A104=BR$4,0,1))</f>
        <v>92</v>
      </c>
      <c r="BS104" s="2" t="n">
        <f aca="false">MIN(BS103+1,BR104+1,BR103+IF($A104=BS$4,0,1))</f>
        <v>92</v>
      </c>
      <c r="BT104" s="2" t="n">
        <f aca="false">MIN(BT103+1,BS104+1,BS103+IF($A104=BT$4,0,1))</f>
        <v>92</v>
      </c>
      <c r="BU104" s="2" t="n">
        <f aca="false">MIN(BU103+1,BT104+1,BT103+IF($A104=BU$4,0,1))</f>
        <v>92</v>
      </c>
      <c r="BV104" s="2" t="n">
        <f aca="false">MIN(BV103+1,BU104+1,BU103+IF($A104=BV$4,0,1))</f>
        <v>92</v>
      </c>
      <c r="BW104" s="2" t="n">
        <f aca="false">MIN(BW103+1,BV104+1,BV103+IF($A104=BW$4,0,1))</f>
        <v>92</v>
      </c>
      <c r="BX104" s="2" t="n">
        <f aca="false">MIN(BX103+1,BW104+1,BW103+IF($A104=BX$4,0,1))</f>
        <v>93</v>
      </c>
      <c r="BY104" s="2" t="n">
        <f aca="false">MIN(BY103+1,BX104+1,BX103+IF($A104=BY$4,0,1))</f>
        <v>93</v>
      </c>
      <c r="BZ104" s="2" t="n">
        <f aca="false">MIN(BZ103+1,BY104+1,BY103+IF($A104=BZ$4,0,1))</f>
        <v>93</v>
      </c>
      <c r="CA104" s="2" t="n">
        <f aca="false">MIN(CA103+1,BZ104+1,BZ103+IF($A104=CA$4,0,1))</f>
        <v>93</v>
      </c>
      <c r="CB104" s="2" t="n">
        <f aca="false">MIN(CB103+1,CA104+1,CA103+IF($A104=CB$4,0,1))</f>
        <v>93</v>
      </c>
      <c r="CC104" s="2" t="n">
        <f aca="false">MIN(CC103+1,CB104+1,CB103+IF($A104=CC$4,0,1))</f>
        <v>93</v>
      </c>
      <c r="CD104" s="2" t="n">
        <f aca="false">MIN(CD103+1,CC104+1,CC103+IF($A104=CD$4,0,1))</f>
        <v>93</v>
      </c>
      <c r="CE104" s="2" t="n">
        <f aca="false">MIN(CE103+1,CD104+1,CD103+IF($A104=CE$4,0,1))</f>
        <v>93</v>
      </c>
      <c r="CF104" s="2" t="n">
        <f aca="false">MIN(CF103+1,CE104+1,CE103+IF($A104=CF$4,0,1))</f>
        <v>93</v>
      </c>
      <c r="CG104" s="2" t="n">
        <f aca="false">MIN(CG103+1,CF104+1,CF103+IF($A104=CG$4,0,1))</f>
        <v>93</v>
      </c>
      <c r="CH104" s="2" t="n">
        <f aca="false">MIN(CH103+1,CG104+1,CG103+IF($A104=CH$4,0,1))</f>
        <v>93</v>
      </c>
      <c r="CI104" s="2" t="n">
        <f aca="false">MIN(CI103+1,CH104+1,CH103+IF($A104=CI$4,0,1))</f>
        <v>94</v>
      </c>
      <c r="CJ104" s="2" t="n">
        <f aca="false">MIN(CJ103+1,CI104+1,CI103+IF($A104=CJ$4,0,1))</f>
        <v>94</v>
      </c>
      <c r="CK104" s="2" t="n">
        <f aca="false">MIN(CK103+1,CJ104+1,CJ103+IF($A104=CK$4,0,1))</f>
        <v>94</v>
      </c>
      <c r="CL104" s="2" t="n">
        <f aca="false">MIN(CL103+1,CK104+1,CK103+IF($A104=CL$4,0,1))</f>
        <v>95</v>
      </c>
      <c r="CM104" s="2" t="n">
        <f aca="false">MIN(CM103+1,CL104+1,CL103+IF($A104=CM$4,0,1))</f>
        <v>95</v>
      </c>
      <c r="CN104" s="2" t="n">
        <f aca="false">MIN(CN103+1,CM104+1,CM103+IF($A104=CN$4,0,1))</f>
        <v>95</v>
      </c>
      <c r="CO104" s="2" t="n">
        <f aca="false">MIN(CO103+1,CN104+1,CN103+IF($A104=CO$4,0,1))</f>
        <v>95</v>
      </c>
      <c r="CP104" s="2" t="n">
        <f aca="false">MIN(CP103+1,CO104+1,CO103+IF($A104=CP$4,0,1))</f>
        <v>95</v>
      </c>
      <c r="CQ104" s="2" t="n">
        <f aca="false">MIN(CQ103+1,CP104+1,CP103+IF($A104=CQ$4,0,1))</f>
        <v>95</v>
      </c>
    </row>
    <row r="105" customFormat="false" ht="15" hidden="false" customHeight="false" outlineLevel="0" collapsed="false">
      <c r="A105" s="4" t="s">
        <v>207</v>
      </c>
      <c r="B105" s="12" t="n">
        <v>100</v>
      </c>
      <c r="C105" s="2" t="n">
        <f aca="false">MIN(C104+1,B105+1,B104+IF($A105=C$4,0,1))</f>
        <v>100</v>
      </c>
      <c r="D105" s="2" t="n">
        <f aca="false">MIN(D104+1,C105+1,C104+IF($A105=D$4,0,1))</f>
        <v>99</v>
      </c>
      <c r="E105" s="2" t="n">
        <f aca="false">MIN(E104+1,D105+1,D104+IF($A105=E$4,0,1))</f>
        <v>98</v>
      </c>
      <c r="F105" s="2" t="n">
        <f aca="false">MIN(F104+1,E105+1,E104+IF($A105=F$4,0,1))</f>
        <v>97</v>
      </c>
      <c r="G105" s="2" t="n">
        <f aca="false">MIN(G104+1,F105+1,F104+IF($A105=G$4,0,1))</f>
        <v>96</v>
      </c>
      <c r="H105" s="2" t="n">
        <f aca="false">MIN(H104+1,G105+1,G104+IF($A105=H$4,0,1))</f>
        <v>96</v>
      </c>
      <c r="I105" s="2" t="n">
        <f aca="false">MIN(I104+1,H105+1,H104+IF($A105=I$4,0,1))</f>
        <v>96</v>
      </c>
      <c r="J105" s="2" t="n">
        <f aca="false">MIN(J104+1,I105+1,I104+IF($A105=J$4,0,1))</f>
        <v>96</v>
      </c>
      <c r="K105" s="2" t="n">
        <f aca="false">MIN(K104+1,J105+1,J104+IF($A105=K$4,0,1))</f>
        <v>95</v>
      </c>
      <c r="L105" s="2" t="n">
        <f aca="false">MIN(L104+1,K105+1,K104+IF($A105=L$4,0,1))</f>
        <v>95</v>
      </c>
      <c r="M105" s="2" t="n">
        <f aca="false">MIN(M104+1,L105+1,L104+IF($A105=M$4,0,1))</f>
        <v>95</v>
      </c>
      <c r="N105" s="2" t="n">
        <f aca="false">MIN(N104+1,M105+1,M104+IF($A105=N$4,0,1))</f>
        <v>95</v>
      </c>
      <c r="O105" s="2" t="n">
        <f aca="false">MIN(O104+1,N105+1,N104+IF($A105=O$4,0,1))</f>
        <v>94</v>
      </c>
      <c r="P105" s="2" t="n">
        <f aca="false">MIN(P104+1,O105+1,O104+IF($A105=P$4,0,1))</f>
        <v>94</v>
      </c>
      <c r="Q105" s="2" t="n">
        <f aca="false">MIN(Q104+1,P105+1,P104+IF($A105=Q$4,0,1))</f>
        <v>94</v>
      </c>
      <c r="R105" s="2" t="n">
        <f aca="false">MIN(R104+1,Q105+1,Q104+IF($A105=R$4,0,1))</f>
        <v>94</v>
      </c>
      <c r="S105" s="2" t="n">
        <f aca="false">MIN(S104+1,R105+1,R104+IF($A105=S$4,0,1))</f>
        <v>94</v>
      </c>
      <c r="T105" s="2" t="n">
        <f aca="false">MIN(T104+1,S105+1,S104+IF($A105=T$4,0,1))</f>
        <v>94</v>
      </c>
      <c r="U105" s="2" t="n">
        <f aca="false">MIN(U104+1,T105+1,T104+IF($A105=U$4,0,1))</f>
        <v>94</v>
      </c>
      <c r="V105" s="2" t="n">
        <f aca="false">MIN(V104+1,U105+1,U104+IF($A105=V$4,0,1))</f>
        <v>94</v>
      </c>
      <c r="W105" s="2" t="n">
        <f aca="false">MIN(W104+1,V105+1,V104+IF($A105=W$4,0,1))</f>
        <v>94</v>
      </c>
      <c r="X105" s="2" t="n">
        <f aca="false">MIN(X104+1,W105+1,W104+IF($A105=X$4,0,1))</f>
        <v>94</v>
      </c>
      <c r="Y105" s="2" t="n">
        <f aca="false">MIN(Y104+1,X105+1,X104+IF($A105=Y$4,0,1))</f>
        <v>94</v>
      </c>
      <c r="Z105" s="2" t="n">
        <f aca="false">MIN(Z104+1,Y105+1,Y104+IF($A105=Z$4,0,1))</f>
        <v>94</v>
      </c>
      <c r="AA105" s="2" t="n">
        <f aca="false">MIN(AA104+1,Z105+1,Z104+IF($A105=AA$4,0,1))</f>
        <v>94</v>
      </c>
      <c r="AB105" s="2" t="n">
        <f aca="false">MIN(AB104+1,AA105+1,AA104+IF($A105=AB$4,0,1))</f>
        <v>94</v>
      </c>
      <c r="AC105" s="2" t="n">
        <f aca="false">MIN(AC104+1,AB105+1,AB104+IF($A105=AC$4,0,1))</f>
        <v>94</v>
      </c>
      <c r="AD105" s="2" t="n">
        <f aca="false">MIN(AD104+1,AC105+1,AC104+IF($A105=AD$4,0,1))</f>
        <v>93</v>
      </c>
      <c r="AE105" s="2" t="n">
        <f aca="false">MIN(AE104+1,AD105+1,AD104+IF($A105=AE$4,0,1))</f>
        <v>93</v>
      </c>
      <c r="AF105" s="2" t="n">
        <f aca="false">MIN(AF104+1,AE105+1,AE104+IF($A105=AF$4,0,1))</f>
        <v>93</v>
      </c>
      <c r="AG105" s="2" t="n">
        <f aca="false">MIN(AG104+1,AF105+1,AF104+IF($A105=AG$4,0,1))</f>
        <v>93</v>
      </c>
      <c r="AH105" s="2" t="n">
        <f aca="false">MIN(AH104+1,AG105+1,AG104+IF($A105=AH$4,0,1))</f>
        <v>93</v>
      </c>
      <c r="AI105" s="2" t="n">
        <f aca="false">MIN(AI104+1,AH105+1,AH104+IF($A105=AI$4,0,1))</f>
        <v>93</v>
      </c>
      <c r="AJ105" s="2" t="n">
        <f aca="false">MIN(AJ104+1,AI105+1,AI104+IF($A105=AJ$4,0,1))</f>
        <v>93</v>
      </c>
      <c r="AK105" s="2" t="n">
        <f aca="false">MIN(AK104+1,AJ105+1,AJ104+IF($A105=AK$4,0,1))</f>
        <v>93</v>
      </c>
      <c r="AL105" s="2" t="n">
        <f aca="false">MIN(AL104+1,AK105+1,AK104+IF($A105=AL$4,0,1))</f>
        <v>93</v>
      </c>
      <c r="AM105" s="2" t="n">
        <f aca="false">MIN(AM104+1,AL105+1,AL104+IF($A105=AM$4,0,1))</f>
        <v>93</v>
      </c>
      <c r="AN105" s="2" t="n">
        <f aca="false">MIN(AN104+1,AM105+1,AM104+IF($A105=AN$4,0,1))</f>
        <v>93</v>
      </c>
      <c r="AO105" s="2" t="n">
        <f aca="false">MIN(AO104+1,AN105+1,AN104+IF($A105=AO$4,0,1))</f>
        <v>93</v>
      </c>
      <c r="AP105" s="2" t="n">
        <f aca="false">MIN(AP104+1,AO105+1,AO104+IF($A105=AP$4,0,1))</f>
        <v>93</v>
      </c>
      <c r="AQ105" s="2" t="n">
        <f aca="false">MIN(AQ104+1,AP105+1,AP104+IF($A105=AQ$4,0,1))</f>
        <v>93</v>
      </c>
      <c r="AR105" s="2" t="n">
        <f aca="false">MIN(AR104+1,AQ105+1,AQ104+IF($A105=AR$4,0,1))</f>
        <v>93</v>
      </c>
      <c r="AS105" s="2" t="n">
        <f aca="false">MIN(AS104+1,AR105+1,AR104+IF($A105=AS$4,0,1))</f>
        <v>93</v>
      </c>
      <c r="AT105" s="2" t="n">
        <f aca="false">MIN(AT104+1,AS105+1,AS104+IF($A105=AT$4,0,1))</f>
        <v>93</v>
      </c>
      <c r="AU105" s="2" t="n">
        <f aca="false">MIN(AU104+1,AT105+1,AT104+IF($A105=AU$4,0,1))</f>
        <v>94</v>
      </c>
      <c r="AV105" s="2" t="n">
        <f aca="false">MIN(AV104+1,AU105+1,AU104+IF($A105=AV$4,0,1))</f>
        <v>94</v>
      </c>
      <c r="AW105" s="2" t="n">
        <f aca="false">MIN(AW104+1,AV105+1,AV104+IF($A105=AW$4,0,1))</f>
        <v>94</v>
      </c>
      <c r="AX105" s="2" t="n">
        <f aca="false">MIN(AX104+1,AW105+1,AW104+IF($A105=AX$4,0,1))</f>
        <v>94</v>
      </c>
      <c r="AY105" s="2" t="n">
        <f aca="false">MIN(AY104+1,AX105+1,AX104+IF($A105=AY$4,0,1))</f>
        <v>94</v>
      </c>
      <c r="AZ105" s="2" t="n">
        <f aca="false">MIN(AZ104+1,AY105+1,AY104+IF($A105=AZ$4,0,1))</f>
        <v>94</v>
      </c>
      <c r="BA105" s="2" t="n">
        <f aca="false">MIN(BA104+1,AZ105+1,AZ104+IF($A105=BA$4,0,1))</f>
        <v>94</v>
      </c>
      <c r="BB105" s="2" t="n">
        <f aca="false">MIN(BB104+1,BA105+1,BA104+IF($A105=BB$4,0,1))</f>
        <v>94</v>
      </c>
      <c r="BC105" s="2" t="n">
        <f aca="false">MIN(BC104+1,BB105+1,BB104+IF($A105=BC$4,0,1))</f>
        <v>94</v>
      </c>
      <c r="BD105" s="2" t="n">
        <f aca="false">MIN(BD104+1,BC105+1,BC104+IF($A105=BD$4,0,1))</f>
        <v>94</v>
      </c>
      <c r="BE105" s="2" t="n">
        <f aca="false">MIN(BE104+1,BD105+1,BD104+IF($A105=BE$4,0,1))</f>
        <v>94</v>
      </c>
      <c r="BF105" s="2" t="n">
        <f aca="false">MIN(BF104+1,BE105+1,BE104+IF($A105=BF$4,0,1))</f>
        <v>94</v>
      </c>
      <c r="BG105" s="2" t="n">
        <f aca="false">MIN(BG104+1,BF105+1,BF104+IF($A105=BG$4,0,1))</f>
        <v>94</v>
      </c>
      <c r="BH105" s="2" t="n">
        <f aca="false">MIN(BH104+1,BG105+1,BG104+IF($A105=BH$4,0,1))</f>
        <v>94</v>
      </c>
      <c r="BI105" s="2" t="n">
        <f aca="false">MIN(BI104+1,BH105+1,BH104+IF($A105=BI$4,0,1))</f>
        <v>94</v>
      </c>
      <c r="BJ105" s="2" t="n">
        <f aca="false">MIN(BJ104+1,BI105+1,BI104+IF($A105=BJ$4,0,1))</f>
        <v>94</v>
      </c>
      <c r="BK105" s="2" t="n">
        <f aca="false">MIN(BK104+1,BJ105+1,BJ104+IF($A105=BK$4,0,1))</f>
        <v>94</v>
      </c>
      <c r="BL105" s="2" t="n">
        <f aca="false">MIN(BL104+1,BK105+1,BK104+IF($A105=BL$4,0,1))</f>
        <v>94</v>
      </c>
      <c r="BM105" s="2" t="n">
        <f aca="false">MIN(BM104+1,BL105+1,BL104+IF($A105=BM$4,0,1))</f>
        <v>94</v>
      </c>
      <c r="BN105" s="2" t="n">
        <f aca="false">MIN(BN104+1,BM105+1,BM104+IF($A105=BN$4,0,1))</f>
        <v>94</v>
      </c>
      <c r="BO105" s="2" t="n">
        <f aca="false">MIN(BO104+1,BN105+1,BN104+IF($A105=BO$4,0,1))</f>
        <v>94</v>
      </c>
      <c r="BP105" s="2" t="n">
        <f aca="false">MIN(BP104+1,BO105+1,BO104+IF($A105=BP$4,0,1))</f>
        <v>93</v>
      </c>
      <c r="BQ105" s="2" t="n">
        <f aca="false">MIN(BQ104+1,BP105+1,BP104+IF($A105=BQ$4,0,1))</f>
        <v>93</v>
      </c>
      <c r="BR105" s="2" t="n">
        <f aca="false">MIN(BR104+1,BQ105+1,BQ104+IF($A105=BR$4,0,1))</f>
        <v>93</v>
      </c>
      <c r="BS105" s="2" t="n">
        <f aca="false">MIN(BS104+1,BR105+1,BR104+IF($A105=BS$4,0,1))</f>
        <v>93</v>
      </c>
      <c r="BT105" s="2" t="n">
        <f aca="false">MIN(BT104+1,BS105+1,BS104+IF($A105=BT$4,0,1))</f>
        <v>93</v>
      </c>
      <c r="BU105" s="2" t="n">
        <f aca="false">MIN(BU104+1,BT105+1,BT104+IF($A105=BU$4,0,1))</f>
        <v>93</v>
      </c>
      <c r="BV105" s="2" t="n">
        <f aca="false">MIN(BV104+1,BU105+1,BU104+IF($A105=BV$4,0,1))</f>
        <v>93</v>
      </c>
      <c r="BW105" s="2" t="n">
        <f aca="false">MIN(BW104+1,BV105+1,BV104+IF($A105=BW$4,0,1))</f>
        <v>93</v>
      </c>
      <c r="BX105" s="2" t="n">
        <f aca="false">MIN(BX104+1,BW105+1,BW104+IF($A105=BX$4,0,1))</f>
        <v>93</v>
      </c>
      <c r="BY105" s="2" t="n">
        <f aca="false">MIN(BY104+1,BX105+1,BX104+IF($A105=BY$4,0,1))</f>
        <v>94</v>
      </c>
      <c r="BZ105" s="2" t="n">
        <f aca="false">MIN(BZ104+1,BY105+1,BY104+IF($A105=BZ$4,0,1))</f>
        <v>94</v>
      </c>
      <c r="CA105" s="2" t="n">
        <f aca="false">MIN(CA104+1,BZ105+1,BZ104+IF($A105=CA$4,0,1))</f>
        <v>94</v>
      </c>
      <c r="CB105" s="2" t="n">
        <f aca="false">MIN(CB104+1,CA105+1,CA104+IF($A105=CB$4,0,1))</f>
        <v>94</v>
      </c>
      <c r="CC105" s="2" t="n">
        <f aca="false">MIN(CC104+1,CB105+1,CB104+IF($A105=CC$4,0,1))</f>
        <v>94</v>
      </c>
      <c r="CD105" s="2" t="n">
        <f aca="false">MIN(CD104+1,CC105+1,CC104+IF($A105=CD$4,0,1))</f>
        <v>94</v>
      </c>
      <c r="CE105" s="2" t="n">
        <f aca="false">MIN(CE104+1,CD105+1,CD104+IF($A105=CE$4,0,1))</f>
        <v>94</v>
      </c>
      <c r="CF105" s="2" t="n">
        <f aca="false">MIN(CF104+1,CE105+1,CE104+IF($A105=CF$4,0,1))</f>
        <v>94</v>
      </c>
      <c r="CG105" s="2" t="n">
        <f aca="false">MIN(CG104+1,CF105+1,CF104+IF($A105=CG$4,0,1))</f>
        <v>94</v>
      </c>
      <c r="CH105" s="2" t="n">
        <f aca="false">MIN(CH104+1,CG105+1,CG104+IF($A105=CH$4,0,1))</f>
        <v>94</v>
      </c>
      <c r="CI105" s="2" t="n">
        <f aca="false">MIN(CI104+1,CH105+1,CH104+IF($A105=CI$4,0,1))</f>
        <v>94</v>
      </c>
      <c r="CJ105" s="2" t="n">
        <f aca="false">MIN(CJ104+1,CI105+1,CI104+IF($A105=CJ$4,0,1))</f>
        <v>95</v>
      </c>
      <c r="CK105" s="2" t="n">
        <f aca="false">MIN(CK104+1,CJ105+1,CJ104+IF($A105=CK$4,0,1))</f>
        <v>95</v>
      </c>
      <c r="CL105" s="2" t="n">
        <f aca="false">MIN(CL104+1,CK105+1,CK104+IF($A105=CL$4,0,1))</f>
        <v>95</v>
      </c>
      <c r="CM105" s="2" t="n">
        <f aca="false">MIN(CM104+1,CL105+1,CL104+IF($A105=CM$4,0,1))</f>
        <v>96</v>
      </c>
      <c r="CN105" s="2" t="n">
        <f aca="false">MIN(CN104+1,CM105+1,CM104+IF($A105=CN$4,0,1))</f>
        <v>96</v>
      </c>
      <c r="CO105" s="2" t="n">
        <f aca="false">MIN(CO104+1,CN105+1,CN104+IF($A105=CO$4,0,1))</f>
        <v>96</v>
      </c>
      <c r="CP105" s="2" t="n">
        <f aca="false">MIN(CP104+1,CO105+1,CO104+IF($A105=CP$4,0,1))</f>
        <v>96</v>
      </c>
      <c r="CQ105" s="2" t="n">
        <f aca="false">MIN(CQ104+1,CP105+1,CP104+IF($A105=CQ$4,0,1))</f>
        <v>96</v>
      </c>
    </row>
    <row r="106" customFormat="false" ht="15" hidden="false" customHeight="false" outlineLevel="0" collapsed="false">
      <c r="A106" s="4" t="s">
        <v>89</v>
      </c>
      <c r="B106" s="12" t="n">
        <v>101</v>
      </c>
      <c r="C106" s="2" t="n">
        <f aca="false">MIN(C105+1,B106+1,B105+IF($A106=C$4,0,1))</f>
        <v>101</v>
      </c>
      <c r="D106" s="2" t="n">
        <f aca="false">MIN(D105+1,C106+1,C105+IF($A106=D$4,0,1))</f>
        <v>100</v>
      </c>
      <c r="E106" s="2" t="n">
        <f aca="false">MIN(E105+1,D106+1,D105+IF($A106=E$4,0,1))</f>
        <v>99</v>
      </c>
      <c r="F106" s="2" t="n">
        <f aca="false">MIN(F105+1,E106+1,E105+IF($A106=F$4,0,1))</f>
        <v>98</v>
      </c>
      <c r="G106" s="2" t="n">
        <f aca="false">MIN(G105+1,F106+1,F105+IF($A106=G$4,0,1))</f>
        <v>97</v>
      </c>
      <c r="H106" s="2" t="n">
        <f aca="false">MIN(H105+1,G106+1,G105+IF($A106=H$4,0,1))</f>
        <v>97</v>
      </c>
      <c r="I106" s="2" t="n">
        <f aca="false">MIN(I105+1,H106+1,H105+IF($A106=I$4,0,1))</f>
        <v>97</v>
      </c>
      <c r="J106" s="2" t="n">
        <f aca="false">MIN(J105+1,I106+1,I105+IF($A106=J$4,0,1))</f>
        <v>97</v>
      </c>
      <c r="K106" s="2" t="n">
        <f aca="false">MIN(K105+1,J106+1,J105+IF($A106=K$4,0,1))</f>
        <v>96</v>
      </c>
      <c r="L106" s="2" t="n">
        <f aca="false">MIN(L105+1,K106+1,K105+IF($A106=L$4,0,1))</f>
        <v>96</v>
      </c>
      <c r="M106" s="2" t="n">
        <f aca="false">MIN(M105+1,L106+1,L105+IF($A106=M$4,0,1))</f>
        <v>96</v>
      </c>
      <c r="N106" s="2" t="n">
        <f aca="false">MIN(N105+1,M106+1,M105+IF($A106=N$4,0,1))</f>
        <v>96</v>
      </c>
      <c r="O106" s="2" t="n">
        <f aca="false">MIN(O105+1,N106+1,N105+IF($A106=O$4,0,1))</f>
        <v>95</v>
      </c>
      <c r="P106" s="2" t="n">
        <f aca="false">MIN(P105+1,O106+1,O105+IF($A106=P$4,0,1))</f>
        <v>95</v>
      </c>
      <c r="Q106" s="2" t="n">
        <f aca="false">MIN(Q105+1,P106+1,P105+IF($A106=Q$4,0,1))</f>
        <v>95</v>
      </c>
      <c r="R106" s="2" t="n">
        <f aca="false">MIN(R105+1,Q106+1,Q105+IF($A106=R$4,0,1))</f>
        <v>95</v>
      </c>
      <c r="S106" s="2" t="n">
        <f aca="false">MIN(S105+1,R106+1,R105+IF($A106=S$4,0,1))</f>
        <v>95</v>
      </c>
      <c r="T106" s="2" t="n">
        <f aca="false">MIN(T105+1,S106+1,S105+IF($A106=T$4,0,1))</f>
        <v>95</v>
      </c>
      <c r="U106" s="2" t="n">
        <f aca="false">MIN(U105+1,T106+1,T105+IF($A106=U$4,0,1))</f>
        <v>95</v>
      </c>
      <c r="V106" s="2" t="n">
        <f aca="false">MIN(V105+1,U106+1,U105+IF($A106=V$4,0,1))</f>
        <v>95</v>
      </c>
      <c r="W106" s="2" t="n">
        <f aca="false">MIN(W105+1,V106+1,V105+IF($A106=W$4,0,1))</f>
        <v>95</v>
      </c>
      <c r="X106" s="2" t="n">
        <f aca="false">MIN(X105+1,W106+1,W105+IF($A106=X$4,0,1))</f>
        <v>95</v>
      </c>
      <c r="Y106" s="2" t="n">
        <f aca="false">MIN(Y105+1,X106+1,X105+IF($A106=Y$4,0,1))</f>
        <v>95</v>
      </c>
      <c r="Z106" s="2" t="n">
        <f aca="false">MIN(Z105+1,Y106+1,Y105+IF($A106=Z$4,0,1))</f>
        <v>95</v>
      </c>
      <c r="AA106" s="2" t="n">
        <f aca="false">MIN(AA105+1,Z106+1,Z105+IF($A106=AA$4,0,1))</f>
        <v>95</v>
      </c>
      <c r="AB106" s="2" t="n">
        <f aca="false">MIN(AB105+1,AA106+1,AA105+IF($A106=AB$4,0,1))</f>
        <v>95</v>
      </c>
      <c r="AC106" s="2" t="n">
        <f aca="false">MIN(AC105+1,AB106+1,AB105+IF($A106=AC$4,0,1))</f>
        <v>95</v>
      </c>
      <c r="AD106" s="2" t="n">
        <f aca="false">MIN(AD105+1,AC106+1,AC105+IF($A106=AD$4,0,1))</f>
        <v>94</v>
      </c>
      <c r="AE106" s="2" t="n">
        <f aca="false">MIN(AE105+1,AD106+1,AD105+IF($A106=AE$4,0,1))</f>
        <v>94</v>
      </c>
      <c r="AF106" s="2" t="n">
        <f aca="false">MIN(AF105+1,AE106+1,AE105+IF($A106=AF$4,0,1))</f>
        <v>94</v>
      </c>
      <c r="AG106" s="2" t="n">
        <f aca="false">MIN(AG105+1,AF106+1,AF105+IF($A106=AG$4,0,1))</f>
        <v>94</v>
      </c>
      <c r="AH106" s="2" t="n">
        <f aca="false">MIN(AH105+1,AG106+1,AG105+IF($A106=AH$4,0,1))</f>
        <v>94</v>
      </c>
      <c r="AI106" s="2" t="n">
        <f aca="false">MIN(AI105+1,AH106+1,AH105+IF($A106=AI$4,0,1))</f>
        <v>94</v>
      </c>
      <c r="AJ106" s="2" t="n">
        <f aca="false">MIN(AJ105+1,AI106+1,AI105+IF($A106=AJ$4,0,1))</f>
        <v>94</v>
      </c>
      <c r="AK106" s="2" t="n">
        <f aca="false">MIN(AK105+1,AJ106+1,AJ105+IF($A106=AK$4,0,1))</f>
        <v>94</v>
      </c>
      <c r="AL106" s="2" t="n">
        <f aca="false">MIN(AL105+1,AK106+1,AK105+IF($A106=AL$4,0,1))</f>
        <v>94</v>
      </c>
      <c r="AM106" s="2" t="n">
        <f aca="false">MIN(AM105+1,AL106+1,AL105+IF($A106=AM$4,0,1))</f>
        <v>94</v>
      </c>
      <c r="AN106" s="2" t="n">
        <f aca="false">MIN(AN105+1,AM106+1,AM105+IF($A106=AN$4,0,1))</f>
        <v>94</v>
      </c>
      <c r="AO106" s="2" t="n">
        <f aca="false">MIN(AO105+1,AN106+1,AN105+IF($A106=AO$4,0,1))</f>
        <v>94</v>
      </c>
      <c r="AP106" s="2" t="n">
        <f aca="false">MIN(AP105+1,AO106+1,AO105+IF($A106=AP$4,0,1))</f>
        <v>94</v>
      </c>
      <c r="AQ106" s="2" t="n">
        <f aca="false">MIN(AQ105+1,AP106+1,AP105+IF($A106=AQ$4,0,1))</f>
        <v>94</v>
      </c>
      <c r="AR106" s="2" t="n">
        <f aca="false">MIN(AR105+1,AQ106+1,AQ105+IF($A106=AR$4,0,1))</f>
        <v>94</v>
      </c>
      <c r="AS106" s="2" t="n">
        <f aca="false">MIN(AS105+1,AR106+1,AR105+IF($A106=AS$4,0,1))</f>
        <v>94</v>
      </c>
      <c r="AT106" s="2" t="n">
        <f aca="false">MIN(AT105+1,AS106+1,AS105+IF($A106=AT$4,0,1))</f>
        <v>94</v>
      </c>
      <c r="AU106" s="2" t="n">
        <f aca="false">MIN(AU105+1,AT106+1,AT105+IF($A106=AU$4,0,1))</f>
        <v>94</v>
      </c>
      <c r="AV106" s="2" t="n">
        <f aca="false">MIN(AV105+1,AU106+1,AU105+IF($A106=AV$4,0,1))</f>
        <v>95</v>
      </c>
      <c r="AW106" s="2" t="n">
        <f aca="false">MIN(AW105+1,AV106+1,AV105+IF($A106=AW$4,0,1))</f>
        <v>95</v>
      </c>
      <c r="AX106" s="2" t="n">
        <f aca="false">MIN(AX105+1,AW106+1,AW105+IF($A106=AX$4,0,1))</f>
        <v>95</v>
      </c>
      <c r="AY106" s="2" t="n">
        <f aca="false">MIN(AY105+1,AX106+1,AX105+IF($A106=AY$4,0,1))</f>
        <v>95</v>
      </c>
      <c r="AZ106" s="2" t="n">
        <f aca="false">MIN(AZ105+1,AY106+1,AY105+IF($A106=AZ$4,0,1))</f>
        <v>95</v>
      </c>
      <c r="BA106" s="2" t="n">
        <f aca="false">MIN(BA105+1,AZ106+1,AZ105+IF($A106=BA$4,0,1))</f>
        <v>95</v>
      </c>
      <c r="BB106" s="2" t="n">
        <f aca="false">MIN(BB105+1,BA106+1,BA105+IF($A106=BB$4,0,1))</f>
        <v>95</v>
      </c>
      <c r="BC106" s="2" t="n">
        <f aca="false">MIN(BC105+1,BB106+1,BB105+IF($A106=BC$4,0,1))</f>
        <v>95</v>
      </c>
      <c r="BD106" s="2" t="n">
        <f aca="false">MIN(BD105+1,BC106+1,BC105+IF($A106=BD$4,0,1))</f>
        <v>95</v>
      </c>
      <c r="BE106" s="2" t="n">
        <f aca="false">MIN(BE105+1,BD106+1,BD105+IF($A106=BE$4,0,1))</f>
        <v>95</v>
      </c>
      <c r="BF106" s="2" t="n">
        <f aca="false">MIN(BF105+1,BE106+1,BE105+IF($A106=BF$4,0,1))</f>
        <v>95</v>
      </c>
      <c r="BG106" s="2" t="n">
        <f aca="false">MIN(BG105+1,BF106+1,BF105+IF($A106=BG$4,0,1))</f>
        <v>95</v>
      </c>
      <c r="BH106" s="2" t="n">
        <f aca="false">MIN(BH105+1,BG106+1,BG105+IF($A106=BH$4,0,1))</f>
        <v>95</v>
      </c>
      <c r="BI106" s="2" t="n">
        <f aca="false">MIN(BI105+1,BH106+1,BH105+IF($A106=BI$4,0,1))</f>
        <v>95</v>
      </c>
      <c r="BJ106" s="2" t="n">
        <f aca="false">MIN(BJ105+1,BI106+1,BI105+IF($A106=BJ$4,0,1))</f>
        <v>95</v>
      </c>
      <c r="BK106" s="2" t="n">
        <f aca="false">MIN(BK105+1,BJ106+1,BJ105+IF($A106=BK$4,0,1))</f>
        <v>95</v>
      </c>
      <c r="BL106" s="2" t="n">
        <f aca="false">MIN(BL105+1,BK106+1,BK105+IF($A106=BL$4,0,1))</f>
        <v>94</v>
      </c>
      <c r="BM106" s="2" t="n">
        <f aca="false">MIN(BM105+1,BL106+1,BL105+IF($A106=BM$4,0,1))</f>
        <v>95</v>
      </c>
      <c r="BN106" s="2" t="n">
        <f aca="false">MIN(BN105+1,BM106+1,BM105+IF($A106=BN$4,0,1))</f>
        <v>95</v>
      </c>
      <c r="BO106" s="2" t="n">
        <f aca="false">MIN(BO105+1,BN106+1,BN105+IF($A106=BO$4,0,1))</f>
        <v>95</v>
      </c>
      <c r="BP106" s="2" t="n">
        <f aca="false">MIN(BP105+1,BO106+1,BO105+IF($A106=BP$4,0,1))</f>
        <v>94</v>
      </c>
      <c r="BQ106" s="2" t="n">
        <f aca="false">MIN(BQ105+1,BP106+1,BP105+IF($A106=BQ$4,0,1))</f>
        <v>94</v>
      </c>
      <c r="BR106" s="2" t="n">
        <f aca="false">MIN(BR105+1,BQ106+1,BQ105+IF($A106=BR$4,0,1))</f>
        <v>94</v>
      </c>
      <c r="BS106" s="2" t="n">
        <f aca="false">MIN(BS105+1,BR106+1,BR105+IF($A106=BS$4,0,1))</f>
        <v>94</v>
      </c>
      <c r="BT106" s="2" t="n">
        <f aca="false">MIN(BT105+1,BS106+1,BS105+IF($A106=BT$4,0,1))</f>
        <v>94</v>
      </c>
      <c r="BU106" s="2" t="n">
        <f aca="false">MIN(BU105+1,BT106+1,BT105+IF($A106=BU$4,0,1))</f>
        <v>94</v>
      </c>
      <c r="BV106" s="2" t="n">
        <f aca="false">MIN(BV105+1,BU106+1,BU105+IF($A106=BV$4,0,1))</f>
        <v>94</v>
      </c>
      <c r="BW106" s="2" t="n">
        <f aca="false">MIN(BW105+1,BV106+1,BV105+IF($A106=BW$4,0,1))</f>
        <v>94</v>
      </c>
      <c r="BX106" s="2" t="n">
        <f aca="false">MIN(BX105+1,BW106+1,BW105+IF($A106=BX$4,0,1))</f>
        <v>94</v>
      </c>
      <c r="BY106" s="2" t="n">
        <f aca="false">MIN(BY105+1,BX106+1,BX105+IF($A106=BY$4,0,1))</f>
        <v>94</v>
      </c>
      <c r="BZ106" s="2" t="n">
        <f aca="false">MIN(BZ105+1,BY106+1,BY105+IF($A106=BZ$4,0,1))</f>
        <v>95</v>
      </c>
      <c r="CA106" s="2" t="n">
        <f aca="false">MIN(CA105+1,BZ106+1,BZ105+IF($A106=CA$4,0,1))</f>
        <v>95</v>
      </c>
      <c r="CB106" s="2" t="n">
        <f aca="false">MIN(CB105+1,CA106+1,CA105+IF($A106=CB$4,0,1))</f>
        <v>95</v>
      </c>
      <c r="CC106" s="2" t="n">
        <f aca="false">MIN(CC105+1,CB106+1,CB105+IF($A106=CC$4,0,1))</f>
        <v>95</v>
      </c>
      <c r="CD106" s="2" t="n">
        <f aca="false">MIN(CD105+1,CC106+1,CC105+IF($A106=CD$4,0,1))</f>
        <v>95</v>
      </c>
      <c r="CE106" s="2" t="n">
        <f aca="false">MIN(CE105+1,CD106+1,CD105+IF($A106=CE$4,0,1))</f>
        <v>95</v>
      </c>
      <c r="CF106" s="2" t="n">
        <f aca="false">MIN(CF105+1,CE106+1,CE105+IF($A106=CF$4,0,1))</f>
        <v>95</v>
      </c>
      <c r="CG106" s="2" t="n">
        <f aca="false">MIN(CG105+1,CF106+1,CF105+IF($A106=CG$4,0,1))</f>
        <v>95</v>
      </c>
      <c r="CH106" s="2" t="n">
        <f aca="false">MIN(CH105+1,CG106+1,CG105+IF($A106=CH$4,0,1))</f>
        <v>95</v>
      </c>
      <c r="CI106" s="2" t="n">
        <f aca="false">MIN(CI105+1,CH106+1,CH105+IF($A106=CI$4,0,1))</f>
        <v>95</v>
      </c>
      <c r="CJ106" s="2" t="n">
        <f aca="false">MIN(CJ105+1,CI106+1,CI105+IF($A106=CJ$4,0,1))</f>
        <v>95</v>
      </c>
      <c r="CK106" s="2" t="n">
        <f aca="false">MIN(CK105+1,CJ106+1,CJ105+IF($A106=CK$4,0,1))</f>
        <v>96</v>
      </c>
      <c r="CL106" s="2" t="n">
        <f aca="false">MIN(CL105+1,CK106+1,CK105+IF($A106=CL$4,0,1))</f>
        <v>96</v>
      </c>
      <c r="CM106" s="2" t="n">
        <f aca="false">MIN(CM105+1,CL106+1,CL105+IF($A106=CM$4,0,1))</f>
        <v>96</v>
      </c>
      <c r="CN106" s="2" t="n">
        <f aca="false">MIN(CN105+1,CM106+1,CM105+IF($A106=CN$4,0,1))</f>
        <v>97</v>
      </c>
      <c r="CO106" s="2" t="n">
        <f aca="false">MIN(CO105+1,CN106+1,CN105+IF($A106=CO$4,0,1))</f>
        <v>97</v>
      </c>
      <c r="CP106" s="2" t="n">
        <f aca="false">MIN(CP105+1,CO106+1,CO105+IF($A106=CP$4,0,1))</f>
        <v>97</v>
      </c>
      <c r="CQ106" s="2" t="n">
        <f aca="false">MIN(CQ105+1,CP106+1,CP105+IF($A106=CQ$4,0,1))</f>
        <v>97</v>
      </c>
    </row>
    <row r="107" customFormat="false" ht="15" hidden="false" customHeight="false" outlineLevel="0" collapsed="false">
      <c r="A107" s="4" t="s">
        <v>208</v>
      </c>
      <c r="B107" s="12" t="n">
        <v>102</v>
      </c>
      <c r="C107" s="2" t="n">
        <f aca="false">MIN(C106+1,B107+1,B106+IF($A107=C$4,0,1))</f>
        <v>102</v>
      </c>
      <c r="D107" s="2" t="n">
        <f aca="false">MIN(D106+1,C107+1,C106+IF($A107=D$4,0,1))</f>
        <v>101</v>
      </c>
      <c r="E107" s="2" t="n">
        <f aca="false">MIN(E106+1,D107+1,D106+IF($A107=E$4,0,1))</f>
        <v>100</v>
      </c>
      <c r="F107" s="2" t="n">
        <f aca="false">MIN(F106+1,E107+1,E106+IF($A107=F$4,0,1))</f>
        <v>99</v>
      </c>
      <c r="G107" s="2" t="n">
        <f aca="false">MIN(G106+1,F107+1,F106+IF($A107=G$4,0,1))</f>
        <v>98</v>
      </c>
      <c r="H107" s="2" t="n">
        <f aca="false">MIN(H106+1,G107+1,G106+IF($A107=H$4,0,1))</f>
        <v>98</v>
      </c>
      <c r="I107" s="2" t="n">
        <f aca="false">MIN(I106+1,H107+1,H106+IF($A107=I$4,0,1))</f>
        <v>98</v>
      </c>
      <c r="J107" s="2" t="n">
        <f aca="false">MIN(J106+1,I107+1,I106+IF($A107=J$4,0,1))</f>
        <v>98</v>
      </c>
      <c r="K107" s="2" t="n">
        <f aca="false">MIN(K106+1,J107+1,J106+IF($A107=K$4,0,1))</f>
        <v>97</v>
      </c>
      <c r="L107" s="2" t="n">
        <f aca="false">MIN(L106+1,K107+1,K106+IF($A107=L$4,0,1))</f>
        <v>97</v>
      </c>
      <c r="M107" s="2" t="n">
        <f aca="false">MIN(M106+1,L107+1,L106+IF($A107=M$4,0,1))</f>
        <v>97</v>
      </c>
      <c r="N107" s="2" t="n">
        <f aca="false">MIN(N106+1,M107+1,M106+IF($A107=N$4,0,1))</f>
        <v>97</v>
      </c>
      <c r="O107" s="2" t="n">
        <f aca="false">MIN(O106+1,N107+1,N106+IF($A107=O$4,0,1))</f>
        <v>96</v>
      </c>
      <c r="P107" s="2" t="n">
        <f aca="false">MIN(P106+1,O107+1,O106+IF($A107=P$4,0,1))</f>
        <v>96</v>
      </c>
      <c r="Q107" s="2" t="n">
        <f aca="false">MIN(Q106+1,P107+1,P106+IF($A107=Q$4,0,1))</f>
        <v>96</v>
      </c>
      <c r="R107" s="2" t="n">
        <f aca="false">MIN(R106+1,Q107+1,Q106+IF($A107=R$4,0,1))</f>
        <v>96</v>
      </c>
      <c r="S107" s="2" t="n">
        <f aca="false">MIN(S106+1,R107+1,R106+IF($A107=S$4,0,1))</f>
        <v>96</v>
      </c>
      <c r="T107" s="2" t="n">
        <f aca="false">MIN(T106+1,S107+1,S106+IF($A107=T$4,0,1))</f>
        <v>96</v>
      </c>
      <c r="U107" s="2" t="n">
        <f aca="false">MIN(U106+1,T107+1,T106+IF($A107=U$4,0,1))</f>
        <v>96</v>
      </c>
      <c r="V107" s="2" t="n">
        <f aca="false">MIN(V106+1,U107+1,U106+IF($A107=V$4,0,1))</f>
        <v>96</v>
      </c>
      <c r="W107" s="2" t="n">
        <f aca="false">MIN(W106+1,V107+1,V106+IF($A107=W$4,0,1))</f>
        <v>96</v>
      </c>
      <c r="X107" s="2" t="n">
        <f aca="false">MIN(X106+1,W107+1,W106+IF($A107=X$4,0,1))</f>
        <v>96</v>
      </c>
      <c r="Y107" s="2" t="n">
        <f aca="false">MIN(Y106+1,X107+1,X106+IF($A107=Y$4,0,1))</f>
        <v>96</v>
      </c>
      <c r="Z107" s="2" t="n">
        <f aca="false">MIN(Z106+1,Y107+1,Y106+IF($A107=Z$4,0,1))</f>
        <v>96</v>
      </c>
      <c r="AA107" s="2" t="n">
        <f aca="false">MIN(AA106+1,Z107+1,Z106+IF($A107=AA$4,0,1))</f>
        <v>96</v>
      </c>
      <c r="AB107" s="2" t="n">
        <f aca="false">MIN(AB106+1,AA107+1,AA106+IF($A107=AB$4,0,1))</f>
        <v>96</v>
      </c>
      <c r="AC107" s="2" t="n">
        <f aca="false">MIN(AC106+1,AB107+1,AB106+IF($A107=AC$4,0,1))</f>
        <v>96</v>
      </c>
      <c r="AD107" s="2" t="n">
        <f aca="false">MIN(AD106+1,AC107+1,AC106+IF($A107=AD$4,0,1))</f>
        <v>95</v>
      </c>
      <c r="AE107" s="2" t="n">
        <f aca="false">MIN(AE106+1,AD107+1,AD106+IF($A107=AE$4,0,1))</f>
        <v>95</v>
      </c>
      <c r="AF107" s="2" t="n">
        <f aca="false">MIN(AF106+1,AE107+1,AE106+IF($A107=AF$4,0,1))</f>
        <v>95</v>
      </c>
      <c r="AG107" s="2" t="n">
        <f aca="false">MIN(AG106+1,AF107+1,AF106+IF($A107=AG$4,0,1))</f>
        <v>95</v>
      </c>
      <c r="AH107" s="2" t="n">
        <f aca="false">MIN(AH106+1,AG107+1,AG106+IF($A107=AH$4,0,1))</f>
        <v>95</v>
      </c>
      <c r="AI107" s="2" t="n">
        <f aca="false">MIN(AI106+1,AH107+1,AH106+IF($A107=AI$4,0,1))</f>
        <v>95</v>
      </c>
      <c r="AJ107" s="2" t="n">
        <f aca="false">MIN(AJ106+1,AI107+1,AI106+IF($A107=AJ$4,0,1))</f>
        <v>95</v>
      </c>
      <c r="AK107" s="2" t="n">
        <f aca="false">MIN(AK106+1,AJ107+1,AJ106+IF($A107=AK$4,0,1))</f>
        <v>95</v>
      </c>
      <c r="AL107" s="2" t="n">
        <f aca="false">MIN(AL106+1,AK107+1,AK106+IF($A107=AL$4,0,1))</f>
        <v>95</v>
      </c>
      <c r="AM107" s="2" t="n">
        <f aca="false">MIN(AM106+1,AL107+1,AL106+IF($A107=AM$4,0,1))</f>
        <v>95</v>
      </c>
      <c r="AN107" s="2" t="n">
        <f aca="false">MIN(AN106+1,AM107+1,AM106+IF($A107=AN$4,0,1))</f>
        <v>95</v>
      </c>
      <c r="AO107" s="2" t="n">
        <f aca="false">MIN(AO106+1,AN107+1,AN106+IF($A107=AO$4,0,1))</f>
        <v>95</v>
      </c>
      <c r="AP107" s="2" t="n">
        <f aca="false">MIN(AP106+1,AO107+1,AO106+IF($A107=AP$4,0,1))</f>
        <v>95</v>
      </c>
      <c r="AQ107" s="2" t="n">
        <f aca="false">MIN(AQ106+1,AP107+1,AP106+IF($A107=AQ$4,0,1))</f>
        <v>95</v>
      </c>
      <c r="AR107" s="2" t="n">
        <f aca="false">MIN(AR106+1,AQ107+1,AQ106+IF($A107=AR$4,0,1))</f>
        <v>95</v>
      </c>
      <c r="AS107" s="2" t="n">
        <f aca="false">MIN(AS106+1,AR107+1,AR106+IF($A107=AS$4,0,1))</f>
        <v>95</v>
      </c>
      <c r="AT107" s="2" t="n">
        <f aca="false">MIN(AT106+1,AS107+1,AS106+IF($A107=AT$4,0,1))</f>
        <v>95</v>
      </c>
      <c r="AU107" s="2" t="n">
        <f aca="false">MIN(AU106+1,AT107+1,AT106+IF($A107=AU$4,0,1))</f>
        <v>95</v>
      </c>
      <c r="AV107" s="2" t="n">
        <f aca="false">MIN(AV106+1,AU107+1,AU106+IF($A107=AV$4,0,1))</f>
        <v>95</v>
      </c>
      <c r="AW107" s="2" t="n">
        <f aca="false">MIN(AW106+1,AV107+1,AV106+IF($A107=AW$4,0,1))</f>
        <v>96</v>
      </c>
      <c r="AX107" s="2" t="n">
        <f aca="false">MIN(AX106+1,AW107+1,AW106+IF($A107=AX$4,0,1))</f>
        <v>96</v>
      </c>
      <c r="AY107" s="2" t="n">
        <f aca="false">MIN(AY106+1,AX107+1,AX106+IF($A107=AY$4,0,1))</f>
        <v>96</v>
      </c>
      <c r="AZ107" s="2" t="n">
        <f aca="false">MIN(AZ106+1,AY107+1,AY106+IF($A107=AZ$4,0,1))</f>
        <v>96</v>
      </c>
      <c r="BA107" s="2" t="n">
        <f aca="false">MIN(BA106+1,AZ107+1,AZ106+IF($A107=BA$4,0,1))</f>
        <v>96</v>
      </c>
      <c r="BB107" s="2" t="n">
        <f aca="false">MIN(BB106+1,BA107+1,BA106+IF($A107=BB$4,0,1))</f>
        <v>96</v>
      </c>
      <c r="BC107" s="2" t="n">
        <f aca="false">MIN(BC106+1,BB107+1,BB106+IF($A107=BC$4,0,1))</f>
        <v>96</v>
      </c>
      <c r="BD107" s="2" t="n">
        <f aca="false">MIN(BD106+1,BC107+1,BC106+IF($A107=BD$4,0,1))</f>
        <v>96</v>
      </c>
      <c r="BE107" s="2" t="n">
        <f aca="false">MIN(BE106+1,BD107+1,BD106+IF($A107=BE$4,0,1))</f>
        <v>96</v>
      </c>
      <c r="BF107" s="2" t="n">
        <f aca="false">MIN(BF106+1,BE107+1,BE106+IF($A107=BF$4,0,1))</f>
        <v>96</v>
      </c>
      <c r="BG107" s="2" t="n">
        <f aca="false">MIN(BG106+1,BF107+1,BF106+IF($A107=BG$4,0,1))</f>
        <v>96</v>
      </c>
      <c r="BH107" s="2" t="n">
        <f aca="false">MIN(BH106+1,BG107+1,BG106+IF($A107=BH$4,0,1))</f>
        <v>96</v>
      </c>
      <c r="BI107" s="2" t="n">
        <f aca="false">MIN(BI106+1,BH107+1,BH106+IF($A107=BI$4,0,1))</f>
        <v>96</v>
      </c>
      <c r="BJ107" s="2" t="n">
        <f aca="false">MIN(BJ106+1,BI107+1,BI106+IF($A107=BJ$4,0,1))</f>
        <v>96</v>
      </c>
      <c r="BK107" s="2" t="n">
        <f aca="false">MIN(BK106+1,BJ107+1,BJ106+IF($A107=BK$4,0,1))</f>
        <v>96</v>
      </c>
      <c r="BL107" s="2" t="n">
        <f aca="false">MIN(BL106+1,BK107+1,BK106+IF($A107=BL$4,0,1))</f>
        <v>95</v>
      </c>
      <c r="BM107" s="2" t="n">
        <f aca="false">MIN(BM106+1,BL107+1,BL106+IF($A107=BM$4,0,1))</f>
        <v>95</v>
      </c>
      <c r="BN107" s="2" t="n">
        <f aca="false">MIN(BN106+1,BM107+1,BM106+IF($A107=BN$4,0,1))</f>
        <v>96</v>
      </c>
      <c r="BO107" s="2" t="n">
        <f aca="false">MIN(BO106+1,BN107+1,BN106+IF($A107=BO$4,0,1))</f>
        <v>96</v>
      </c>
      <c r="BP107" s="2" t="n">
        <f aca="false">MIN(BP106+1,BO107+1,BO106+IF($A107=BP$4,0,1))</f>
        <v>95</v>
      </c>
      <c r="BQ107" s="2" t="n">
        <f aca="false">MIN(BQ106+1,BP107+1,BP106+IF($A107=BQ$4,0,1))</f>
        <v>95</v>
      </c>
      <c r="BR107" s="2" t="n">
        <f aca="false">MIN(BR106+1,BQ107+1,BQ106+IF($A107=BR$4,0,1))</f>
        <v>95</v>
      </c>
      <c r="BS107" s="2" t="n">
        <f aca="false">MIN(BS106+1,BR107+1,BR106+IF($A107=BS$4,0,1))</f>
        <v>95</v>
      </c>
      <c r="BT107" s="2" t="n">
        <f aca="false">MIN(BT106+1,BS107+1,BS106+IF($A107=BT$4,0,1))</f>
        <v>95</v>
      </c>
      <c r="BU107" s="2" t="n">
        <f aca="false">MIN(BU106+1,BT107+1,BT106+IF($A107=BU$4,0,1))</f>
        <v>95</v>
      </c>
      <c r="BV107" s="2" t="n">
        <f aca="false">MIN(BV106+1,BU107+1,BU106+IF($A107=BV$4,0,1))</f>
        <v>95</v>
      </c>
      <c r="BW107" s="2" t="n">
        <f aca="false">MIN(BW106+1,BV107+1,BV106+IF($A107=BW$4,0,1))</f>
        <v>95</v>
      </c>
      <c r="BX107" s="2" t="n">
        <f aca="false">MIN(BX106+1,BW107+1,BW106+IF($A107=BX$4,0,1))</f>
        <v>95</v>
      </c>
      <c r="BY107" s="2" t="n">
        <f aca="false">MIN(BY106+1,BX107+1,BX106+IF($A107=BY$4,0,1))</f>
        <v>95</v>
      </c>
      <c r="BZ107" s="2" t="n">
        <f aca="false">MIN(BZ106+1,BY107+1,BY106+IF($A107=BZ$4,0,1))</f>
        <v>95</v>
      </c>
      <c r="CA107" s="2" t="n">
        <f aca="false">MIN(CA106+1,BZ107+1,BZ106+IF($A107=CA$4,0,1))</f>
        <v>96</v>
      </c>
      <c r="CB107" s="2" t="n">
        <f aca="false">MIN(CB106+1,CA107+1,CA106+IF($A107=CB$4,0,1))</f>
        <v>96</v>
      </c>
      <c r="CC107" s="2" t="n">
        <f aca="false">MIN(CC106+1,CB107+1,CB106+IF($A107=CC$4,0,1))</f>
        <v>96</v>
      </c>
      <c r="CD107" s="2" t="n">
        <f aca="false">MIN(CD106+1,CC107+1,CC106+IF($A107=CD$4,0,1))</f>
        <v>96</v>
      </c>
      <c r="CE107" s="2" t="n">
        <f aca="false">MIN(CE106+1,CD107+1,CD106+IF($A107=CE$4,0,1))</f>
        <v>96</v>
      </c>
      <c r="CF107" s="2" t="n">
        <f aca="false">MIN(CF106+1,CE107+1,CE106+IF($A107=CF$4,0,1))</f>
        <v>96</v>
      </c>
      <c r="CG107" s="2" t="n">
        <f aca="false">MIN(CG106+1,CF107+1,CF106+IF($A107=CG$4,0,1))</f>
        <v>96</v>
      </c>
      <c r="CH107" s="2" t="n">
        <f aca="false">MIN(CH106+1,CG107+1,CG106+IF($A107=CH$4,0,1))</f>
        <v>96</v>
      </c>
      <c r="CI107" s="2" t="n">
        <f aca="false">MIN(CI106+1,CH107+1,CH106+IF($A107=CI$4,0,1))</f>
        <v>96</v>
      </c>
      <c r="CJ107" s="2" t="n">
        <f aca="false">MIN(CJ106+1,CI107+1,CI106+IF($A107=CJ$4,0,1))</f>
        <v>96</v>
      </c>
      <c r="CK107" s="2" t="n">
        <f aca="false">MIN(CK106+1,CJ107+1,CJ106+IF($A107=CK$4,0,1))</f>
        <v>96</v>
      </c>
      <c r="CL107" s="2" t="n">
        <f aca="false">MIN(CL106+1,CK107+1,CK106+IF($A107=CL$4,0,1))</f>
        <v>97</v>
      </c>
      <c r="CM107" s="2" t="n">
        <f aca="false">MIN(CM106+1,CL107+1,CL106+IF($A107=CM$4,0,1))</f>
        <v>97</v>
      </c>
      <c r="CN107" s="2" t="n">
        <f aca="false">MIN(CN106+1,CM107+1,CM106+IF($A107=CN$4,0,1))</f>
        <v>97</v>
      </c>
      <c r="CO107" s="2" t="n">
        <f aca="false">MIN(CO106+1,CN107+1,CN106+IF($A107=CO$4,0,1))</f>
        <v>98</v>
      </c>
      <c r="CP107" s="2" t="n">
        <f aca="false">MIN(CP106+1,CO107+1,CO106+IF($A107=CP$4,0,1))</f>
        <v>98</v>
      </c>
      <c r="CQ107" s="2" t="n">
        <f aca="false">MIN(CQ106+1,CP107+1,CP106+IF($A107=CQ$4,0,1))</f>
        <v>98</v>
      </c>
    </row>
    <row r="108" customFormat="false" ht="15" hidden="false" customHeight="false" outlineLevel="0" collapsed="false">
      <c r="A108" s="4" t="s">
        <v>209</v>
      </c>
      <c r="B108" s="12" t="n">
        <v>103</v>
      </c>
      <c r="C108" s="2" t="n">
        <f aca="false">MIN(C107+1,B108+1,B107+IF($A108=C$4,0,1))</f>
        <v>103</v>
      </c>
      <c r="D108" s="2" t="n">
        <f aca="false">MIN(D107+1,C108+1,C107+IF($A108=D$4,0,1))</f>
        <v>102</v>
      </c>
      <c r="E108" s="2" t="n">
        <f aca="false">MIN(E107+1,D108+1,D107+IF($A108=E$4,0,1))</f>
        <v>101</v>
      </c>
      <c r="F108" s="2" t="n">
        <f aca="false">MIN(F107+1,E108+1,E107+IF($A108=F$4,0,1))</f>
        <v>100</v>
      </c>
      <c r="G108" s="2" t="n">
        <f aca="false">MIN(G107+1,F108+1,F107+IF($A108=G$4,0,1))</f>
        <v>99</v>
      </c>
      <c r="H108" s="2" t="n">
        <f aca="false">MIN(H107+1,G108+1,G107+IF($A108=H$4,0,1))</f>
        <v>99</v>
      </c>
      <c r="I108" s="2" t="n">
        <f aca="false">MIN(I107+1,H108+1,H107+IF($A108=I$4,0,1))</f>
        <v>99</v>
      </c>
      <c r="J108" s="2" t="n">
        <f aca="false">MIN(J107+1,I108+1,I107+IF($A108=J$4,0,1))</f>
        <v>99</v>
      </c>
      <c r="K108" s="2" t="n">
        <f aca="false">MIN(K107+1,J108+1,J107+IF($A108=K$4,0,1))</f>
        <v>98</v>
      </c>
      <c r="L108" s="2" t="n">
        <f aca="false">MIN(L107+1,K108+1,K107+IF($A108=L$4,0,1))</f>
        <v>98</v>
      </c>
      <c r="M108" s="2" t="n">
        <f aca="false">MIN(M107+1,L108+1,L107+IF($A108=M$4,0,1))</f>
        <v>98</v>
      </c>
      <c r="N108" s="2" t="n">
        <f aca="false">MIN(N107+1,M108+1,M107+IF($A108=N$4,0,1))</f>
        <v>98</v>
      </c>
      <c r="O108" s="2" t="n">
        <f aca="false">MIN(O107+1,N108+1,N107+IF($A108=O$4,0,1))</f>
        <v>97</v>
      </c>
      <c r="P108" s="2" t="n">
        <f aca="false">MIN(P107+1,O108+1,O107+IF($A108=P$4,0,1))</f>
        <v>97</v>
      </c>
      <c r="Q108" s="2" t="n">
        <f aca="false">MIN(Q107+1,P108+1,P107+IF($A108=Q$4,0,1))</f>
        <v>97</v>
      </c>
      <c r="R108" s="2" t="n">
        <f aca="false">MIN(R107+1,Q108+1,Q107+IF($A108=R$4,0,1))</f>
        <v>97</v>
      </c>
      <c r="S108" s="2" t="n">
        <f aca="false">MIN(S107+1,R108+1,R107+IF($A108=S$4,0,1))</f>
        <v>97</v>
      </c>
      <c r="T108" s="2" t="n">
        <f aca="false">MIN(T107+1,S108+1,S107+IF($A108=T$4,0,1))</f>
        <v>97</v>
      </c>
      <c r="U108" s="2" t="n">
        <f aca="false">MIN(U107+1,T108+1,T107+IF($A108=U$4,0,1))</f>
        <v>97</v>
      </c>
      <c r="V108" s="2" t="n">
        <f aca="false">MIN(V107+1,U108+1,U107+IF($A108=V$4,0,1))</f>
        <v>97</v>
      </c>
      <c r="W108" s="2" t="n">
        <f aca="false">MIN(W107+1,V108+1,V107+IF($A108=W$4,0,1))</f>
        <v>97</v>
      </c>
      <c r="X108" s="2" t="n">
        <f aca="false">MIN(X107+1,W108+1,W107+IF($A108=X$4,0,1))</f>
        <v>97</v>
      </c>
      <c r="Y108" s="2" t="n">
        <f aca="false">MIN(Y107+1,X108+1,X107+IF($A108=Y$4,0,1))</f>
        <v>97</v>
      </c>
      <c r="Z108" s="2" t="n">
        <f aca="false">MIN(Z107+1,Y108+1,Y107+IF($A108=Z$4,0,1))</f>
        <v>97</v>
      </c>
      <c r="AA108" s="2" t="n">
        <f aca="false">MIN(AA107+1,Z108+1,Z107+IF($A108=AA$4,0,1))</f>
        <v>97</v>
      </c>
      <c r="AB108" s="2" t="n">
        <f aca="false">MIN(AB107+1,AA108+1,AA107+IF($A108=AB$4,0,1))</f>
        <v>97</v>
      </c>
      <c r="AC108" s="2" t="n">
        <f aca="false">MIN(AC107+1,AB108+1,AB107+IF($A108=AC$4,0,1))</f>
        <v>97</v>
      </c>
      <c r="AD108" s="2" t="n">
        <f aca="false">MIN(AD107+1,AC108+1,AC107+IF($A108=AD$4,0,1))</f>
        <v>96</v>
      </c>
      <c r="AE108" s="2" t="n">
        <f aca="false">MIN(AE107+1,AD108+1,AD107+IF($A108=AE$4,0,1))</f>
        <v>96</v>
      </c>
      <c r="AF108" s="2" t="n">
        <f aca="false">MIN(AF107+1,AE108+1,AE107+IF($A108=AF$4,0,1))</f>
        <v>96</v>
      </c>
      <c r="AG108" s="2" t="n">
        <f aca="false">MIN(AG107+1,AF108+1,AF107+IF($A108=AG$4,0,1))</f>
        <v>96</v>
      </c>
      <c r="AH108" s="2" t="n">
        <f aca="false">MIN(AH107+1,AG108+1,AG107+IF($A108=AH$4,0,1))</f>
        <v>96</v>
      </c>
      <c r="AI108" s="2" t="n">
        <f aca="false">MIN(AI107+1,AH108+1,AH107+IF($A108=AI$4,0,1))</f>
        <v>96</v>
      </c>
      <c r="AJ108" s="2" t="n">
        <f aca="false">MIN(AJ107+1,AI108+1,AI107+IF($A108=AJ$4,0,1))</f>
        <v>96</v>
      </c>
      <c r="AK108" s="2" t="n">
        <f aca="false">MIN(AK107+1,AJ108+1,AJ107+IF($A108=AK$4,0,1))</f>
        <v>96</v>
      </c>
      <c r="AL108" s="2" t="n">
        <f aca="false">MIN(AL107+1,AK108+1,AK107+IF($A108=AL$4,0,1))</f>
        <v>96</v>
      </c>
      <c r="AM108" s="2" t="n">
        <f aca="false">MIN(AM107+1,AL108+1,AL107+IF($A108=AM$4,0,1))</f>
        <v>96</v>
      </c>
      <c r="AN108" s="2" t="n">
        <f aca="false">MIN(AN107+1,AM108+1,AM107+IF($A108=AN$4,0,1))</f>
        <v>96</v>
      </c>
      <c r="AO108" s="2" t="n">
        <f aca="false">MIN(AO107+1,AN108+1,AN107+IF($A108=AO$4,0,1))</f>
        <v>96</v>
      </c>
      <c r="AP108" s="2" t="n">
        <f aca="false">MIN(AP107+1,AO108+1,AO107+IF($A108=AP$4,0,1))</f>
        <v>96</v>
      </c>
      <c r="AQ108" s="2" t="n">
        <f aca="false">MIN(AQ107+1,AP108+1,AP107+IF($A108=AQ$4,0,1))</f>
        <v>96</v>
      </c>
      <c r="AR108" s="2" t="n">
        <f aca="false">MIN(AR107+1,AQ108+1,AQ107+IF($A108=AR$4,0,1))</f>
        <v>96</v>
      </c>
      <c r="AS108" s="2" t="n">
        <f aca="false">MIN(AS107+1,AR108+1,AR107+IF($A108=AS$4,0,1))</f>
        <v>96</v>
      </c>
      <c r="AT108" s="2" t="n">
        <f aca="false">MIN(AT107+1,AS108+1,AS107+IF($A108=AT$4,0,1))</f>
        <v>96</v>
      </c>
      <c r="AU108" s="2" t="n">
        <f aca="false">MIN(AU107+1,AT108+1,AT107+IF($A108=AU$4,0,1))</f>
        <v>96</v>
      </c>
      <c r="AV108" s="2" t="n">
        <f aca="false">MIN(AV107+1,AU108+1,AU107+IF($A108=AV$4,0,1))</f>
        <v>96</v>
      </c>
      <c r="AW108" s="2" t="n">
        <f aca="false">MIN(AW107+1,AV108+1,AV107+IF($A108=AW$4,0,1))</f>
        <v>96</v>
      </c>
      <c r="AX108" s="2" t="n">
        <f aca="false">MIN(AX107+1,AW108+1,AW107+IF($A108=AX$4,0,1))</f>
        <v>97</v>
      </c>
      <c r="AY108" s="2" t="n">
        <f aca="false">MIN(AY107+1,AX108+1,AX107+IF($A108=AY$4,0,1))</f>
        <v>97</v>
      </c>
      <c r="AZ108" s="2" t="n">
        <f aca="false">MIN(AZ107+1,AY108+1,AY107+IF($A108=AZ$4,0,1))</f>
        <v>97</v>
      </c>
      <c r="BA108" s="2" t="n">
        <f aca="false">MIN(BA107+1,AZ108+1,AZ107+IF($A108=BA$4,0,1))</f>
        <v>97</v>
      </c>
      <c r="BB108" s="2" t="n">
        <f aca="false">MIN(BB107+1,BA108+1,BA107+IF($A108=BB$4,0,1))</f>
        <v>97</v>
      </c>
      <c r="BC108" s="2" t="n">
        <f aca="false">MIN(BC107+1,BB108+1,BB107+IF($A108=BC$4,0,1))</f>
        <v>97</v>
      </c>
      <c r="BD108" s="2" t="n">
        <f aca="false">MIN(BD107+1,BC108+1,BC107+IF($A108=BD$4,0,1))</f>
        <v>97</v>
      </c>
      <c r="BE108" s="2" t="n">
        <f aca="false">MIN(BE107+1,BD108+1,BD107+IF($A108=BE$4,0,1))</f>
        <v>97</v>
      </c>
      <c r="BF108" s="2" t="n">
        <f aca="false">MIN(BF107+1,BE108+1,BE107+IF($A108=BF$4,0,1))</f>
        <v>97</v>
      </c>
      <c r="BG108" s="2" t="n">
        <f aca="false">MIN(BG107+1,BF108+1,BF107+IF($A108=BG$4,0,1))</f>
        <v>97</v>
      </c>
      <c r="BH108" s="2" t="n">
        <f aca="false">MIN(BH107+1,BG108+1,BG107+IF($A108=BH$4,0,1))</f>
        <v>97</v>
      </c>
      <c r="BI108" s="2" t="n">
        <f aca="false">MIN(BI107+1,BH108+1,BH107+IF($A108=BI$4,0,1))</f>
        <v>97</v>
      </c>
      <c r="BJ108" s="2" t="n">
        <f aca="false">MIN(BJ107+1,BI108+1,BI107+IF($A108=BJ$4,0,1))</f>
        <v>97</v>
      </c>
      <c r="BK108" s="2" t="n">
        <f aca="false">MIN(BK107+1,BJ108+1,BJ107+IF($A108=BK$4,0,1))</f>
        <v>97</v>
      </c>
      <c r="BL108" s="2" t="n">
        <f aca="false">MIN(BL107+1,BK108+1,BK107+IF($A108=BL$4,0,1))</f>
        <v>96</v>
      </c>
      <c r="BM108" s="2" t="n">
        <f aca="false">MIN(BM107+1,BL108+1,BL107+IF($A108=BM$4,0,1))</f>
        <v>96</v>
      </c>
      <c r="BN108" s="2" t="n">
        <f aca="false">MIN(BN107+1,BM108+1,BM107+IF($A108=BN$4,0,1))</f>
        <v>96</v>
      </c>
      <c r="BO108" s="2" t="n">
        <f aca="false">MIN(BO107+1,BN108+1,BN107+IF($A108=BO$4,0,1))</f>
        <v>97</v>
      </c>
      <c r="BP108" s="2" t="n">
        <f aca="false">MIN(BP107+1,BO108+1,BO107+IF($A108=BP$4,0,1))</f>
        <v>96</v>
      </c>
      <c r="BQ108" s="2" t="n">
        <f aca="false">MIN(BQ107+1,BP108+1,BP107+IF($A108=BQ$4,0,1))</f>
        <v>96</v>
      </c>
      <c r="BR108" s="2" t="n">
        <f aca="false">MIN(BR107+1,BQ108+1,BQ107+IF($A108=BR$4,0,1))</f>
        <v>96</v>
      </c>
      <c r="BS108" s="2" t="n">
        <f aca="false">MIN(BS107+1,BR108+1,BR107+IF($A108=BS$4,0,1))</f>
        <v>96</v>
      </c>
      <c r="BT108" s="2" t="n">
        <f aca="false">MIN(BT107+1,BS108+1,BS107+IF($A108=BT$4,0,1))</f>
        <v>96</v>
      </c>
      <c r="BU108" s="2" t="n">
        <f aca="false">MIN(BU107+1,BT108+1,BT107+IF($A108=BU$4,0,1))</f>
        <v>96</v>
      </c>
      <c r="BV108" s="2" t="n">
        <f aca="false">MIN(BV107+1,BU108+1,BU107+IF($A108=BV$4,0,1))</f>
        <v>96</v>
      </c>
      <c r="BW108" s="2" t="n">
        <f aca="false">MIN(BW107+1,BV108+1,BV107+IF($A108=BW$4,0,1))</f>
        <v>96</v>
      </c>
      <c r="BX108" s="2" t="n">
        <f aca="false">MIN(BX107+1,BW108+1,BW107+IF($A108=BX$4,0,1))</f>
        <v>96</v>
      </c>
      <c r="BY108" s="2" t="n">
        <f aca="false">MIN(BY107+1,BX108+1,BX107+IF($A108=BY$4,0,1))</f>
        <v>96</v>
      </c>
      <c r="BZ108" s="2" t="n">
        <f aca="false">MIN(BZ107+1,BY108+1,BY107+IF($A108=BZ$4,0,1))</f>
        <v>96</v>
      </c>
      <c r="CA108" s="2" t="n">
        <f aca="false">MIN(CA107+1,BZ108+1,BZ107+IF($A108=CA$4,0,1))</f>
        <v>96</v>
      </c>
      <c r="CB108" s="2" t="n">
        <f aca="false">MIN(CB107+1,CA108+1,CA107+IF($A108=CB$4,0,1))</f>
        <v>97</v>
      </c>
      <c r="CC108" s="2" t="n">
        <f aca="false">MIN(CC107+1,CB108+1,CB107+IF($A108=CC$4,0,1))</f>
        <v>97</v>
      </c>
      <c r="CD108" s="2" t="n">
        <f aca="false">MIN(CD107+1,CC108+1,CC107+IF($A108=CD$4,0,1))</f>
        <v>97</v>
      </c>
      <c r="CE108" s="2" t="n">
        <f aca="false">MIN(CE107+1,CD108+1,CD107+IF($A108=CE$4,0,1))</f>
        <v>97</v>
      </c>
      <c r="CF108" s="2" t="n">
        <f aca="false">MIN(CF107+1,CE108+1,CE107+IF($A108=CF$4,0,1))</f>
        <v>97</v>
      </c>
      <c r="CG108" s="2" t="n">
        <f aca="false">MIN(CG107+1,CF108+1,CF107+IF($A108=CG$4,0,1))</f>
        <v>97</v>
      </c>
      <c r="CH108" s="2" t="n">
        <f aca="false">MIN(CH107+1,CG108+1,CG107+IF($A108=CH$4,0,1))</f>
        <v>97</v>
      </c>
      <c r="CI108" s="2" t="n">
        <f aca="false">MIN(CI107+1,CH108+1,CH107+IF($A108=CI$4,0,1))</f>
        <v>97</v>
      </c>
      <c r="CJ108" s="2" t="n">
        <f aca="false">MIN(CJ107+1,CI108+1,CI107+IF($A108=CJ$4,0,1))</f>
        <v>97</v>
      </c>
      <c r="CK108" s="2" t="n">
        <f aca="false">MIN(CK107+1,CJ108+1,CJ107+IF($A108=CK$4,0,1))</f>
        <v>97</v>
      </c>
      <c r="CL108" s="2" t="n">
        <f aca="false">MIN(CL107+1,CK108+1,CK107+IF($A108=CL$4,0,1))</f>
        <v>97</v>
      </c>
      <c r="CM108" s="2" t="n">
        <f aca="false">MIN(CM107+1,CL108+1,CL107+IF($A108=CM$4,0,1))</f>
        <v>98</v>
      </c>
      <c r="CN108" s="2" t="n">
        <f aca="false">MIN(CN107+1,CM108+1,CM107+IF($A108=CN$4,0,1))</f>
        <v>98</v>
      </c>
      <c r="CO108" s="2" t="n">
        <f aca="false">MIN(CO107+1,CN108+1,CN107+IF($A108=CO$4,0,1))</f>
        <v>98</v>
      </c>
      <c r="CP108" s="2" t="n">
        <f aca="false">MIN(CP107+1,CO108+1,CO107+IF($A108=CP$4,0,1))</f>
        <v>99</v>
      </c>
      <c r="CQ108" s="2" t="n">
        <f aca="false">MIN(CQ107+1,CP108+1,CP107+IF($A108=CQ$4,0,1))</f>
        <v>99</v>
      </c>
    </row>
    <row r="109" customFormat="false" ht="15" hidden="false" customHeight="false" outlineLevel="0" collapsed="false">
      <c r="A109" s="4" t="s">
        <v>180</v>
      </c>
      <c r="B109" s="12" t="n">
        <v>104</v>
      </c>
      <c r="C109" s="2" t="n">
        <f aca="false">MIN(C108+1,B109+1,B108+IF($A109=C$4,0,1))</f>
        <v>104</v>
      </c>
      <c r="D109" s="2" t="n">
        <f aca="false">MIN(D108+1,C109+1,C108+IF($A109=D$4,0,1))</f>
        <v>103</v>
      </c>
      <c r="E109" s="2" t="n">
        <f aca="false">MIN(E108+1,D109+1,D108+IF($A109=E$4,0,1))</f>
        <v>102</v>
      </c>
      <c r="F109" s="2" t="n">
        <f aca="false">MIN(F108+1,E109+1,E108+IF($A109=F$4,0,1))</f>
        <v>101</v>
      </c>
      <c r="G109" s="2" t="n">
        <f aca="false">MIN(G108+1,F109+1,F108+IF($A109=G$4,0,1))</f>
        <v>100</v>
      </c>
      <c r="H109" s="2" t="n">
        <f aca="false">MIN(H108+1,G109+1,G108+IF($A109=H$4,0,1))</f>
        <v>100</v>
      </c>
      <c r="I109" s="2" t="n">
        <f aca="false">MIN(I108+1,H109+1,H108+IF($A109=I$4,0,1))</f>
        <v>100</v>
      </c>
      <c r="J109" s="2" t="n">
        <f aca="false">MIN(J108+1,I109+1,I108+IF($A109=J$4,0,1))</f>
        <v>100</v>
      </c>
      <c r="K109" s="2" t="n">
        <f aca="false">MIN(K108+1,J109+1,J108+IF($A109=K$4,0,1))</f>
        <v>99</v>
      </c>
      <c r="L109" s="2" t="n">
        <f aca="false">MIN(L108+1,K109+1,K108+IF($A109=L$4,0,1))</f>
        <v>99</v>
      </c>
      <c r="M109" s="2" t="n">
        <f aca="false">MIN(M108+1,L109+1,L108+IF($A109=M$4,0,1))</f>
        <v>99</v>
      </c>
      <c r="N109" s="2" t="n">
        <f aca="false">MIN(N108+1,M109+1,M108+IF($A109=N$4,0,1))</f>
        <v>99</v>
      </c>
      <c r="O109" s="2" t="n">
        <f aca="false">MIN(O108+1,N109+1,N108+IF($A109=O$4,0,1))</f>
        <v>98</v>
      </c>
      <c r="P109" s="2" t="n">
        <f aca="false">MIN(P108+1,O109+1,O108+IF($A109=P$4,0,1))</f>
        <v>98</v>
      </c>
      <c r="Q109" s="2" t="n">
        <f aca="false">MIN(Q108+1,P109+1,P108+IF($A109=Q$4,0,1))</f>
        <v>98</v>
      </c>
      <c r="R109" s="2" t="n">
        <f aca="false">MIN(R108+1,Q109+1,Q108+IF($A109=R$4,0,1))</f>
        <v>98</v>
      </c>
      <c r="S109" s="2" t="n">
        <f aca="false">MIN(S108+1,R109+1,R108+IF($A109=S$4,0,1))</f>
        <v>98</v>
      </c>
      <c r="T109" s="2" t="n">
        <f aca="false">MIN(T108+1,S109+1,S108+IF($A109=T$4,0,1))</f>
        <v>98</v>
      </c>
      <c r="U109" s="2" t="n">
        <f aca="false">MIN(U108+1,T109+1,T108+IF($A109=U$4,0,1))</f>
        <v>98</v>
      </c>
      <c r="V109" s="2" t="n">
        <f aca="false">MIN(V108+1,U109+1,U108+IF($A109=V$4,0,1))</f>
        <v>98</v>
      </c>
      <c r="W109" s="2" t="n">
        <f aca="false">MIN(W108+1,V109+1,V108+IF($A109=W$4,0,1))</f>
        <v>98</v>
      </c>
      <c r="X109" s="2" t="n">
        <f aca="false">MIN(X108+1,W109+1,W108+IF($A109=X$4,0,1))</f>
        <v>98</v>
      </c>
      <c r="Y109" s="2" t="n">
        <f aca="false">MIN(Y108+1,X109+1,X108+IF($A109=Y$4,0,1))</f>
        <v>98</v>
      </c>
      <c r="Z109" s="2" t="n">
        <f aca="false">MIN(Z108+1,Y109+1,Y108+IF($A109=Z$4,0,1))</f>
        <v>98</v>
      </c>
      <c r="AA109" s="2" t="n">
        <f aca="false">MIN(AA108+1,Z109+1,Z108+IF($A109=AA$4,0,1))</f>
        <v>98</v>
      </c>
      <c r="AB109" s="2" t="n">
        <f aca="false">MIN(AB108+1,AA109+1,AA108+IF($A109=AB$4,0,1))</f>
        <v>98</v>
      </c>
      <c r="AC109" s="2" t="n">
        <f aca="false">MIN(AC108+1,AB109+1,AB108+IF($A109=AC$4,0,1))</f>
        <v>98</v>
      </c>
      <c r="AD109" s="2" t="n">
        <f aca="false">MIN(AD108+1,AC109+1,AC108+IF($A109=AD$4,0,1))</f>
        <v>97</v>
      </c>
      <c r="AE109" s="2" t="n">
        <f aca="false">MIN(AE108+1,AD109+1,AD108+IF($A109=AE$4,0,1))</f>
        <v>97</v>
      </c>
      <c r="AF109" s="2" t="n">
        <f aca="false">MIN(AF108+1,AE109+1,AE108+IF($A109=AF$4,0,1))</f>
        <v>97</v>
      </c>
      <c r="AG109" s="2" t="n">
        <f aca="false">MIN(AG108+1,AF109+1,AF108+IF($A109=AG$4,0,1))</f>
        <v>97</v>
      </c>
      <c r="AH109" s="2" t="n">
        <f aca="false">MIN(AH108+1,AG109+1,AG108+IF($A109=AH$4,0,1))</f>
        <v>97</v>
      </c>
      <c r="AI109" s="2" t="n">
        <f aca="false">MIN(AI108+1,AH109+1,AH108+IF($A109=AI$4,0,1))</f>
        <v>97</v>
      </c>
      <c r="AJ109" s="2" t="n">
        <f aca="false">MIN(AJ108+1,AI109+1,AI108+IF($A109=AJ$4,0,1))</f>
        <v>97</v>
      </c>
      <c r="AK109" s="2" t="n">
        <f aca="false">MIN(AK108+1,AJ109+1,AJ108+IF($A109=AK$4,0,1))</f>
        <v>97</v>
      </c>
      <c r="AL109" s="2" t="n">
        <f aca="false">MIN(AL108+1,AK109+1,AK108+IF($A109=AL$4,0,1))</f>
        <v>97</v>
      </c>
      <c r="AM109" s="2" t="n">
        <f aca="false">MIN(AM108+1,AL109+1,AL108+IF($A109=AM$4,0,1))</f>
        <v>97</v>
      </c>
      <c r="AN109" s="2" t="n">
        <f aca="false">MIN(AN108+1,AM109+1,AM108+IF($A109=AN$4,0,1))</f>
        <v>97</v>
      </c>
      <c r="AO109" s="2" t="n">
        <f aca="false">MIN(AO108+1,AN109+1,AN108+IF($A109=AO$4,0,1))</f>
        <v>97</v>
      </c>
      <c r="AP109" s="2" t="n">
        <f aca="false">MIN(AP108+1,AO109+1,AO108+IF($A109=AP$4,0,1))</f>
        <v>97</v>
      </c>
      <c r="AQ109" s="2" t="n">
        <f aca="false">MIN(AQ108+1,AP109+1,AP108+IF($A109=AQ$4,0,1))</f>
        <v>97</v>
      </c>
      <c r="AR109" s="2" t="n">
        <f aca="false">MIN(AR108+1,AQ109+1,AQ108+IF($A109=AR$4,0,1))</f>
        <v>97</v>
      </c>
      <c r="AS109" s="2" t="n">
        <f aca="false">MIN(AS108+1,AR109+1,AR108+IF($A109=AS$4,0,1))</f>
        <v>97</v>
      </c>
      <c r="AT109" s="2" t="n">
        <f aca="false">MIN(AT108+1,AS109+1,AS108+IF($A109=AT$4,0,1))</f>
        <v>97</v>
      </c>
      <c r="AU109" s="2" t="n">
        <f aca="false">MIN(AU108+1,AT109+1,AT108+IF($A109=AU$4,0,1))</f>
        <v>97</v>
      </c>
      <c r="AV109" s="2" t="n">
        <f aca="false">MIN(AV108+1,AU109+1,AU108+IF($A109=AV$4,0,1))</f>
        <v>97</v>
      </c>
      <c r="AW109" s="2" t="n">
        <f aca="false">MIN(AW108+1,AV109+1,AV108+IF($A109=AW$4,0,1))</f>
        <v>97</v>
      </c>
      <c r="AX109" s="2" t="n">
        <f aca="false">MIN(AX108+1,AW109+1,AW108+IF($A109=AX$4,0,1))</f>
        <v>97</v>
      </c>
      <c r="AY109" s="2" t="n">
        <f aca="false">MIN(AY108+1,AX109+1,AX108+IF($A109=AY$4,0,1))</f>
        <v>98</v>
      </c>
      <c r="AZ109" s="2" t="n">
        <f aca="false">MIN(AZ108+1,AY109+1,AY108+IF($A109=AZ$4,0,1))</f>
        <v>98</v>
      </c>
      <c r="BA109" s="2" t="n">
        <f aca="false">MIN(BA108+1,AZ109+1,AZ108+IF($A109=BA$4,0,1))</f>
        <v>98</v>
      </c>
      <c r="BB109" s="2" t="n">
        <f aca="false">MIN(BB108+1,BA109+1,BA108+IF($A109=BB$4,0,1))</f>
        <v>98</v>
      </c>
      <c r="BC109" s="2" t="n">
        <f aca="false">MIN(BC108+1,BB109+1,BB108+IF($A109=BC$4,0,1))</f>
        <v>98</v>
      </c>
      <c r="BD109" s="2" t="n">
        <f aca="false">MIN(BD108+1,BC109+1,BC108+IF($A109=BD$4,0,1))</f>
        <v>98</v>
      </c>
      <c r="BE109" s="2" t="n">
        <f aca="false">MIN(BE108+1,BD109+1,BD108+IF($A109=BE$4,0,1))</f>
        <v>98</v>
      </c>
      <c r="BF109" s="2" t="n">
        <f aca="false">MIN(BF108+1,BE109+1,BE108+IF($A109=BF$4,0,1))</f>
        <v>98</v>
      </c>
      <c r="BG109" s="2" t="n">
        <f aca="false">MIN(BG108+1,BF109+1,BF108+IF($A109=BG$4,0,1))</f>
        <v>98</v>
      </c>
      <c r="BH109" s="2" t="n">
        <f aca="false">MIN(BH108+1,BG109+1,BG108+IF($A109=BH$4,0,1))</f>
        <v>98</v>
      </c>
      <c r="BI109" s="2" t="n">
        <f aca="false">MIN(BI108+1,BH109+1,BH108+IF($A109=BI$4,0,1))</f>
        <v>98</v>
      </c>
      <c r="BJ109" s="2" t="n">
        <f aca="false">MIN(BJ108+1,BI109+1,BI108+IF($A109=BJ$4,0,1))</f>
        <v>98</v>
      </c>
      <c r="BK109" s="2" t="n">
        <f aca="false">MIN(BK108+1,BJ109+1,BJ108+IF($A109=BK$4,0,1))</f>
        <v>98</v>
      </c>
      <c r="BL109" s="2" t="n">
        <f aca="false">MIN(BL108+1,BK109+1,BK108+IF($A109=BL$4,0,1))</f>
        <v>97</v>
      </c>
      <c r="BM109" s="2" t="n">
        <f aca="false">MIN(BM108+1,BL109+1,BL108+IF($A109=BM$4,0,1))</f>
        <v>97</v>
      </c>
      <c r="BN109" s="2" t="n">
        <f aca="false">MIN(BN108+1,BM109+1,BM108+IF($A109=BN$4,0,1))</f>
        <v>97</v>
      </c>
      <c r="BO109" s="2" t="n">
        <f aca="false">MIN(BO108+1,BN109+1,BN108+IF($A109=BO$4,0,1))</f>
        <v>97</v>
      </c>
      <c r="BP109" s="2" t="n">
        <f aca="false">MIN(BP108+1,BO109+1,BO108+IF($A109=BP$4,0,1))</f>
        <v>97</v>
      </c>
      <c r="BQ109" s="2" t="n">
        <f aca="false">MIN(BQ108+1,BP109+1,BP108+IF($A109=BQ$4,0,1))</f>
        <v>97</v>
      </c>
      <c r="BR109" s="2" t="n">
        <f aca="false">MIN(BR108+1,BQ109+1,BQ108+IF($A109=BR$4,0,1))</f>
        <v>97</v>
      </c>
      <c r="BS109" s="2" t="n">
        <f aca="false">MIN(BS108+1,BR109+1,BR108+IF($A109=BS$4,0,1))</f>
        <v>97</v>
      </c>
      <c r="BT109" s="2" t="n">
        <f aca="false">MIN(BT108+1,BS109+1,BS108+IF($A109=BT$4,0,1))</f>
        <v>97</v>
      </c>
      <c r="BU109" s="2" t="n">
        <f aca="false">MIN(BU108+1,BT109+1,BT108+IF($A109=BU$4,0,1))</f>
        <v>97</v>
      </c>
      <c r="BV109" s="2" t="n">
        <f aca="false">MIN(BV108+1,BU109+1,BU108+IF($A109=BV$4,0,1))</f>
        <v>97</v>
      </c>
      <c r="BW109" s="2" t="n">
        <f aca="false">MIN(BW108+1,BV109+1,BV108+IF($A109=BW$4,0,1))</f>
        <v>97</v>
      </c>
      <c r="BX109" s="2" t="n">
        <f aca="false">MIN(BX108+1,BW109+1,BW108+IF($A109=BX$4,0,1))</f>
        <v>97</v>
      </c>
      <c r="BY109" s="2" t="n">
        <f aca="false">MIN(BY108+1,BX109+1,BX108+IF($A109=BY$4,0,1))</f>
        <v>97</v>
      </c>
      <c r="BZ109" s="2" t="n">
        <f aca="false">MIN(BZ108+1,BY109+1,BY108+IF($A109=BZ$4,0,1))</f>
        <v>97</v>
      </c>
      <c r="CA109" s="2" t="n">
        <f aca="false">MIN(CA108+1,BZ109+1,BZ108+IF($A109=CA$4,0,1))</f>
        <v>97</v>
      </c>
      <c r="CB109" s="2" t="n">
        <f aca="false">MIN(CB108+1,CA109+1,CA108+IF($A109=CB$4,0,1))</f>
        <v>97</v>
      </c>
      <c r="CC109" s="2" t="n">
        <f aca="false">MIN(CC108+1,CB109+1,CB108+IF($A109=CC$4,0,1))</f>
        <v>98</v>
      </c>
      <c r="CD109" s="2" t="n">
        <f aca="false">MIN(CD108+1,CC109+1,CC108+IF($A109=CD$4,0,1))</f>
        <v>98</v>
      </c>
      <c r="CE109" s="2" t="n">
        <f aca="false">MIN(CE108+1,CD109+1,CD108+IF($A109=CE$4,0,1))</f>
        <v>98</v>
      </c>
      <c r="CF109" s="2" t="n">
        <f aca="false">MIN(CF108+1,CE109+1,CE108+IF($A109=CF$4,0,1))</f>
        <v>98</v>
      </c>
      <c r="CG109" s="2" t="n">
        <f aca="false">MIN(CG108+1,CF109+1,CF108+IF($A109=CG$4,0,1))</f>
        <v>98</v>
      </c>
      <c r="CH109" s="2" t="n">
        <f aca="false">MIN(CH108+1,CG109+1,CG108+IF($A109=CH$4,0,1))</f>
        <v>98</v>
      </c>
      <c r="CI109" s="2" t="n">
        <f aca="false">MIN(CI108+1,CH109+1,CH108+IF($A109=CI$4,0,1))</f>
        <v>98</v>
      </c>
      <c r="CJ109" s="2" t="n">
        <f aca="false">MIN(CJ108+1,CI109+1,CI108+IF($A109=CJ$4,0,1))</f>
        <v>98</v>
      </c>
      <c r="CK109" s="2" t="n">
        <f aca="false">MIN(CK108+1,CJ109+1,CJ108+IF($A109=CK$4,0,1))</f>
        <v>98</v>
      </c>
      <c r="CL109" s="2" t="n">
        <f aca="false">MIN(CL108+1,CK109+1,CK108+IF($A109=CL$4,0,1))</f>
        <v>98</v>
      </c>
      <c r="CM109" s="2" t="n">
        <f aca="false">MIN(CM108+1,CL109+1,CL108+IF($A109=CM$4,0,1))</f>
        <v>98</v>
      </c>
      <c r="CN109" s="2" t="n">
        <f aca="false">MIN(CN108+1,CM109+1,CM108+IF($A109=CN$4,0,1))</f>
        <v>99</v>
      </c>
      <c r="CO109" s="2" t="n">
        <f aca="false">MIN(CO108+1,CN109+1,CN108+IF($A109=CO$4,0,1))</f>
        <v>99</v>
      </c>
      <c r="CP109" s="2" t="n">
        <f aca="false">MIN(CP108+1,CO109+1,CO108+IF($A109=CP$4,0,1))</f>
        <v>99</v>
      </c>
      <c r="CQ109" s="2" t="n">
        <f aca="false">MIN(CQ108+1,CP109+1,CP108+IF($A109=CQ$4,0,1))</f>
        <v>100</v>
      </c>
    </row>
    <row r="110" customFormat="false" ht="15" hidden="false" customHeight="false" outlineLevel="0" collapsed="false">
      <c r="A110" s="4" t="s">
        <v>210</v>
      </c>
      <c r="B110" s="12" t="n">
        <v>105</v>
      </c>
      <c r="C110" s="2" t="n">
        <f aca="false">MIN(C109+1,B110+1,B109+IF($A110=C$4,0,1))</f>
        <v>105</v>
      </c>
      <c r="D110" s="2" t="n">
        <f aca="false">MIN(D109+1,C110+1,C109+IF($A110=D$4,0,1))</f>
        <v>104</v>
      </c>
      <c r="E110" s="2" t="n">
        <f aca="false">MIN(E109+1,D110+1,D109+IF($A110=E$4,0,1))</f>
        <v>103</v>
      </c>
      <c r="F110" s="2" t="n">
        <f aca="false">MIN(F109+1,E110+1,E109+IF($A110=F$4,0,1))</f>
        <v>102</v>
      </c>
      <c r="G110" s="2" t="n">
        <f aca="false">MIN(G109+1,F110+1,F109+IF($A110=G$4,0,1))</f>
        <v>101</v>
      </c>
      <c r="H110" s="2" t="n">
        <f aca="false">MIN(H109+1,G110+1,G109+IF($A110=H$4,0,1))</f>
        <v>101</v>
      </c>
      <c r="I110" s="2" t="n">
        <f aca="false">MIN(I109+1,H110+1,H109+IF($A110=I$4,0,1))</f>
        <v>101</v>
      </c>
      <c r="J110" s="2" t="n">
        <f aca="false">MIN(J109+1,I110+1,I109+IF($A110=J$4,0,1))</f>
        <v>101</v>
      </c>
      <c r="K110" s="2" t="n">
        <f aca="false">MIN(K109+1,J110+1,J109+IF($A110=K$4,0,1))</f>
        <v>100</v>
      </c>
      <c r="L110" s="2" t="n">
        <f aca="false">MIN(L109+1,K110+1,K109+IF($A110=L$4,0,1))</f>
        <v>100</v>
      </c>
      <c r="M110" s="2" t="n">
        <f aca="false">MIN(M109+1,L110+1,L109+IF($A110=M$4,0,1))</f>
        <v>100</v>
      </c>
      <c r="N110" s="2" t="n">
        <f aca="false">MIN(N109+1,M110+1,M109+IF($A110=N$4,0,1))</f>
        <v>100</v>
      </c>
      <c r="O110" s="2" t="n">
        <f aca="false">MIN(O109+1,N110+1,N109+IF($A110=O$4,0,1))</f>
        <v>99</v>
      </c>
      <c r="P110" s="2" t="n">
        <f aca="false">MIN(P109+1,O110+1,O109+IF($A110=P$4,0,1))</f>
        <v>99</v>
      </c>
      <c r="Q110" s="2" t="n">
        <f aca="false">MIN(Q109+1,P110+1,P109+IF($A110=Q$4,0,1))</f>
        <v>99</v>
      </c>
      <c r="R110" s="2" t="n">
        <f aca="false">MIN(R109+1,Q110+1,Q109+IF($A110=R$4,0,1))</f>
        <v>99</v>
      </c>
      <c r="S110" s="2" t="n">
        <f aca="false">MIN(S109+1,R110+1,R109+IF($A110=S$4,0,1))</f>
        <v>99</v>
      </c>
      <c r="T110" s="2" t="n">
        <f aca="false">MIN(T109+1,S110+1,S109+IF($A110=T$4,0,1))</f>
        <v>99</v>
      </c>
      <c r="U110" s="2" t="n">
        <f aca="false">MIN(U109+1,T110+1,T109+IF($A110=U$4,0,1))</f>
        <v>99</v>
      </c>
      <c r="V110" s="2" t="n">
        <f aca="false">MIN(V109+1,U110+1,U109+IF($A110=V$4,0,1))</f>
        <v>99</v>
      </c>
      <c r="W110" s="2" t="n">
        <f aca="false">MIN(W109+1,V110+1,V109+IF($A110=W$4,0,1))</f>
        <v>99</v>
      </c>
      <c r="X110" s="2" t="n">
        <f aca="false">MIN(X109+1,W110+1,W109+IF($A110=X$4,0,1))</f>
        <v>99</v>
      </c>
      <c r="Y110" s="2" t="n">
        <f aca="false">MIN(Y109+1,X110+1,X109+IF($A110=Y$4,0,1))</f>
        <v>99</v>
      </c>
      <c r="Z110" s="2" t="n">
        <f aca="false">MIN(Z109+1,Y110+1,Y109+IF($A110=Z$4,0,1))</f>
        <v>99</v>
      </c>
      <c r="AA110" s="2" t="n">
        <f aca="false">MIN(AA109+1,Z110+1,Z109+IF($A110=AA$4,0,1))</f>
        <v>99</v>
      </c>
      <c r="AB110" s="2" t="n">
        <f aca="false">MIN(AB109+1,AA110+1,AA109+IF($A110=AB$4,0,1))</f>
        <v>99</v>
      </c>
      <c r="AC110" s="2" t="n">
        <f aca="false">MIN(AC109+1,AB110+1,AB109+IF($A110=AC$4,0,1))</f>
        <v>99</v>
      </c>
      <c r="AD110" s="2" t="n">
        <f aca="false">MIN(AD109+1,AC110+1,AC109+IF($A110=AD$4,0,1))</f>
        <v>98</v>
      </c>
      <c r="AE110" s="2" t="n">
        <f aca="false">MIN(AE109+1,AD110+1,AD109+IF($A110=AE$4,0,1))</f>
        <v>98</v>
      </c>
      <c r="AF110" s="2" t="n">
        <f aca="false">MIN(AF109+1,AE110+1,AE109+IF($A110=AF$4,0,1))</f>
        <v>98</v>
      </c>
      <c r="AG110" s="2" t="n">
        <f aca="false">MIN(AG109+1,AF110+1,AF109+IF($A110=AG$4,0,1))</f>
        <v>98</v>
      </c>
      <c r="AH110" s="2" t="n">
        <f aca="false">MIN(AH109+1,AG110+1,AG109+IF($A110=AH$4,0,1))</f>
        <v>98</v>
      </c>
      <c r="AI110" s="2" t="n">
        <f aca="false">MIN(AI109+1,AH110+1,AH109+IF($A110=AI$4,0,1))</f>
        <v>98</v>
      </c>
      <c r="AJ110" s="2" t="n">
        <f aca="false">MIN(AJ109+1,AI110+1,AI109+IF($A110=AJ$4,0,1))</f>
        <v>98</v>
      </c>
      <c r="AK110" s="2" t="n">
        <f aca="false">MIN(AK109+1,AJ110+1,AJ109+IF($A110=AK$4,0,1))</f>
        <v>98</v>
      </c>
      <c r="AL110" s="2" t="n">
        <f aca="false">MIN(AL109+1,AK110+1,AK109+IF($A110=AL$4,0,1))</f>
        <v>98</v>
      </c>
      <c r="AM110" s="2" t="n">
        <f aca="false">MIN(AM109+1,AL110+1,AL109+IF($A110=AM$4,0,1))</f>
        <v>98</v>
      </c>
      <c r="AN110" s="2" t="n">
        <f aca="false">MIN(AN109+1,AM110+1,AM109+IF($A110=AN$4,0,1))</f>
        <v>98</v>
      </c>
      <c r="AO110" s="2" t="n">
        <f aca="false">MIN(AO109+1,AN110+1,AN109+IF($A110=AO$4,0,1))</f>
        <v>98</v>
      </c>
      <c r="AP110" s="2" t="n">
        <f aca="false">MIN(AP109+1,AO110+1,AO109+IF($A110=AP$4,0,1))</f>
        <v>98</v>
      </c>
      <c r="AQ110" s="2" t="n">
        <f aca="false">MIN(AQ109+1,AP110+1,AP109+IF($A110=AQ$4,0,1))</f>
        <v>98</v>
      </c>
      <c r="AR110" s="2" t="n">
        <f aca="false">MIN(AR109+1,AQ110+1,AQ109+IF($A110=AR$4,0,1))</f>
        <v>98</v>
      </c>
      <c r="AS110" s="2" t="n">
        <f aca="false">MIN(AS109+1,AR110+1,AR109+IF($A110=AS$4,0,1))</f>
        <v>98</v>
      </c>
      <c r="AT110" s="2" t="n">
        <f aca="false">MIN(AT109+1,AS110+1,AS109+IF($A110=AT$4,0,1))</f>
        <v>98</v>
      </c>
      <c r="AU110" s="2" t="n">
        <f aca="false">MIN(AU109+1,AT110+1,AT109+IF($A110=AU$4,0,1))</f>
        <v>98</v>
      </c>
      <c r="AV110" s="2" t="n">
        <f aca="false">MIN(AV109+1,AU110+1,AU109+IF($A110=AV$4,0,1))</f>
        <v>98</v>
      </c>
      <c r="AW110" s="2" t="n">
        <f aca="false">MIN(AW109+1,AV110+1,AV109+IF($A110=AW$4,0,1))</f>
        <v>98</v>
      </c>
      <c r="AX110" s="2" t="n">
        <f aca="false">MIN(AX109+1,AW110+1,AW109+IF($A110=AX$4,0,1))</f>
        <v>98</v>
      </c>
      <c r="AY110" s="2" t="n">
        <f aca="false">MIN(AY109+1,AX110+1,AX109+IF($A110=AY$4,0,1))</f>
        <v>98</v>
      </c>
      <c r="AZ110" s="2" t="n">
        <f aca="false">MIN(AZ109+1,AY110+1,AY109+IF($A110=AZ$4,0,1))</f>
        <v>99</v>
      </c>
      <c r="BA110" s="2" t="n">
        <f aca="false">MIN(BA109+1,AZ110+1,AZ109+IF($A110=BA$4,0,1))</f>
        <v>99</v>
      </c>
      <c r="BB110" s="2" t="n">
        <f aca="false">MIN(BB109+1,BA110+1,BA109+IF($A110=BB$4,0,1))</f>
        <v>99</v>
      </c>
      <c r="BC110" s="2" t="n">
        <f aca="false">MIN(BC109+1,BB110+1,BB109+IF($A110=BC$4,0,1))</f>
        <v>99</v>
      </c>
      <c r="BD110" s="2" t="n">
        <f aca="false">MIN(BD109+1,BC110+1,BC109+IF($A110=BD$4,0,1))</f>
        <v>99</v>
      </c>
      <c r="BE110" s="2" t="n">
        <f aca="false">MIN(BE109+1,BD110+1,BD109+IF($A110=BE$4,0,1))</f>
        <v>99</v>
      </c>
      <c r="BF110" s="2" t="n">
        <f aca="false">MIN(BF109+1,BE110+1,BE109+IF($A110=BF$4,0,1))</f>
        <v>99</v>
      </c>
      <c r="BG110" s="2" t="n">
        <f aca="false">MIN(BG109+1,BF110+1,BF109+IF($A110=BG$4,0,1))</f>
        <v>99</v>
      </c>
      <c r="BH110" s="2" t="n">
        <f aca="false">MIN(BH109+1,BG110+1,BG109+IF($A110=BH$4,0,1))</f>
        <v>99</v>
      </c>
      <c r="BI110" s="2" t="n">
        <f aca="false">MIN(BI109+1,BH110+1,BH109+IF($A110=BI$4,0,1))</f>
        <v>99</v>
      </c>
      <c r="BJ110" s="2" t="n">
        <f aca="false">MIN(BJ109+1,BI110+1,BI109+IF($A110=BJ$4,0,1))</f>
        <v>99</v>
      </c>
      <c r="BK110" s="2" t="n">
        <f aca="false">MIN(BK109+1,BJ110+1,BJ109+IF($A110=BK$4,0,1))</f>
        <v>99</v>
      </c>
      <c r="BL110" s="2" t="n">
        <f aca="false">MIN(BL109+1,BK110+1,BK109+IF($A110=BL$4,0,1))</f>
        <v>98</v>
      </c>
      <c r="BM110" s="2" t="n">
        <f aca="false">MIN(BM109+1,BL110+1,BL109+IF($A110=BM$4,0,1))</f>
        <v>98</v>
      </c>
      <c r="BN110" s="2" t="n">
        <f aca="false">MIN(BN109+1,BM110+1,BM109+IF($A110=BN$4,0,1))</f>
        <v>98</v>
      </c>
      <c r="BO110" s="2" t="n">
        <f aca="false">MIN(BO109+1,BN110+1,BN109+IF($A110=BO$4,0,1))</f>
        <v>98</v>
      </c>
      <c r="BP110" s="2" t="n">
        <f aca="false">MIN(BP109+1,BO110+1,BO109+IF($A110=BP$4,0,1))</f>
        <v>98</v>
      </c>
      <c r="BQ110" s="2" t="n">
        <f aca="false">MIN(BQ109+1,BP110+1,BP109+IF($A110=BQ$4,0,1))</f>
        <v>98</v>
      </c>
      <c r="BR110" s="2" t="n">
        <f aca="false">MIN(BR109+1,BQ110+1,BQ109+IF($A110=BR$4,0,1))</f>
        <v>98</v>
      </c>
      <c r="BS110" s="2" t="n">
        <f aca="false">MIN(BS109+1,BR110+1,BR109+IF($A110=BS$4,0,1))</f>
        <v>98</v>
      </c>
      <c r="BT110" s="2" t="n">
        <f aca="false">MIN(BT109+1,BS110+1,BS109+IF($A110=BT$4,0,1))</f>
        <v>98</v>
      </c>
      <c r="BU110" s="2" t="n">
        <f aca="false">MIN(BU109+1,BT110+1,BT109+IF($A110=BU$4,0,1))</f>
        <v>98</v>
      </c>
      <c r="BV110" s="2" t="n">
        <f aca="false">MIN(BV109+1,BU110+1,BU109+IF($A110=BV$4,0,1))</f>
        <v>98</v>
      </c>
      <c r="BW110" s="2" t="n">
        <f aca="false">MIN(BW109+1,BV110+1,BV109+IF($A110=BW$4,0,1))</f>
        <v>98</v>
      </c>
      <c r="BX110" s="2" t="n">
        <f aca="false">MIN(BX109+1,BW110+1,BW109+IF($A110=BX$4,0,1))</f>
        <v>98</v>
      </c>
      <c r="BY110" s="2" t="n">
        <f aca="false">MIN(BY109+1,BX110+1,BX109+IF($A110=BY$4,0,1))</f>
        <v>98</v>
      </c>
      <c r="BZ110" s="2" t="n">
        <f aca="false">MIN(BZ109+1,BY110+1,BY109+IF($A110=BZ$4,0,1))</f>
        <v>98</v>
      </c>
      <c r="CA110" s="2" t="n">
        <f aca="false">MIN(CA109+1,BZ110+1,BZ109+IF($A110=CA$4,0,1))</f>
        <v>98</v>
      </c>
      <c r="CB110" s="2" t="n">
        <f aca="false">MIN(CB109+1,CA110+1,CA109+IF($A110=CB$4,0,1))</f>
        <v>98</v>
      </c>
      <c r="CC110" s="2" t="n">
        <f aca="false">MIN(CC109+1,CB110+1,CB109+IF($A110=CC$4,0,1))</f>
        <v>98</v>
      </c>
      <c r="CD110" s="2" t="n">
        <f aca="false">MIN(CD109+1,CC110+1,CC109+IF($A110=CD$4,0,1))</f>
        <v>99</v>
      </c>
      <c r="CE110" s="2" t="n">
        <f aca="false">MIN(CE109+1,CD110+1,CD109+IF($A110=CE$4,0,1))</f>
        <v>99</v>
      </c>
      <c r="CF110" s="2" t="n">
        <f aca="false">MIN(CF109+1,CE110+1,CE109+IF($A110=CF$4,0,1))</f>
        <v>99</v>
      </c>
      <c r="CG110" s="2" t="n">
        <f aca="false">MIN(CG109+1,CF110+1,CF109+IF($A110=CG$4,0,1))</f>
        <v>99</v>
      </c>
      <c r="CH110" s="2" t="n">
        <f aca="false">MIN(CH109+1,CG110+1,CG109+IF($A110=CH$4,0,1))</f>
        <v>99</v>
      </c>
      <c r="CI110" s="2" t="n">
        <f aca="false">MIN(CI109+1,CH110+1,CH109+IF($A110=CI$4,0,1))</f>
        <v>99</v>
      </c>
      <c r="CJ110" s="2" t="n">
        <f aca="false">MIN(CJ109+1,CI110+1,CI109+IF($A110=CJ$4,0,1))</f>
        <v>99</v>
      </c>
      <c r="CK110" s="2" t="n">
        <f aca="false">MIN(CK109+1,CJ110+1,CJ109+IF($A110=CK$4,0,1))</f>
        <v>99</v>
      </c>
      <c r="CL110" s="2" t="n">
        <f aca="false">MIN(CL109+1,CK110+1,CK109+IF($A110=CL$4,0,1))</f>
        <v>99</v>
      </c>
      <c r="CM110" s="2" t="n">
        <f aca="false">MIN(CM109+1,CL110+1,CL109+IF($A110=CM$4,0,1))</f>
        <v>99</v>
      </c>
      <c r="CN110" s="2" t="n">
        <f aca="false">MIN(CN109+1,CM110+1,CM109+IF($A110=CN$4,0,1))</f>
        <v>99</v>
      </c>
      <c r="CO110" s="2" t="n">
        <f aca="false">MIN(CO109+1,CN110+1,CN109+IF($A110=CO$4,0,1))</f>
        <v>100</v>
      </c>
      <c r="CP110" s="2" t="n">
        <f aca="false">MIN(CP109+1,CO110+1,CO109+IF($A110=CP$4,0,1))</f>
        <v>100</v>
      </c>
      <c r="CQ110" s="2" t="n">
        <f aca="false">MIN(CQ109+1,CP110+1,CP109+IF($A110=CQ$4,0,1))</f>
        <v>100</v>
      </c>
    </row>
    <row r="111" customFormat="false" ht="15" hidden="false" customHeight="false" outlineLevel="0" collapsed="false">
      <c r="A111" s="4" t="s">
        <v>156</v>
      </c>
      <c r="B111" s="12" t="n">
        <v>106</v>
      </c>
      <c r="C111" s="2" t="n">
        <f aca="false">MIN(C110+1,B111+1,B110+IF($A111=C$4,0,1))</f>
        <v>106</v>
      </c>
      <c r="D111" s="2" t="n">
        <f aca="false">MIN(D110+1,C111+1,C110+IF($A111=D$4,0,1))</f>
        <v>105</v>
      </c>
      <c r="E111" s="2" t="n">
        <f aca="false">MIN(E110+1,D111+1,D110+IF($A111=E$4,0,1))</f>
        <v>104</v>
      </c>
      <c r="F111" s="2" t="n">
        <f aca="false">MIN(F110+1,E111+1,E110+IF($A111=F$4,0,1))</f>
        <v>103</v>
      </c>
      <c r="G111" s="2" t="n">
        <f aca="false">MIN(G110+1,F111+1,F110+IF($A111=G$4,0,1))</f>
        <v>102</v>
      </c>
      <c r="H111" s="2" t="n">
        <f aca="false">MIN(H110+1,G111+1,G110+IF($A111=H$4,0,1))</f>
        <v>102</v>
      </c>
      <c r="I111" s="2" t="n">
        <f aca="false">MIN(I110+1,H111+1,H110+IF($A111=I$4,0,1))</f>
        <v>102</v>
      </c>
      <c r="J111" s="2" t="n">
        <f aca="false">MIN(J110+1,I111+1,I110+IF($A111=J$4,0,1))</f>
        <v>102</v>
      </c>
      <c r="K111" s="2" t="n">
        <f aca="false">MIN(K110+1,J111+1,J110+IF($A111=K$4,0,1))</f>
        <v>101</v>
      </c>
      <c r="L111" s="2" t="n">
        <f aca="false">MIN(L110+1,K111+1,K110+IF($A111=L$4,0,1))</f>
        <v>101</v>
      </c>
      <c r="M111" s="2" t="n">
        <f aca="false">MIN(M110+1,L111+1,L110+IF($A111=M$4,0,1))</f>
        <v>101</v>
      </c>
      <c r="N111" s="2" t="n">
        <f aca="false">MIN(N110+1,M111+1,M110+IF($A111=N$4,0,1))</f>
        <v>101</v>
      </c>
      <c r="O111" s="2" t="n">
        <f aca="false">MIN(O110+1,N111+1,N110+IF($A111=O$4,0,1))</f>
        <v>100</v>
      </c>
      <c r="P111" s="2" t="n">
        <f aca="false">MIN(P110+1,O111+1,O110+IF($A111=P$4,0,1))</f>
        <v>100</v>
      </c>
      <c r="Q111" s="2" t="n">
        <f aca="false">MIN(Q110+1,P111+1,P110+IF($A111=Q$4,0,1))</f>
        <v>100</v>
      </c>
      <c r="R111" s="2" t="n">
        <f aca="false">MIN(R110+1,Q111+1,Q110+IF($A111=R$4,0,1))</f>
        <v>100</v>
      </c>
      <c r="S111" s="2" t="n">
        <f aca="false">MIN(S110+1,R111+1,R110+IF($A111=S$4,0,1))</f>
        <v>100</v>
      </c>
      <c r="T111" s="2" t="n">
        <f aca="false">MIN(T110+1,S111+1,S110+IF($A111=T$4,0,1))</f>
        <v>100</v>
      </c>
      <c r="U111" s="2" t="n">
        <f aca="false">MIN(U110+1,T111+1,T110+IF($A111=U$4,0,1))</f>
        <v>100</v>
      </c>
      <c r="V111" s="2" t="n">
        <f aca="false">MIN(V110+1,U111+1,U110+IF($A111=V$4,0,1))</f>
        <v>100</v>
      </c>
      <c r="W111" s="2" t="n">
        <f aca="false">MIN(W110+1,V111+1,V110+IF($A111=W$4,0,1))</f>
        <v>100</v>
      </c>
      <c r="X111" s="2" t="n">
        <f aca="false">MIN(X110+1,W111+1,W110+IF($A111=X$4,0,1))</f>
        <v>100</v>
      </c>
      <c r="Y111" s="2" t="n">
        <f aca="false">MIN(Y110+1,X111+1,X110+IF($A111=Y$4,0,1))</f>
        <v>100</v>
      </c>
      <c r="Z111" s="2" t="n">
        <f aca="false">MIN(Z110+1,Y111+1,Y110+IF($A111=Z$4,0,1))</f>
        <v>100</v>
      </c>
      <c r="AA111" s="2" t="n">
        <f aca="false">MIN(AA110+1,Z111+1,Z110+IF($A111=AA$4,0,1))</f>
        <v>100</v>
      </c>
      <c r="AB111" s="2" t="n">
        <f aca="false">MIN(AB110+1,AA111+1,AA110+IF($A111=AB$4,0,1))</f>
        <v>100</v>
      </c>
      <c r="AC111" s="2" t="n">
        <f aca="false">MIN(AC110+1,AB111+1,AB110+IF($A111=AC$4,0,1))</f>
        <v>100</v>
      </c>
      <c r="AD111" s="2" t="n">
        <f aca="false">MIN(AD110+1,AC111+1,AC110+IF($A111=AD$4,0,1))</f>
        <v>99</v>
      </c>
      <c r="AE111" s="2" t="n">
        <f aca="false">MIN(AE110+1,AD111+1,AD110+IF($A111=AE$4,0,1))</f>
        <v>99</v>
      </c>
      <c r="AF111" s="2" t="n">
        <f aca="false">MIN(AF110+1,AE111+1,AE110+IF($A111=AF$4,0,1))</f>
        <v>99</v>
      </c>
      <c r="AG111" s="2" t="n">
        <f aca="false">MIN(AG110+1,AF111+1,AF110+IF($A111=AG$4,0,1))</f>
        <v>99</v>
      </c>
      <c r="AH111" s="2" t="n">
        <f aca="false">MIN(AH110+1,AG111+1,AG110+IF($A111=AH$4,0,1))</f>
        <v>99</v>
      </c>
      <c r="AI111" s="2" t="n">
        <f aca="false">MIN(AI110+1,AH111+1,AH110+IF($A111=AI$4,0,1))</f>
        <v>99</v>
      </c>
      <c r="AJ111" s="2" t="n">
        <f aca="false">MIN(AJ110+1,AI111+1,AI110+IF($A111=AJ$4,0,1))</f>
        <v>99</v>
      </c>
      <c r="AK111" s="2" t="n">
        <f aca="false">MIN(AK110+1,AJ111+1,AJ110+IF($A111=AK$4,0,1))</f>
        <v>99</v>
      </c>
      <c r="AL111" s="2" t="n">
        <f aca="false">MIN(AL110+1,AK111+1,AK110+IF($A111=AL$4,0,1))</f>
        <v>99</v>
      </c>
      <c r="AM111" s="2" t="n">
        <f aca="false">MIN(AM110+1,AL111+1,AL110+IF($A111=AM$4,0,1))</f>
        <v>99</v>
      </c>
      <c r="AN111" s="2" t="n">
        <f aca="false">MIN(AN110+1,AM111+1,AM110+IF($A111=AN$4,0,1))</f>
        <v>99</v>
      </c>
      <c r="AO111" s="2" t="n">
        <f aca="false">MIN(AO110+1,AN111+1,AN110+IF($A111=AO$4,0,1))</f>
        <v>99</v>
      </c>
      <c r="AP111" s="2" t="n">
        <f aca="false">MIN(AP110+1,AO111+1,AO110+IF($A111=AP$4,0,1))</f>
        <v>99</v>
      </c>
      <c r="AQ111" s="2" t="n">
        <f aca="false">MIN(AQ110+1,AP111+1,AP110+IF($A111=AQ$4,0,1))</f>
        <v>99</v>
      </c>
      <c r="AR111" s="2" t="n">
        <f aca="false">MIN(AR110+1,AQ111+1,AQ110+IF($A111=AR$4,0,1))</f>
        <v>99</v>
      </c>
      <c r="AS111" s="2" t="n">
        <f aca="false">MIN(AS110+1,AR111+1,AR110+IF($A111=AS$4,0,1))</f>
        <v>99</v>
      </c>
      <c r="AT111" s="2" t="n">
        <f aca="false">MIN(AT110+1,AS111+1,AS110+IF($A111=AT$4,0,1))</f>
        <v>99</v>
      </c>
      <c r="AU111" s="2" t="n">
        <f aca="false">MIN(AU110+1,AT111+1,AT110+IF($A111=AU$4,0,1))</f>
        <v>99</v>
      </c>
      <c r="AV111" s="2" t="n">
        <f aca="false">MIN(AV110+1,AU111+1,AU110+IF($A111=AV$4,0,1))</f>
        <v>99</v>
      </c>
      <c r="AW111" s="2" t="n">
        <f aca="false">MIN(AW110+1,AV111+1,AV110+IF($A111=AW$4,0,1))</f>
        <v>99</v>
      </c>
      <c r="AX111" s="2" t="n">
        <f aca="false">MIN(AX110+1,AW111+1,AW110+IF($A111=AX$4,0,1))</f>
        <v>99</v>
      </c>
      <c r="AY111" s="2" t="n">
        <f aca="false">MIN(AY110+1,AX111+1,AX110+IF($A111=AY$4,0,1))</f>
        <v>99</v>
      </c>
      <c r="AZ111" s="2" t="n">
        <f aca="false">MIN(AZ110+1,AY111+1,AY110+IF($A111=AZ$4,0,1))</f>
        <v>99</v>
      </c>
      <c r="BA111" s="2" t="n">
        <f aca="false">MIN(BA110+1,AZ111+1,AZ110+IF($A111=BA$4,0,1))</f>
        <v>100</v>
      </c>
      <c r="BB111" s="2" t="n">
        <f aca="false">MIN(BB110+1,BA111+1,BA110+IF($A111=BB$4,0,1))</f>
        <v>100</v>
      </c>
      <c r="BC111" s="2" t="n">
        <f aca="false">MIN(BC110+1,BB111+1,BB110+IF($A111=BC$4,0,1))</f>
        <v>100</v>
      </c>
      <c r="BD111" s="2" t="n">
        <f aca="false">MIN(BD110+1,BC111+1,BC110+IF($A111=BD$4,0,1))</f>
        <v>100</v>
      </c>
      <c r="BE111" s="2" t="n">
        <f aca="false">MIN(BE110+1,BD111+1,BD110+IF($A111=BE$4,0,1))</f>
        <v>100</v>
      </c>
      <c r="BF111" s="2" t="n">
        <f aca="false">MIN(BF110+1,BE111+1,BE110+IF($A111=BF$4,0,1))</f>
        <v>100</v>
      </c>
      <c r="BG111" s="2" t="n">
        <f aca="false">MIN(BG110+1,BF111+1,BF110+IF($A111=BG$4,0,1))</f>
        <v>100</v>
      </c>
      <c r="BH111" s="2" t="n">
        <f aca="false">MIN(BH110+1,BG111+1,BG110+IF($A111=BH$4,0,1))</f>
        <v>100</v>
      </c>
      <c r="BI111" s="2" t="n">
        <f aca="false">MIN(BI110+1,BH111+1,BH110+IF($A111=BI$4,0,1))</f>
        <v>100</v>
      </c>
      <c r="BJ111" s="2" t="n">
        <f aca="false">MIN(BJ110+1,BI111+1,BI110+IF($A111=BJ$4,0,1))</f>
        <v>100</v>
      </c>
      <c r="BK111" s="2" t="n">
        <f aca="false">MIN(BK110+1,BJ111+1,BJ110+IF($A111=BK$4,0,1))</f>
        <v>100</v>
      </c>
      <c r="BL111" s="2" t="n">
        <f aca="false">MIN(BL110+1,BK111+1,BK110+IF($A111=BL$4,0,1))</f>
        <v>99</v>
      </c>
      <c r="BM111" s="2" t="n">
        <f aca="false">MIN(BM110+1,BL111+1,BL110+IF($A111=BM$4,0,1))</f>
        <v>99</v>
      </c>
      <c r="BN111" s="2" t="n">
        <f aca="false">MIN(BN110+1,BM111+1,BM110+IF($A111=BN$4,0,1))</f>
        <v>99</v>
      </c>
      <c r="BO111" s="2" t="n">
        <f aca="false">MIN(BO110+1,BN111+1,BN110+IF($A111=BO$4,0,1))</f>
        <v>99</v>
      </c>
      <c r="BP111" s="2" t="n">
        <f aca="false">MIN(BP110+1,BO111+1,BO110+IF($A111=BP$4,0,1))</f>
        <v>99</v>
      </c>
      <c r="BQ111" s="2" t="n">
        <f aca="false">MIN(BQ110+1,BP111+1,BP110+IF($A111=BQ$4,0,1))</f>
        <v>99</v>
      </c>
      <c r="BR111" s="2" t="n">
        <f aca="false">MIN(BR110+1,BQ111+1,BQ110+IF($A111=BR$4,0,1))</f>
        <v>99</v>
      </c>
      <c r="BS111" s="2" t="n">
        <f aca="false">MIN(BS110+1,BR111+1,BR110+IF($A111=BS$4,0,1))</f>
        <v>99</v>
      </c>
      <c r="BT111" s="2" t="n">
        <f aca="false">MIN(BT110+1,BS111+1,BS110+IF($A111=BT$4,0,1))</f>
        <v>99</v>
      </c>
      <c r="BU111" s="2" t="n">
        <f aca="false">MIN(BU110+1,BT111+1,BT110+IF($A111=BU$4,0,1))</f>
        <v>99</v>
      </c>
      <c r="BV111" s="2" t="n">
        <f aca="false">MIN(BV110+1,BU111+1,BU110+IF($A111=BV$4,0,1))</f>
        <v>99</v>
      </c>
      <c r="BW111" s="2" t="n">
        <f aca="false">MIN(BW110+1,BV111+1,BV110+IF($A111=BW$4,0,1))</f>
        <v>99</v>
      </c>
      <c r="BX111" s="2" t="n">
        <f aca="false">MIN(BX110+1,BW111+1,BW110+IF($A111=BX$4,0,1))</f>
        <v>99</v>
      </c>
      <c r="BY111" s="2" t="n">
        <f aca="false">MIN(BY110+1,BX111+1,BX110+IF($A111=BY$4,0,1))</f>
        <v>99</v>
      </c>
      <c r="BZ111" s="2" t="n">
        <f aca="false">MIN(BZ110+1,BY111+1,BY110+IF($A111=BZ$4,0,1))</f>
        <v>99</v>
      </c>
      <c r="CA111" s="2" t="n">
        <f aca="false">MIN(CA110+1,BZ111+1,BZ110+IF($A111=CA$4,0,1))</f>
        <v>99</v>
      </c>
      <c r="CB111" s="2" t="n">
        <f aca="false">MIN(CB110+1,CA111+1,CA110+IF($A111=CB$4,0,1))</f>
        <v>99</v>
      </c>
      <c r="CC111" s="2" t="n">
        <f aca="false">MIN(CC110+1,CB111+1,CB110+IF($A111=CC$4,0,1))</f>
        <v>99</v>
      </c>
      <c r="CD111" s="2" t="n">
        <f aca="false">MIN(CD110+1,CC111+1,CC110+IF($A111=CD$4,0,1))</f>
        <v>99</v>
      </c>
      <c r="CE111" s="2" t="n">
        <f aca="false">MIN(CE110+1,CD111+1,CD110+IF($A111=CE$4,0,1))</f>
        <v>100</v>
      </c>
      <c r="CF111" s="2" t="n">
        <f aca="false">MIN(CF110+1,CE111+1,CE110+IF($A111=CF$4,0,1))</f>
        <v>100</v>
      </c>
      <c r="CG111" s="2" t="n">
        <f aca="false">MIN(CG110+1,CF111+1,CF110+IF($A111=CG$4,0,1))</f>
        <v>100</v>
      </c>
      <c r="CH111" s="2" t="n">
        <f aca="false">MIN(CH110+1,CG111+1,CG110+IF($A111=CH$4,0,1))</f>
        <v>100</v>
      </c>
      <c r="CI111" s="2" t="n">
        <f aca="false">MIN(CI110+1,CH111+1,CH110+IF($A111=CI$4,0,1))</f>
        <v>100</v>
      </c>
      <c r="CJ111" s="2" t="n">
        <f aca="false">MIN(CJ110+1,CI111+1,CI110+IF($A111=CJ$4,0,1))</f>
        <v>100</v>
      </c>
      <c r="CK111" s="2" t="n">
        <f aca="false">MIN(CK110+1,CJ111+1,CJ110+IF($A111=CK$4,0,1))</f>
        <v>100</v>
      </c>
      <c r="CL111" s="2" t="n">
        <f aca="false">MIN(CL110+1,CK111+1,CK110+IF($A111=CL$4,0,1))</f>
        <v>100</v>
      </c>
      <c r="CM111" s="2" t="n">
        <f aca="false">MIN(CM110+1,CL111+1,CL110+IF($A111=CM$4,0,1))</f>
        <v>100</v>
      </c>
      <c r="CN111" s="2" t="n">
        <f aca="false">MIN(CN110+1,CM111+1,CM110+IF($A111=CN$4,0,1))</f>
        <v>100</v>
      </c>
      <c r="CO111" s="2" t="n">
        <f aca="false">MIN(CO110+1,CN111+1,CN110+IF($A111=CO$4,0,1))</f>
        <v>100</v>
      </c>
      <c r="CP111" s="2" t="n">
        <f aca="false">MIN(CP110+1,CO111+1,CO110+IF($A111=CP$4,0,1))</f>
        <v>101</v>
      </c>
      <c r="CQ111" s="2" t="n">
        <f aca="false">MIN(CQ110+1,CP111+1,CP110+IF($A111=CQ$4,0,1))</f>
        <v>101</v>
      </c>
    </row>
    <row r="112" customFormat="false" ht="15" hidden="false" customHeight="false" outlineLevel="0" collapsed="false">
      <c r="A112" s="4" t="s">
        <v>135</v>
      </c>
      <c r="B112" s="12" t="n">
        <v>107</v>
      </c>
      <c r="C112" s="2" t="n">
        <f aca="false">MIN(C111+1,B112+1,B111+IF($A112=C$4,0,1))</f>
        <v>107</v>
      </c>
      <c r="D112" s="2" t="n">
        <f aca="false">MIN(D111+1,C112+1,C111+IF($A112=D$4,0,1))</f>
        <v>106</v>
      </c>
      <c r="E112" s="2" t="n">
        <f aca="false">MIN(E111+1,D112+1,D111+IF($A112=E$4,0,1))</f>
        <v>105</v>
      </c>
      <c r="F112" s="2" t="n">
        <f aca="false">MIN(F111+1,E112+1,E111+IF($A112=F$4,0,1))</f>
        <v>104</v>
      </c>
      <c r="G112" s="2" t="n">
        <f aca="false">MIN(G111+1,F112+1,F111+IF($A112=G$4,0,1))</f>
        <v>103</v>
      </c>
      <c r="H112" s="2" t="n">
        <f aca="false">MIN(H111+1,G112+1,G111+IF($A112=H$4,0,1))</f>
        <v>103</v>
      </c>
      <c r="I112" s="2" t="n">
        <f aca="false">MIN(I111+1,H112+1,H111+IF($A112=I$4,0,1))</f>
        <v>103</v>
      </c>
      <c r="J112" s="2" t="n">
        <f aca="false">MIN(J111+1,I112+1,I111+IF($A112=J$4,0,1))</f>
        <v>103</v>
      </c>
      <c r="K112" s="2" t="n">
        <f aca="false">MIN(K111+1,J112+1,J111+IF($A112=K$4,0,1))</f>
        <v>102</v>
      </c>
      <c r="L112" s="2" t="n">
        <f aca="false">MIN(L111+1,K112+1,K111+IF($A112=L$4,0,1))</f>
        <v>102</v>
      </c>
      <c r="M112" s="2" t="n">
        <f aca="false">MIN(M111+1,L112+1,L111+IF($A112=M$4,0,1))</f>
        <v>102</v>
      </c>
      <c r="N112" s="2" t="n">
        <f aca="false">MIN(N111+1,M112+1,M111+IF($A112=N$4,0,1))</f>
        <v>102</v>
      </c>
      <c r="O112" s="2" t="n">
        <f aca="false">MIN(O111+1,N112+1,N111+IF($A112=O$4,0,1))</f>
        <v>101</v>
      </c>
      <c r="P112" s="2" t="n">
        <f aca="false">MIN(P111+1,O112+1,O111+IF($A112=P$4,0,1))</f>
        <v>101</v>
      </c>
      <c r="Q112" s="2" t="n">
        <f aca="false">MIN(Q111+1,P112+1,P111+IF($A112=Q$4,0,1))</f>
        <v>101</v>
      </c>
      <c r="R112" s="2" t="n">
        <f aca="false">MIN(R111+1,Q112+1,Q111+IF($A112=R$4,0,1))</f>
        <v>101</v>
      </c>
      <c r="S112" s="2" t="n">
        <f aca="false">MIN(S111+1,R112+1,R111+IF($A112=S$4,0,1))</f>
        <v>101</v>
      </c>
      <c r="T112" s="2" t="n">
        <f aca="false">MIN(T111+1,S112+1,S111+IF($A112=T$4,0,1))</f>
        <v>101</v>
      </c>
      <c r="U112" s="2" t="n">
        <f aca="false">MIN(U111+1,T112+1,T111+IF($A112=U$4,0,1))</f>
        <v>101</v>
      </c>
      <c r="V112" s="2" t="n">
        <f aca="false">MIN(V111+1,U112+1,U111+IF($A112=V$4,0,1))</f>
        <v>101</v>
      </c>
      <c r="W112" s="2" t="n">
        <f aca="false">MIN(W111+1,V112+1,V111+IF($A112=W$4,0,1))</f>
        <v>101</v>
      </c>
      <c r="X112" s="2" t="n">
        <f aca="false">MIN(X111+1,W112+1,W111+IF($A112=X$4,0,1))</f>
        <v>101</v>
      </c>
      <c r="Y112" s="2" t="n">
        <f aca="false">MIN(Y111+1,X112+1,X111+IF($A112=Y$4,0,1))</f>
        <v>101</v>
      </c>
      <c r="Z112" s="2" t="n">
        <f aca="false">MIN(Z111+1,Y112+1,Y111+IF($A112=Z$4,0,1))</f>
        <v>101</v>
      </c>
      <c r="AA112" s="2" t="n">
        <f aca="false">MIN(AA111+1,Z112+1,Z111+IF($A112=AA$4,0,1))</f>
        <v>101</v>
      </c>
      <c r="AB112" s="2" t="n">
        <f aca="false">MIN(AB111+1,AA112+1,AA111+IF($A112=AB$4,0,1))</f>
        <v>101</v>
      </c>
      <c r="AC112" s="2" t="n">
        <f aca="false">MIN(AC111+1,AB112+1,AB111+IF($A112=AC$4,0,1))</f>
        <v>101</v>
      </c>
      <c r="AD112" s="2" t="n">
        <f aca="false">MIN(AD111+1,AC112+1,AC111+IF($A112=AD$4,0,1))</f>
        <v>100</v>
      </c>
      <c r="AE112" s="2" t="n">
        <f aca="false">MIN(AE111+1,AD112+1,AD111+IF($A112=AE$4,0,1))</f>
        <v>100</v>
      </c>
      <c r="AF112" s="2" t="n">
        <f aca="false">MIN(AF111+1,AE112+1,AE111+IF($A112=AF$4,0,1))</f>
        <v>100</v>
      </c>
      <c r="AG112" s="2" t="n">
        <f aca="false">MIN(AG111+1,AF112+1,AF111+IF($A112=AG$4,0,1))</f>
        <v>100</v>
      </c>
      <c r="AH112" s="2" t="n">
        <f aca="false">MIN(AH111+1,AG112+1,AG111+IF($A112=AH$4,0,1))</f>
        <v>100</v>
      </c>
      <c r="AI112" s="2" t="n">
        <f aca="false">MIN(AI111+1,AH112+1,AH111+IF($A112=AI$4,0,1))</f>
        <v>100</v>
      </c>
      <c r="AJ112" s="2" t="n">
        <f aca="false">MIN(AJ111+1,AI112+1,AI111+IF($A112=AJ$4,0,1))</f>
        <v>100</v>
      </c>
      <c r="AK112" s="2" t="n">
        <f aca="false">MIN(AK111+1,AJ112+1,AJ111+IF($A112=AK$4,0,1))</f>
        <v>100</v>
      </c>
      <c r="AL112" s="2" t="n">
        <f aca="false">MIN(AL111+1,AK112+1,AK111+IF($A112=AL$4,0,1))</f>
        <v>100</v>
      </c>
      <c r="AM112" s="2" t="n">
        <f aca="false">MIN(AM111+1,AL112+1,AL111+IF($A112=AM$4,0,1))</f>
        <v>100</v>
      </c>
      <c r="AN112" s="2" t="n">
        <f aca="false">MIN(AN111+1,AM112+1,AM111+IF($A112=AN$4,0,1))</f>
        <v>100</v>
      </c>
      <c r="AO112" s="2" t="n">
        <f aca="false">MIN(AO111+1,AN112+1,AN111+IF($A112=AO$4,0,1))</f>
        <v>100</v>
      </c>
      <c r="AP112" s="2" t="n">
        <f aca="false">MIN(AP111+1,AO112+1,AO111+IF($A112=AP$4,0,1))</f>
        <v>100</v>
      </c>
      <c r="AQ112" s="2" t="n">
        <f aca="false">MIN(AQ111+1,AP112+1,AP111+IF($A112=AQ$4,0,1))</f>
        <v>100</v>
      </c>
      <c r="AR112" s="2" t="n">
        <f aca="false">MIN(AR111+1,AQ112+1,AQ111+IF($A112=AR$4,0,1))</f>
        <v>100</v>
      </c>
      <c r="AS112" s="2" t="n">
        <f aca="false">MIN(AS111+1,AR112+1,AR111+IF($A112=AS$4,0,1))</f>
        <v>100</v>
      </c>
      <c r="AT112" s="2" t="n">
        <f aca="false">MIN(AT111+1,AS112+1,AS111+IF($A112=AT$4,0,1))</f>
        <v>100</v>
      </c>
      <c r="AU112" s="2" t="n">
        <f aca="false">MIN(AU111+1,AT112+1,AT111+IF($A112=AU$4,0,1))</f>
        <v>100</v>
      </c>
      <c r="AV112" s="2" t="n">
        <f aca="false">MIN(AV111+1,AU112+1,AU111+IF($A112=AV$4,0,1))</f>
        <v>100</v>
      </c>
      <c r="AW112" s="2" t="n">
        <f aca="false">MIN(AW111+1,AV112+1,AV111+IF($A112=AW$4,0,1))</f>
        <v>100</v>
      </c>
      <c r="AX112" s="2" t="n">
        <f aca="false">MIN(AX111+1,AW112+1,AW111+IF($A112=AX$4,0,1))</f>
        <v>100</v>
      </c>
      <c r="AY112" s="2" t="n">
        <f aca="false">MIN(AY111+1,AX112+1,AX111+IF($A112=AY$4,0,1))</f>
        <v>100</v>
      </c>
      <c r="AZ112" s="2" t="n">
        <f aca="false">MIN(AZ111+1,AY112+1,AY111+IF($A112=AZ$4,0,1))</f>
        <v>100</v>
      </c>
      <c r="BA112" s="2" t="n">
        <f aca="false">MIN(BA111+1,AZ112+1,AZ111+IF($A112=BA$4,0,1))</f>
        <v>100</v>
      </c>
      <c r="BB112" s="2" t="n">
        <f aca="false">MIN(BB111+1,BA112+1,BA111+IF($A112=BB$4,0,1))</f>
        <v>101</v>
      </c>
      <c r="BC112" s="2" t="n">
        <f aca="false">MIN(BC111+1,BB112+1,BB111+IF($A112=BC$4,0,1))</f>
        <v>101</v>
      </c>
      <c r="BD112" s="2" t="n">
        <f aca="false">MIN(BD111+1,BC112+1,BC111+IF($A112=BD$4,0,1))</f>
        <v>101</v>
      </c>
      <c r="BE112" s="2" t="n">
        <f aca="false">MIN(BE111+1,BD112+1,BD111+IF($A112=BE$4,0,1))</f>
        <v>101</v>
      </c>
      <c r="BF112" s="2" t="n">
        <f aca="false">MIN(BF111+1,BE112+1,BE111+IF($A112=BF$4,0,1))</f>
        <v>101</v>
      </c>
      <c r="BG112" s="2" t="n">
        <f aca="false">MIN(BG111+1,BF112+1,BF111+IF($A112=BG$4,0,1))</f>
        <v>101</v>
      </c>
      <c r="BH112" s="2" t="n">
        <f aca="false">MIN(BH111+1,BG112+1,BG111+IF($A112=BH$4,0,1))</f>
        <v>101</v>
      </c>
      <c r="BI112" s="2" t="n">
        <f aca="false">MIN(BI111+1,BH112+1,BH111+IF($A112=BI$4,0,1))</f>
        <v>101</v>
      </c>
      <c r="BJ112" s="2" t="n">
        <f aca="false">MIN(BJ111+1,BI112+1,BI111+IF($A112=BJ$4,0,1))</f>
        <v>101</v>
      </c>
      <c r="BK112" s="2" t="n">
        <f aca="false">MIN(BK111+1,BJ112+1,BJ111+IF($A112=BK$4,0,1))</f>
        <v>101</v>
      </c>
      <c r="BL112" s="2" t="n">
        <f aca="false">MIN(BL111+1,BK112+1,BK111+IF($A112=BL$4,0,1))</f>
        <v>100</v>
      </c>
      <c r="BM112" s="2" t="n">
        <f aca="false">MIN(BM111+1,BL112+1,BL111+IF($A112=BM$4,0,1))</f>
        <v>100</v>
      </c>
      <c r="BN112" s="2" t="n">
        <f aca="false">MIN(BN111+1,BM112+1,BM111+IF($A112=BN$4,0,1))</f>
        <v>100</v>
      </c>
      <c r="BO112" s="2" t="n">
        <f aca="false">MIN(BO111+1,BN112+1,BN111+IF($A112=BO$4,0,1))</f>
        <v>100</v>
      </c>
      <c r="BP112" s="2" t="n">
        <f aca="false">MIN(BP111+1,BO112+1,BO111+IF($A112=BP$4,0,1))</f>
        <v>100</v>
      </c>
      <c r="BQ112" s="2" t="n">
        <f aca="false">MIN(BQ111+1,BP112+1,BP111+IF($A112=BQ$4,0,1))</f>
        <v>100</v>
      </c>
      <c r="BR112" s="2" t="n">
        <f aca="false">MIN(BR111+1,BQ112+1,BQ111+IF($A112=BR$4,0,1))</f>
        <v>100</v>
      </c>
      <c r="BS112" s="2" t="n">
        <f aca="false">MIN(BS111+1,BR112+1,BR111+IF($A112=BS$4,0,1))</f>
        <v>100</v>
      </c>
      <c r="BT112" s="2" t="n">
        <f aca="false">MIN(BT111+1,BS112+1,BS111+IF($A112=BT$4,0,1))</f>
        <v>100</v>
      </c>
      <c r="BU112" s="2" t="n">
        <f aca="false">MIN(BU111+1,BT112+1,BT111+IF($A112=BU$4,0,1))</f>
        <v>100</v>
      </c>
      <c r="BV112" s="2" t="n">
        <f aca="false">MIN(BV111+1,BU112+1,BU111+IF($A112=BV$4,0,1))</f>
        <v>99</v>
      </c>
      <c r="BW112" s="2" t="n">
        <f aca="false">MIN(BW111+1,BV112+1,BV111+IF($A112=BW$4,0,1))</f>
        <v>100</v>
      </c>
      <c r="BX112" s="2" t="n">
        <f aca="false">MIN(BX111+1,BW112+1,BW111+IF($A112=BX$4,0,1))</f>
        <v>100</v>
      </c>
      <c r="BY112" s="2" t="n">
        <f aca="false">MIN(BY111+1,BX112+1,BX111+IF($A112=BY$4,0,1))</f>
        <v>100</v>
      </c>
      <c r="BZ112" s="2" t="n">
        <f aca="false">MIN(BZ111+1,BY112+1,BY111+IF($A112=BZ$4,0,1))</f>
        <v>100</v>
      </c>
      <c r="CA112" s="2" t="n">
        <f aca="false">MIN(CA111+1,BZ112+1,BZ111+IF($A112=CA$4,0,1))</f>
        <v>100</v>
      </c>
      <c r="CB112" s="2" t="n">
        <f aca="false">MIN(CB111+1,CA112+1,CA111+IF($A112=CB$4,0,1))</f>
        <v>100</v>
      </c>
      <c r="CC112" s="2" t="n">
        <f aca="false">MIN(CC111+1,CB112+1,CB111+IF($A112=CC$4,0,1))</f>
        <v>100</v>
      </c>
      <c r="CD112" s="2" t="n">
        <f aca="false">MIN(CD111+1,CC112+1,CC111+IF($A112=CD$4,0,1))</f>
        <v>100</v>
      </c>
      <c r="CE112" s="2" t="n">
        <f aca="false">MIN(CE111+1,CD112+1,CD111+IF($A112=CE$4,0,1))</f>
        <v>100</v>
      </c>
      <c r="CF112" s="2" t="n">
        <f aca="false">MIN(CF111+1,CE112+1,CE111+IF($A112=CF$4,0,1))</f>
        <v>101</v>
      </c>
      <c r="CG112" s="2" t="n">
        <f aca="false">MIN(CG111+1,CF112+1,CF111+IF($A112=CG$4,0,1))</f>
        <v>101</v>
      </c>
      <c r="CH112" s="2" t="n">
        <f aca="false">MIN(CH111+1,CG112+1,CG111+IF($A112=CH$4,0,1))</f>
        <v>101</v>
      </c>
      <c r="CI112" s="2" t="n">
        <f aca="false">MIN(CI111+1,CH112+1,CH111+IF($A112=CI$4,0,1))</f>
        <v>101</v>
      </c>
      <c r="CJ112" s="2" t="n">
        <f aca="false">MIN(CJ111+1,CI112+1,CI111+IF($A112=CJ$4,0,1))</f>
        <v>101</v>
      </c>
      <c r="CK112" s="2" t="n">
        <f aca="false">MIN(CK111+1,CJ112+1,CJ111+IF($A112=CK$4,0,1))</f>
        <v>101</v>
      </c>
      <c r="CL112" s="2" t="n">
        <f aca="false">MIN(CL111+1,CK112+1,CK111+IF($A112=CL$4,0,1))</f>
        <v>101</v>
      </c>
      <c r="CM112" s="2" t="n">
        <f aca="false">MIN(CM111+1,CL112+1,CL111+IF($A112=CM$4,0,1))</f>
        <v>101</v>
      </c>
      <c r="CN112" s="2" t="n">
        <f aca="false">MIN(CN111+1,CM112+1,CM111+IF($A112=CN$4,0,1))</f>
        <v>101</v>
      </c>
      <c r="CO112" s="2" t="n">
        <f aca="false">MIN(CO111+1,CN112+1,CN111+IF($A112=CO$4,0,1))</f>
        <v>101</v>
      </c>
      <c r="CP112" s="2" t="n">
        <f aca="false">MIN(CP111+1,CO112+1,CO111+IF($A112=CP$4,0,1))</f>
        <v>101</v>
      </c>
      <c r="CQ112" s="2" t="n">
        <f aca="false">MIN(CQ111+1,CP112+1,CP111+IF($A112=CQ$4,0,1))</f>
        <v>102</v>
      </c>
    </row>
    <row r="113" customFormat="false" ht="15" hidden="false" customHeight="false" outlineLevel="0" collapsed="false">
      <c r="A113" s="4" t="s">
        <v>89</v>
      </c>
      <c r="B113" s="12" t="n">
        <v>108</v>
      </c>
      <c r="C113" s="2" t="n">
        <f aca="false">MIN(C112+1,B113+1,B112+IF($A113=C$4,0,1))</f>
        <v>108</v>
      </c>
      <c r="D113" s="2" t="n">
        <f aca="false">MIN(D112+1,C113+1,C112+IF($A113=D$4,0,1))</f>
        <v>107</v>
      </c>
      <c r="E113" s="2" t="n">
        <f aca="false">MIN(E112+1,D113+1,D112+IF($A113=E$4,0,1))</f>
        <v>106</v>
      </c>
      <c r="F113" s="2" t="n">
        <f aca="false">MIN(F112+1,E113+1,E112+IF($A113=F$4,0,1))</f>
        <v>105</v>
      </c>
      <c r="G113" s="2" t="n">
        <f aca="false">MIN(G112+1,F113+1,F112+IF($A113=G$4,0,1))</f>
        <v>104</v>
      </c>
      <c r="H113" s="2" t="n">
        <f aca="false">MIN(H112+1,G113+1,G112+IF($A113=H$4,0,1))</f>
        <v>104</v>
      </c>
      <c r="I113" s="2" t="n">
        <f aca="false">MIN(I112+1,H113+1,H112+IF($A113=I$4,0,1))</f>
        <v>104</v>
      </c>
      <c r="J113" s="2" t="n">
        <f aca="false">MIN(J112+1,I113+1,I112+IF($A113=J$4,0,1))</f>
        <v>104</v>
      </c>
      <c r="K113" s="2" t="n">
        <f aca="false">MIN(K112+1,J113+1,J112+IF($A113=K$4,0,1))</f>
        <v>103</v>
      </c>
      <c r="L113" s="2" t="n">
        <f aca="false">MIN(L112+1,K113+1,K112+IF($A113=L$4,0,1))</f>
        <v>103</v>
      </c>
      <c r="M113" s="2" t="n">
        <f aca="false">MIN(M112+1,L113+1,L112+IF($A113=M$4,0,1))</f>
        <v>103</v>
      </c>
      <c r="N113" s="2" t="n">
        <f aca="false">MIN(N112+1,M113+1,M112+IF($A113=N$4,0,1))</f>
        <v>103</v>
      </c>
      <c r="O113" s="2" t="n">
        <f aca="false">MIN(O112+1,N113+1,N112+IF($A113=O$4,0,1))</f>
        <v>102</v>
      </c>
      <c r="P113" s="2" t="n">
        <f aca="false">MIN(P112+1,O113+1,O112+IF($A113=P$4,0,1))</f>
        <v>102</v>
      </c>
      <c r="Q113" s="2" t="n">
        <f aca="false">MIN(Q112+1,P113+1,P112+IF($A113=Q$4,0,1))</f>
        <v>102</v>
      </c>
      <c r="R113" s="2" t="n">
        <f aca="false">MIN(R112+1,Q113+1,Q112+IF($A113=R$4,0,1))</f>
        <v>102</v>
      </c>
      <c r="S113" s="2" t="n">
        <f aca="false">MIN(S112+1,R113+1,R112+IF($A113=S$4,0,1))</f>
        <v>102</v>
      </c>
      <c r="T113" s="2" t="n">
        <f aca="false">MIN(T112+1,S113+1,S112+IF($A113=T$4,0,1))</f>
        <v>102</v>
      </c>
      <c r="U113" s="2" t="n">
        <f aca="false">MIN(U112+1,T113+1,T112+IF($A113=U$4,0,1))</f>
        <v>102</v>
      </c>
      <c r="V113" s="2" t="n">
        <f aca="false">MIN(V112+1,U113+1,U112+IF($A113=V$4,0,1))</f>
        <v>102</v>
      </c>
      <c r="W113" s="2" t="n">
        <f aca="false">MIN(W112+1,V113+1,V112+IF($A113=W$4,0,1))</f>
        <v>102</v>
      </c>
      <c r="X113" s="2" t="n">
        <f aca="false">MIN(X112+1,W113+1,W112+IF($A113=X$4,0,1))</f>
        <v>102</v>
      </c>
      <c r="Y113" s="2" t="n">
        <f aca="false">MIN(Y112+1,X113+1,X112+IF($A113=Y$4,0,1))</f>
        <v>102</v>
      </c>
      <c r="Z113" s="2" t="n">
        <f aca="false">MIN(Z112+1,Y113+1,Y112+IF($A113=Z$4,0,1))</f>
        <v>102</v>
      </c>
      <c r="AA113" s="2" t="n">
        <f aca="false">MIN(AA112+1,Z113+1,Z112+IF($A113=AA$4,0,1))</f>
        <v>102</v>
      </c>
      <c r="AB113" s="2" t="n">
        <f aca="false">MIN(AB112+1,AA113+1,AA112+IF($A113=AB$4,0,1))</f>
        <v>102</v>
      </c>
      <c r="AC113" s="2" t="n">
        <f aca="false">MIN(AC112+1,AB113+1,AB112+IF($A113=AC$4,0,1))</f>
        <v>102</v>
      </c>
      <c r="AD113" s="2" t="n">
        <f aca="false">MIN(AD112+1,AC113+1,AC112+IF($A113=AD$4,0,1))</f>
        <v>101</v>
      </c>
      <c r="AE113" s="2" t="n">
        <f aca="false">MIN(AE112+1,AD113+1,AD112+IF($A113=AE$4,0,1))</f>
        <v>101</v>
      </c>
      <c r="AF113" s="2" t="n">
        <f aca="false">MIN(AF112+1,AE113+1,AE112+IF($A113=AF$4,0,1))</f>
        <v>101</v>
      </c>
      <c r="AG113" s="2" t="n">
        <f aca="false">MIN(AG112+1,AF113+1,AF112+IF($A113=AG$4,0,1))</f>
        <v>101</v>
      </c>
      <c r="AH113" s="2" t="n">
        <f aca="false">MIN(AH112+1,AG113+1,AG112+IF($A113=AH$4,0,1))</f>
        <v>101</v>
      </c>
      <c r="AI113" s="2" t="n">
        <f aca="false">MIN(AI112+1,AH113+1,AH112+IF($A113=AI$4,0,1))</f>
        <v>101</v>
      </c>
      <c r="AJ113" s="2" t="n">
        <f aca="false">MIN(AJ112+1,AI113+1,AI112+IF($A113=AJ$4,0,1))</f>
        <v>101</v>
      </c>
      <c r="AK113" s="2" t="n">
        <f aca="false">MIN(AK112+1,AJ113+1,AJ112+IF($A113=AK$4,0,1))</f>
        <v>101</v>
      </c>
      <c r="AL113" s="2" t="n">
        <f aca="false">MIN(AL112+1,AK113+1,AK112+IF($A113=AL$4,0,1))</f>
        <v>101</v>
      </c>
      <c r="AM113" s="2" t="n">
        <f aca="false">MIN(AM112+1,AL113+1,AL112+IF($A113=AM$4,0,1))</f>
        <v>101</v>
      </c>
      <c r="AN113" s="2" t="n">
        <f aca="false">MIN(AN112+1,AM113+1,AM112+IF($A113=AN$4,0,1))</f>
        <v>101</v>
      </c>
      <c r="AO113" s="2" t="n">
        <f aca="false">MIN(AO112+1,AN113+1,AN112+IF($A113=AO$4,0,1))</f>
        <v>101</v>
      </c>
      <c r="AP113" s="2" t="n">
        <f aca="false">MIN(AP112+1,AO113+1,AO112+IF($A113=AP$4,0,1))</f>
        <v>101</v>
      </c>
      <c r="AQ113" s="2" t="n">
        <f aca="false">MIN(AQ112+1,AP113+1,AP112+IF($A113=AQ$4,0,1))</f>
        <v>101</v>
      </c>
      <c r="AR113" s="2" t="n">
        <f aca="false">MIN(AR112+1,AQ113+1,AQ112+IF($A113=AR$4,0,1))</f>
        <v>101</v>
      </c>
      <c r="AS113" s="2" t="n">
        <f aca="false">MIN(AS112+1,AR113+1,AR112+IF($A113=AS$4,0,1))</f>
        <v>101</v>
      </c>
      <c r="AT113" s="2" t="n">
        <f aca="false">MIN(AT112+1,AS113+1,AS112+IF($A113=AT$4,0,1))</f>
        <v>101</v>
      </c>
      <c r="AU113" s="2" t="n">
        <f aca="false">MIN(AU112+1,AT113+1,AT112+IF($A113=AU$4,0,1))</f>
        <v>101</v>
      </c>
      <c r="AV113" s="2" t="n">
        <f aca="false">MIN(AV112+1,AU113+1,AU112+IF($A113=AV$4,0,1))</f>
        <v>101</v>
      </c>
      <c r="AW113" s="2" t="n">
        <f aca="false">MIN(AW112+1,AV113+1,AV112+IF($A113=AW$4,0,1))</f>
        <v>101</v>
      </c>
      <c r="AX113" s="2" t="n">
        <f aca="false">MIN(AX112+1,AW113+1,AW112+IF($A113=AX$4,0,1))</f>
        <v>101</v>
      </c>
      <c r="AY113" s="2" t="n">
        <f aca="false">MIN(AY112+1,AX113+1,AX112+IF($A113=AY$4,0,1))</f>
        <v>101</v>
      </c>
      <c r="AZ113" s="2" t="n">
        <f aca="false">MIN(AZ112+1,AY113+1,AY112+IF($A113=AZ$4,0,1))</f>
        <v>101</v>
      </c>
      <c r="BA113" s="2" t="n">
        <f aca="false">MIN(BA112+1,AZ113+1,AZ112+IF($A113=BA$4,0,1))</f>
        <v>101</v>
      </c>
      <c r="BB113" s="2" t="n">
        <f aca="false">MIN(BB112+1,BA113+1,BA112+IF($A113=BB$4,0,1))</f>
        <v>101</v>
      </c>
      <c r="BC113" s="2" t="n">
        <f aca="false">MIN(BC112+1,BB113+1,BB112+IF($A113=BC$4,0,1))</f>
        <v>102</v>
      </c>
      <c r="BD113" s="2" t="n">
        <f aca="false">MIN(BD112+1,BC113+1,BC112+IF($A113=BD$4,0,1))</f>
        <v>102</v>
      </c>
      <c r="BE113" s="2" t="n">
        <f aca="false">MIN(BE112+1,BD113+1,BD112+IF($A113=BE$4,0,1))</f>
        <v>102</v>
      </c>
      <c r="BF113" s="2" t="n">
        <f aca="false">MIN(BF112+1,BE113+1,BE112+IF($A113=BF$4,0,1))</f>
        <v>102</v>
      </c>
      <c r="BG113" s="2" t="n">
        <f aca="false">MIN(BG112+1,BF113+1,BF112+IF($A113=BG$4,0,1))</f>
        <v>102</v>
      </c>
      <c r="BH113" s="2" t="n">
        <f aca="false">MIN(BH112+1,BG113+1,BG112+IF($A113=BH$4,0,1))</f>
        <v>102</v>
      </c>
      <c r="BI113" s="2" t="n">
        <f aca="false">MIN(BI112+1,BH113+1,BH112+IF($A113=BI$4,0,1))</f>
        <v>102</v>
      </c>
      <c r="BJ113" s="2" t="n">
        <f aca="false">MIN(BJ112+1,BI113+1,BI112+IF($A113=BJ$4,0,1))</f>
        <v>102</v>
      </c>
      <c r="BK113" s="2" t="n">
        <f aca="false">MIN(BK112+1,BJ113+1,BJ112+IF($A113=BK$4,0,1))</f>
        <v>102</v>
      </c>
      <c r="BL113" s="2" t="n">
        <f aca="false">MIN(BL112+1,BK113+1,BK112+IF($A113=BL$4,0,1))</f>
        <v>101</v>
      </c>
      <c r="BM113" s="2" t="n">
        <f aca="false">MIN(BM112+1,BL113+1,BL112+IF($A113=BM$4,0,1))</f>
        <v>101</v>
      </c>
      <c r="BN113" s="2" t="n">
        <f aca="false">MIN(BN112+1,BM113+1,BM112+IF($A113=BN$4,0,1))</f>
        <v>101</v>
      </c>
      <c r="BO113" s="2" t="n">
        <f aca="false">MIN(BO112+1,BN113+1,BN112+IF($A113=BO$4,0,1))</f>
        <v>101</v>
      </c>
      <c r="BP113" s="2" t="n">
        <f aca="false">MIN(BP112+1,BO113+1,BO112+IF($A113=BP$4,0,1))</f>
        <v>101</v>
      </c>
      <c r="BQ113" s="2" t="n">
        <f aca="false">MIN(BQ112+1,BP113+1,BP112+IF($A113=BQ$4,0,1))</f>
        <v>101</v>
      </c>
      <c r="BR113" s="2" t="n">
        <f aca="false">MIN(BR112+1,BQ113+1,BQ112+IF($A113=BR$4,0,1))</f>
        <v>101</v>
      </c>
      <c r="BS113" s="2" t="n">
        <f aca="false">MIN(BS112+1,BR113+1,BR112+IF($A113=BS$4,0,1))</f>
        <v>101</v>
      </c>
      <c r="BT113" s="2" t="n">
        <f aca="false">MIN(BT112+1,BS113+1,BS112+IF($A113=BT$4,0,1))</f>
        <v>101</v>
      </c>
      <c r="BU113" s="2" t="n">
        <f aca="false">MIN(BU112+1,BT113+1,BT112+IF($A113=BU$4,0,1))</f>
        <v>101</v>
      </c>
      <c r="BV113" s="2" t="n">
        <f aca="false">MIN(BV112+1,BU113+1,BU112+IF($A113=BV$4,0,1))</f>
        <v>100</v>
      </c>
      <c r="BW113" s="2" t="n">
        <f aca="false">MIN(BW112+1,BV113+1,BV112+IF($A113=BW$4,0,1))</f>
        <v>100</v>
      </c>
      <c r="BX113" s="2" t="n">
        <f aca="false">MIN(BX112+1,BW113+1,BW112+IF($A113=BX$4,0,1))</f>
        <v>101</v>
      </c>
      <c r="BY113" s="2" t="n">
        <f aca="false">MIN(BY112+1,BX113+1,BX112+IF($A113=BY$4,0,1))</f>
        <v>101</v>
      </c>
      <c r="BZ113" s="2" t="n">
        <f aca="false">MIN(BZ112+1,BY113+1,BY112+IF($A113=BZ$4,0,1))</f>
        <v>101</v>
      </c>
      <c r="CA113" s="2" t="n">
        <f aca="false">MIN(CA112+1,BZ113+1,BZ112+IF($A113=CA$4,0,1))</f>
        <v>101</v>
      </c>
      <c r="CB113" s="2" t="n">
        <f aca="false">MIN(CB112+1,CA113+1,CA112+IF($A113=CB$4,0,1))</f>
        <v>101</v>
      </c>
      <c r="CC113" s="2" t="n">
        <f aca="false">MIN(CC112+1,CB113+1,CB112+IF($A113=CC$4,0,1))</f>
        <v>101</v>
      </c>
      <c r="CD113" s="2" t="n">
        <f aca="false">MIN(CD112+1,CC113+1,CC112+IF($A113=CD$4,0,1))</f>
        <v>101</v>
      </c>
      <c r="CE113" s="2" t="n">
        <f aca="false">MIN(CE112+1,CD113+1,CD112+IF($A113=CE$4,0,1))</f>
        <v>101</v>
      </c>
      <c r="CF113" s="2" t="n">
        <f aca="false">MIN(CF112+1,CE113+1,CE112+IF($A113=CF$4,0,1))</f>
        <v>101</v>
      </c>
      <c r="CG113" s="2" t="n">
        <f aca="false">MIN(CG112+1,CF113+1,CF112+IF($A113=CG$4,0,1))</f>
        <v>102</v>
      </c>
      <c r="CH113" s="2" t="n">
        <f aca="false">MIN(CH112+1,CG113+1,CG112+IF($A113=CH$4,0,1))</f>
        <v>102</v>
      </c>
      <c r="CI113" s="2" t="n">
        <f aca="false">MIN(CI112+1,CH113+1,CH112+IF($A113=CI$4,0,1))</f>
        <v>102</v>
      </c>
      <c r="CJ113" s="2" t="n">
        <f aca="false">MIN(CJ112+1,CI113+1,CI112+IF($A113=CJ$4,0,1))</f>
        <v>102</v>
      </c>
      <c r="CK113" s="2" t="n">
        <f aca="false">MIN(CK112+1,CJ113+1,CJ112+IF($A113=CK$4,0,1))</f>
        <v>102</v>
      </c>
      <c r="CL113" s="2" t="n">
        <f aca="false">MIN(CL112+1,CK113+1,CK112+IF($A113=CL$4,0,1))</f>
        <v>102</v>
      </c>
      <c r="CM113" s="2" t="n">
        <f aca="false">MIN(CM112+1,CL113+1,CL112+IF($A113=CM$4,0,1))</f>
        <v>102</v>
      </c>
      <c r="CN113" s="2" t="n">
        <f aca="false">MIN(CN112+1,CM113+1,CM112+IF($A113=CN$4,0,1))</f>
        <v>102</v>
      </c>
      <c r="CO113" s="2" t="n">
        <f aca="false">MIN(CO112+1,CN113+1,CN112+IF($A113=CO$4,0,1))</f>
        <v>102</v>
      </c>
      <c r="CP113" s="2" t="n">
        <f aca="false">MIN(CP112+1,CO113+1,CO112+IF($A113=CP$4,0,1))</f>
        <v>102</v>
      </c>
      <c r="CQ113" s="2" t="n">
        <f aca="false">MIN(CQ112+1,CP113+1,CP112+IF($A113=CQ$4,0,1))</f>
        <v>102</v>
      </c>
    </row>
    <row r="114" customFormat="false" ht="15" hidden="false" customHeight="false" outlineLevel="0" collapsed="false">
      <c r="A114" s="4" t="s">
        <v>211</v>
      </c>
      <c r="B114" s="12" t="n">
        <v>109</v>
      </c>
      <c r="C114" s="2" t="n">
        <f aca="false">MIN(C113+1,B114+1,B113+IF($A114=C$4,0,1))</f>
        <v>109</v>
      </c>
      <c r="D114" s="2" t="n">
        <f aca="false">MIN(D113+1,C114+1,C113+IF($A114=D$4,0,1))</f>
        <v>108</v>
      </c>
      <c r="E114" s="2" t="n">
        <f aca="false">MIN(E113+1,D114+1,D113+IF($A114=E$4,0,1))</f>
        <v>107</v>
      </c>
      <c r="F114" s="2" t="n">
        <f aca="false">MIN(F113+1,E114+1,E113+IF($A114=F$4,0,1))</f>
        <v>106</v>
      </c>
      <c r="G114" s="2" t="n">
        <f aca="false">MIN(G113+1,F114+1,F113+IF($A114=G$4,0,1))</f>
        <v>105</v>
      </c>
      <c r="H114" s="2" t="n">
        <f aca="false">MIN(H113+1,G114+1,G113+IF($A114=H$4,0,1))</f>
        <v>105</v>
      </c>
      <c r="I114" s="2" t="n">
        <f aca="false">MIN(I113+1,H114+1,H113+IF($A114=I$4,0,1))</f>
        <v>105</v>
      </c>
      <c r="J114" s="2" t="n">
        <f aca="false">MIN(J113+1,I114+1,I113+IF($A114=J$4,0,1))</f>
        <v>105</v>
      </c>
      <c r="K114" s="2" t="n">
        <f aca="false">MIN(K113+1,J114+1,J113+IF($A114=K$4,0,1))</f>
        <v>104</v>
      </c>
      <c r="L114" s="2" t="n">
        <f aca="false">MIN(L113+1,K114+1,K113+IF($A114=L$4,0,1))</f>
        <v>104</v>
      </c>
      <c r="M114" s="2" t="n">
        <f aca="false">MIN(M113+1,L114+1,L113+IF($A114=M$4,0,1))</f>
        <v>104</v>
      </c>
      <c r="N114" s="2" t="n">
        <f aca="false">MIN(N113+1,M114+1,M113+IF($A114=N$4,0,1))</f>
        <v>104</v>
      </c>
      <c r="O114" s="2" t="n">
        <f aca="false">MIN(O113+1,N114+1,N113+IF($A114=O$4,0,1))</f>
        <v>103</v>
      </c>
      <c r="P114" s="2" t="n">
        <f aca="false">MIN(P113+1,O114+1,O113+IF($A114=P$4,0,1))</f>
        <v>103</v>
      </c>
      <c r="Q114" s="2" t="n">
        <f aca="false">MIN(Q113+1,P114+1,P113+IF($A114=Q$4,0,1))</f>
        <v>103</v>
      </c>
      <c r="R114" s="2" t="n">
        <f aca="false">MIN(R113+1,Q114+1,Q113+IF($A114=R$4,0,1))</f>
        <v>103</v>
      </c>
      <c r="S114" s="2" t="n">
        <f aca="false">MIN(S113+1,R114+1,R113+IF($A114=S$4,0,1))</f>
        <v>103</v>
      </c>
      <c r="T114" s="2" t="n">
        <f aca="false">MIN(T113+1,S114+1,S113+IF($A114=T$4,0,1))</f>
        <v>103</v>
      </c>
      <c r="U114" s="2" t="n">
        <f aca="false">MIN(U113+1,T114+1,T113+IF($A114=U$4,0,1))</f>
        <v>103</v>
      </c>
      <c r="V114" s="2" t="n">
        <f aca="false">MIN(V113+1,U114+1,U113+IF($A114=V$4,0,1))</f>
        <v>103</v>
      </c>
      <c r="W114" s="2" t="n">
        <f aca="false">MIN(W113+1,V114+1,V113+IF($A114=W$4,0,1))</f>
        <v>103</v>
      </c>
      <c r="X114" s="2" t="n">
        <f aca="false">MIN(X113+1,W114+1,W113+IF($A114=X$4,0,1))</f>
        <v>103</v>
      </c>
      <c r="Y114" s="2" t="n">
        <f aca="false">MIN(Y113+1,X114+1,X113+IF($A114=Y$4,0,1))</f>
        <v>103</v>
      </c>
      <c r="Z114" s="2" t="n">
        <f aca="false">MIN(Z113+1,Y114+1,Y113+IF($A114=Z$4,0,1))</f>
        <v>103</v>
      </c>
      <c r="AA114" s="2" t="n">
        <f aca="false">MIN(AA113+1,Z114+1,Z113+IF($A114=AA$4,0,1))</f>
        <v>103</v>
      </c>
      <c r="AB114" s="2" t="n">
        <f aca="false">MIN(AB113+1,AA114+1,AA113+IF($A114=AB$4,0,1))</f>
        <v>103</v>
      </c>
      <c r="AC114" s="2" t="n">
        <f aca="false">MIN(AC113+1,AB114+1,AB113+IF($A114=AC$4,0,1))</f>
        <v>103</v>
      </c>
      <c r="AD114" s="2" t="n">
        <f aca="false">MIN(AD113+1,AC114+1,AC113+IF($A114=AD$4,0,1))</f>
        <v>102</v>
      </c>
      <c r="AE114" s="2" t="n">
        <f aca="false">MIN(AE113+1,AD114+1,AD113+IF($A114=AE$4,0,1))</f>
        <v>102</v>
      </c>
      <c r="AF114" s="2" t="n">
        <f aca="false">MIN(AF113+1,AE114+1,AE113+IF($A114=AF$4,0,1))</f>
        <v>102</v>
      </c>
      <c r="AG114" s="2" t="n">
        <f aca="false">MIN(AG113+1,AF114+1,AF113+IF($A114=AG$4,0,1))</f>
        <v>102</v>
      </c>
      <c r="AH114" s="2" t="n">
        <f aca="false">MIN(AH113+1,AG114+1,AG113+IF($A114=AH$4,0,1))</f>
        <v>102</v>
      </c>
      <c r="AI114" s="2" t="n">
        <f aca="false">MIN(AI113+1,AH114+1,AH113+IF($A114=AI$4,0,1))</f>
        <v>102</v>
      </c>
      <c r="AJ114" s="2" t="n">
        <f aca="false">MIN(AJ113+1,AI114+1,AI113+IF($A114=AJ$4,0,1))</f>
        <v>102</v>
      </c>
      <c r="AK114" s="2" t="n">
        <f aca="false">MIN(AK113+1,AJ114+1,AJ113+IF($A114=AK$4,0,1))</f>
        <v>102</v>
      </c>
      <c r="AL114" s="2" t="n">
        <f aca="false">MIN(AL113+1,AK114+1,AK113+IF($A114=AL$4,0,1))</f>
        <v>102</v>
      </c>
      <c r="AM114" s="2" t="n">
        <f aca="false">MIN(AM113+1,AL114+1,AL113+IF($A114=AM$4,0,1))</f>
        <v>102</v>
      </c>
      <c r="AN114" s="2" t="n">
        <f aca="false">MIN(AN113+1,AM114+1,AM113+IF($A114=AN$4,0,1))</f>
        <v>102</v>
      </c>
      <c r="AO114" s="2" t="n">
        <f aca="false">MIN(AO113+1,AN114+1,AN113+IF($A114=AO$4,0,1))</f>
        <v>102</v>
      </c>
      <c r="AP114" s="2" t="n">
        <f aca="false">MIN(AP113+1,AO114+1,AO113+IF($A114=AP$4,0,1))</f>
        <v>102</v>
      </c>
      <c r="AQ114" s="2" t="n">
        <f aca="false">MIN(AQ113+1,AP114+1,AP113+IF($A114=AQ$4,0,1))</f>
        <v>102</v>
      </c>
      <c r="AR114" s="2" t="n">
        <f aca="false">MIN(AR113+1,AQ114+1,AQ113+IF($A114=AR$4,0,1))</f>
        <v>102</v>
      </c>
      <c r="AS114" s="2" t="n">
        <f aca="false">MIN(AS113+1,AR114+1,AR113+IF($A114=AS$4,0,1))</f>
        <v>102</v>
      </c>
      <c r="AT114" s="2" t="n">
        <f aca="false">MIN(AT113+1,AS114+1,AS113+IF($A114=AT$4,0,1))</f>
        <v>102</v>
      </c>
      <c r="AU114" s="2" t="n">
        <f aca="false">MIN(AU113+1,AT114+1,AT113+IF($A114=AU$4,0,1))</f>
        <v>102</v>
      </c>
      <c r="AV114" s="2" t="n">
        <f aca="false">MIN(AV113+1,AU114+1,AU113+IF($A114=AV$4,0,1))</f>
        <v>102</v>
      </c>
      <c r="AW114" s="2" t="n">
        <f aca="false">MIN(AW113+1,AV114+1,AV113+IF($A114=AW$4,0,1))</f>
        <v>102</v>
      </c>
      <c r="AX114" s="2" t="n">
        <f aca="false">MIN(AX113+1,AW114+1,AW113+IF($A114=AX$4,0,1))</f>
        <v>102</v>
      </c>
      <c r="AY114" s="2" t="n">
        <f aca="false">MIN(AY113+1,AX114+1,AX113+IF($A114=AY$4,0,1))</f>
        <v>102</v>
      </c>
      <c r="AZ114" s="2" t="n">
        <f aca="false">MIN(AZ113+1,AY114+1,AY113+IF($A114=AZ$4,0,1))</f>
        <v>102</v>
      </c>
      <c r="BA114" s="2" t="n">
        <f aca="false">MIN(BA113+1,AZ114+1,AZ113+IF($A114=BA$4,0,1))</f>
        <v>102</v>
      </c>
      <c r="BB114" s="2" t="n">
        <f aca="false">MIN(BB113+1,BA114+1,BA113+IF($A114=BB$4,0,1))</f>
        <v>102</v>
      </c>
      <c r="BC114" s="2" t="n">
        <f aca="false">MIN(BC113+1,BB114+1,BB113+IF($A114=BC$4,0,1))</f>
        <v>102</v>
      </c>
      <c r="BD114" s="2" t="n">
        <f aca="false">MIN(BD113+1,BC114+1,BC113+IF($A114=BD$4,0,1))</f>
        <v>103</v>
      </c>
      <c r="BE114" s="2" t="n">
        <f aca="false">MIN(BE113+1,BD114+1,BD113+IF($A114=BE$4,0,1))</f>
        <v>103</v>
      </c>
      <c r="BF114" s="2" t="n">
        <f aca="false">MIN(BF113+1,BE114+1,BE113+IF($A114=BF$4,0,1))</f>
        <v>103</v>
      </c>
      <c r="BG114" s="2" t="n">
        <f aca="false">MIN(BG113+1,BF114+1,BF113+IF($A114=BG$4,0,1))</f>
        <v>103</v>
      </c>
      <c r="BH114" s="2" t="n">
        <f aca="false">MIN(BH113+1,BG114+1,BG113+IF($A114=BH$4,0,1))</f>
        <v>103</v>
      </c>
      <c r="BI114" s="2" t="n">
        <f aca="false">MIN(BI113+1,BH114+1,BH113+IF($A114=BI$4,0,1))</f>
        <v>103</v>
      </c>
      <c r="BJ114" s="2" t="n">
        <f aca="false">MIN(BJ113+1,BI114+1,BI113+IF($A114=BJ$4,0,1))</f>
        <v>103</v>
      </c>
      <c r="BK114" s="2" t="n">
        <f aca="false">MIN(BK113+1,BJ114+1,BJ113+IF($A114=BK$4,0,1))</f>
        <v>103</v>
      </c>
      <c r="BL114" s="2" t="n">
        <f aca="false">MIN(BL113+1,BK114+1,BK113+IF($A114=BL$4,0,1))</f>
        <v>102</v>
      </c>
      <c r="BM114" s="2" t="n">
        <f aca="false">MIN(BM113+1,BL114+1,BL113+IF($A114=BM$4,0,1))</f>
        <v>102</v>
      </c>
      <c r="BN114" s="2" t="n">
        <f aca="false">MIN(BN113+1,BM114+1,BM113+IF($A114=BN$4,0,1))</f>
        <v>102</v>
      </c>
      <c r="BO114" s="2" t="n">
        <f aca="false">MIN(BO113+1,BN114+1,BN113+IF($A114=BO$4,0,1))</f>
        <v>102</v>
      </c>
      <c r="BP114" s="2" t="n">
        <f aca="false">MIN(BP113+1,BO114+1,BO113+IF($A114=BP$4,0,1))</f>
        <v>102</v>
      </c>
      <c r="BQ114" s="2" t="n">
        <f aca="false">MIN(BQ113+1,BP114+1,BP113+IF($A114=BQ$4,0,1))</f>
        <v>102</v>
      </c>
      <c r="BR114" s="2" t="n">
        <f aca="false">MIN(BR113+1,BQ114+1,BQ113+IF($A114=BR$4,0,1))</f>
        <v>102</v>
      </c>
      <c r="BS114" s="2" t="n">
        <f aca="false">MIN(BS113+1,BR114+1,BR113+IF($A114=BS$4,0,1))</f>
        <v>102</v>
      </c>
      <c r="BT114" s="2" t="n">
        <f aca="false">MIN(BT113+1,BS114+1,BS113+IF($A114=BT$4,0,1))</f>
        <v>102</v>
      </c>
      <c r="BU114" s="2" t="n">
        <f aca="false">MIN(BU113+1,BT114+1,BT113+IF($A114=BU$4,0,1))</f>
        <v>102</v>
      </c>
      <c r="BV114" s="2" t="n">
        <f aca="false">MIN(BV113+1,BU114+1,BU113+IF($A114=BV$4,0,1))</f>
        <v>101</v>
      </c>
      <c r="BW114" s="2" t="n">
        <f aca="false">MIN(BW113+1,BV114+1,BV113+IF($A114=BW$4,0,1))</f>
        <v>101</v>
      </c>
      <c r="BX114" s="2" t="n">
        <f aca="false">MIN(BX113+1,BW114+1,BW113+IF($A114=BX$4,0,1))</f>
        <v>101</v>
      </c>
      <c r="BY114" s="2" t="n">
        <f aca="false">MIN(BY113+1,BX114+1,BX113+IF($A114=BY$4,0,1))</f>
        <v>102</v>
      </c>
      <c r="BZ114" s="2" t="n">
        <f aca="false">MIN(BZ113+1,BY114+1,BY113+IF($A114=BZ$4,0,1))</f>
        <v>102</v>
      </c>
      <c r="CA114" s="2" t="n">
        <f aca="false">MIN(CA113+1,BZ114+1,BZ113+IF($A114=CA$4,0,1))</f>
        <v>102</v>
      </c>
      <c r="CB114" s="2" t="n">
        <f aca="false">MIN(CB113+1,CA114+1,CA113+IF($A114=CB$4,0,1))</f>
        <v>102</v>
      </c>
      <c r="CC114" s="2" t="n">
        <f aca="false">MIN(CC113+1,CB114+1,CB113+IF($A114=CC$4,0,1))</f>
        <v>102</v>
      </c>
      <c r="CD114" s="2" t="n">
        <f aca="false">MIN(CD113+1,CC114+1,CC113+IF($A114=CD$4,0,1))</f>
        <v>102</v>
      </c>
      <c r="CE114" s="2" t="n">
        <f aca="false">MIN(CE113+1,CD114+1,CD113+IF($A114=CE$4,0,1))</f>
        <v>102</v>
      </c>
      <c r="CF114" s="2" t="n">
        <f aca="false">MIN(CF113+1,CE114+1,CE113+IF($A114=CF$4,0,1))</f>
        <v>102</v>
      </c>
      <c r="CG114" s="2" t="n">
        <f aca="false">MIN(CG113+1,CF114+1,CF113+IF($A114=CG$4,0,1))</f>
        <v>102</v>
      </c>
      <c r="CH114" s="2" t="n">
        <f aca="false">MIN(CH113+1,CG114+1,CG113+IF($A114=CH$4,0,1))</f>
        <v>103</v>
      </c>
      <c r="CI114" s="2" t="n">
        <f aca="false">MIN(CI113+1,CH114+1,CH113+IF($A114=CI$4,0,1))</f>
        <v>103</v>
      </c>
      <c r="CJ114" s="2" t="n">
        <f aca="false">MIN(CJ113+1,CI114+1,CI113+IF($A114=CJ$4,0,1))</f>
        <v>103</v>
      </c>
      <c r="CK114" s="2" t="n">
        <f aca="false">MIN(CK113+1,CJ114+1,CJ113+IF($A114=CK$4,0,1))</f>
        <v>103</v>
      </c>
      <c r="CL114" s="2" t="n">
        <f aca="false">MIN(CL113+1,CK114+1,CK113+IF($A114=CL$4,0,1))</f>
        <v>103</v>
      </c>
      <c r="CM114" s="2" t="n">
        <f aca="false">MIN(CM113+1,CL114+1,CL113+IF($A114=CM$4,0,1))</f>
        <v>103</v>
      </c>
      <c r="CN114" s="2" t="n">
        <f aca="false">MIN(CN113+1,CM114+1,CM113+IF($A114=CN$4,0,1))</f>
        <v>103</v>
      </c>
      <c r="CO114" s="2" t="n">
        <f aca="false">MIN(CO113+1,CN114+1,CN113+IF($A114=CO$4,0,1))</f>
        <v>103</v>
      </c>
      <c r="CP114" s="2" t="n">
        <f aca="false">MIN(CP113+1,CO114+1,CO113+IF($A114=CP$4,0,1))</f>
        <v>103</v>
      </c>
      <c r="CQ114" s="2" t="n">
        <f aca="false">MIN(CQ113+1,CP114+1,CP113+IF($A114=CQ$4,0,1))</f>
        <v>103</v>
      </c>
    </row>
    <row r="115" customFormat="false" ht="15" hidden="false" customHeight="false" outlineLevel="0" collapsed="false">
      <c r="A115" s="4" t="s">
        <v>118</v>
      </c>
      <c r="B115" s="12" t="n">
        <v>110</v>
      </c>
      <c r="C115" s="2" t="n">
        <f aca="false">MIN(C114+1,B115+1,B114+IF($A115=C$4,0,1))</f>
        <v>110</v>
      </c>
      <c r="D115" s="2" t="n">
        <f aca="false">MIN(D114+1,C115+1,C114+IF($A115=D$4,0,1))</f>
        <v>109</v>
      </c>
      <c r="E115" s="2" t="n">
        <f aca="false">MIN(E114+1,D115+1,D114+IF($A115=E$4,0,1))</f>
        <v>108</v>
      </c>
      <c r="F115" s="2" t="n">
        <f aca="false">MIN(F114+1,E115+1,E114+IF($A115=F$4,0,1))</f>
        <v>107</v>
      </c>
      <c r="G115" s="2" t="n">
        <f aca="false">MIN(G114+1,F115+1,F114+IF($A115=G$4,0,1))</f>
        <v>106</v>
      </c>
      <c r="H115" s="2" t="n">
        <f aca="false">MIN(H114+1,G115+1,G114+IF($A115=H$4,0,1))</f>
        <v>106</v>
      </c>
      <c r="I115" s="2" t="n">
        <f aca="false">MIN(I114+1,H115+1,H114+IF($A115=I$4,0,1))</f>
        <v>106</v>
      </c>
      <c r="J115" s="2" t="n">
        <f aca="false">MIN(J114+1,I115+1,I114+IF($A115=J$4,0,1))</f>
        <v>106</v>
      </c>
      <c r="K115" s="2" t="n">
        <f aca="false">MIN(K114+1,J115+1,J114+IF($A115=K$4,0,1))</f>
        <v>105</v>
      </c>
      <c r="L115" s="2" t="n">
        <f aca="false">MIN(L114+1,K115+1,K114+IF($A115=L$4,0,1))</f>
        <v>105</v>
      </c>
      <c r="M115" s="2" t="n">
        <f aca="false">MIN(M114+1,L115+1,L114+IF($A115=M$4,0,1))</f>
        <v>105</v>
      </c>
      <c r="N115" s="2" t="n">
        <f aca="false">MIN(N114+1,M115+1,M114+IF($A115=N$4,0,1))</f>
        <v>105</v>
      </c>
      <c r="O115" s="2" t="n">
        <f aca="false">MIN(O114+1,N115+1,N114+IF($A115=O$4,0,1))</f>
        <v>104</v>
      </c>
      <c r="P115" s="2" t="n">
        <f aca="false">MIN(P114+1,O115+1,O114+IF($A115=P$4,0,1))</f>
        <v>104</v>
      </c>
      <c r="Q115" s="2" t="n">
        <f aca="false">MIN(Q114+1,P115+1,P114+IF($A115=Q$4,0,1))</f>
        <v>104</v>
      </c>
      <c r="R115" s="2" t="n">
        <f aca="false">MIN(R114+1,Q115+1,Q114+IF($A115=R$4,0,1))</f>
        <v>104</v>
      </c>
      <c r="S115" s="2" t="n">
        <f aca="false">MIN(S114+1,R115+1,R114+IF($A115=S$4,0,1))</f>
        <v>104</v>
      </c>
      <c r="T115" s="2" t="n">
        <f aca="false">MIN(T114+1,S115+1,S114+IF($A115=T$4,0,1))</f>
        <v>104</v>
      </c>
      <c r="U115" s="2" t="n">
        <f aca="false">MIN(U114+1,T115+1,T114+IF($A115=U$4,0,1))</f>
        <v>104</v>
      </c>
      <c r="V115" s="2" t="n">
        <f aca="false">MIN(V114+1,U115+1,U114+IF($A115=V$4,0,1))</f>
        <v>104</v>
      </c>
      <c r="W115" s="2" t="n">
        <f aca="false">MIN(W114+1,V115+1,V114+IF($A115=W$4,0,1))</f>
        <v>104</v>
      </c>
      <c r="X115" s="2" t="n">
        <f aca="false">MIN(X114+1,W115+1,W114+IF($A115=X$4,0,1))</f>
        <v>104</v>
      </c>
      <c r="Y115" s="2" t="n">
        <f aca="false">MIN(Y114+1,X115+1,X114+IF($A115=Y$4,0,1))</f>
        <v>104</v>
      </c>
      <c r="Z115" s="2" t="n">
        <f aca="false">MIN(Z114+1,Y115+1,Y114+IF($A115=Z$4,0,1))</f>
        <v>104</v>
      </c>
      <c r="AA115" s="2" t="n">
        <f aca="false">MIN(AA114+1,Z115+1,Z114+IF($A115=AA$4,0,1))</f>
        <v>104</v>
      </c>
      <c r="AB115" s="2" t="n">
        <f aca="false">MIN(AB114+1,AA115+1,AA114+IF($A115=AB$4,0,1))</f>
        <v>104</v>
      </c>
      <c r="AC115" s="2" t="n">
        <f aca="false">MIN(AC114+1,AB115+1,AB114+IF($A115=AC$4,0,1))</f>
        <v>104</v>
      </c>
      <c r="AD115" s="2" t="n">
        <f aca="false">MIN(AD114+1,AC115+1,AC114+IF($A115=AD$4,0,1))</f>
        <v>103</v>
      </c>
      <c r="AE115" s="2" t="n">
        <f aca="false">MIN(AE114+1,AD115+1,AD114+IF($A115=AE$4,0,1))</f>
        <v>103</v>
      </c>
      <c r="AF115" s="2" t="n">
        <f aca="false">MIN(AF114+1,AE115+1,AE114+IF($A115=AF$4,0,1))</f>
        <v>103</v>
      </c>
      <c r="AG115" s="2" t="n">
        <f aca="false">MIN(AG114+1,AF115+1,AF114+IF($A115=AG$4,0,1))</f>
        <v>103</v>
      </c>
      <c r="AH115" s="2" t="n">
        <f aca="false">MIN(AH114+1,AG115+1,AG114+IF($A115=AH$4,0,1))</f>
        <v>103</v>
      </c>
      <c r="AI115" s="2" t="n">
        <f aca="false">MIN(AI114+1,AH115+1,AH114+IF($A115=AI$4,0,1))</f>
        <v>103</v>
      </c>
      <c r="AJ115" s="2" t="n">
        <f aca="false">MIN(AJ114+1,AI115+1,AI114+IF($A115=AJ$4,0,1))</f>
        <v>103</v>
      </c>
      <c r="AK115" s="2" t="n">
        <f aca="false">MIN(AK114+1,AJ115+1,AJ114+IF($A115=AK$4,0,1))</f>
        <v>103</v>
      </c>
      <c r="AL115" s="2" t="n">
        <f aca="false">MIN(AL114+1,AK115+1,AK114+IF($A115=AL$4,0,1))</f>
        <v>103</v>
      </c>
      <c r="AM115" s="2" t="n">
        <f aca="false">MIN(AM114+1,AL115+1,AL114+IF($A115=AM$4,0,1))</f>
        <v>103</v>
      </c>
      <c r="AN115" s="2" t="n">
        <f aca="false">MIN(AN114+1,AM115+1,AM114+IF($A115=AN$4,0,1))</f>
        <v>103</v>
      </c>
      <c r="AO115" s="2" t="n">
        <f aca="false">MIN(AO114+1,AN115+1,AN114+IF($A115=AO$4,0,1))</f>
        <v>103</v>
      </c>
      <c r="AP115" s="2" t="n">
        <f aca="false">MIN(AP114+1,AO115+1,AO114+IF($A115=AP$4,0,1))</f>
        <v>103</v>
      </c>
      <c r="AQ115" s="2" t="n">
        <f aca="false">MIN(AQ114+1,AP115+1,AP114+IF($A115=AQ$4,0,1))</f>
        <v>103</v>
      </c>
      <c r="AR115" s="2" t="n">
        <f aca="false">MIN(AR114+1,AQ115+1,AQ114+IF($A115=AR$4,0,1))</f>
        <v>103</v>
      </c>
      <c r="AS115" s="2" t="n">
        <f aca="false">MIN(AS114+1,AR115+1,AR114+IF($A115=AS$4,0,1))</f>
        <v>103</v>
      </c>
      <c r="AT115" s="2" t="n">
        <f aca="false">MIN(AT114+1,AS115+1,AS114+IF($A115=AT$4,0,1))</f>
        <v>103</v>
      </c>
      <c r="AU115" s="2" t="n">
        <f aca="false">MIN(AU114+1,AT115+1,AT114+IF($A115=AU$4,0,1))</f>
        <v>103</v>
      </c>
      <c r="AV115" s="2" t="n">
        <f aca="false">MIN(AV114+1,AU115+1,AU114+IF($A115=AV$4,0,1))</f>
        <v>102</v>
      </c>
      <c r="AW115" s="2" t="n">
        <f aca="false">MIN(AW114+1,AV115+1,AV114+IF($A115=AW$4,0,1))</f>
        <v>103</v>
      </c>
      <c r="AX115" s="2" t="n">
        <f aca="false">MIN(AX114+1,AW115+1,AW114+IF($A115=AX$4,0,1))</f>
        <v>103</v>
      </c>
      <c r="AY115" s="2" t="n">
        <f aca="false">MIN(AY114+1,AX115+1,AX114+IF($A115=AY$4,0,1))</f>
        <v>103</v>
      </c>
      <c r="AZ115" s="2" t="n">
        <f aca="false">MIN(AZ114+1,AY115+1,AY114+IF($A115=AZ$4,0,1))</f>
        <v>103</v>
      </c>
      <c r="BA115" s="2" t="n">
        <f aca="false">MIN(BA114+1,AZ115+1,AZ114+IF($A115=BA$4,0,1))</f>
        <v>103</v>
      </c>
      <c r="BB115" s="2" t="n">
        <f aca="false">MIN(BB114+1,BA115+1,BA114+IF($A115=BB$4,0,1))</f>
        <v>103</v>
      </c>
      <c r="BC115" s="2" t="n">
        <f aca="false">MIN(BC114+1,BB115+1,BB114+IF($A115=BC$4,0,1))</f>
        <v>103</v>
      </c>
      <c r="BD115" s="2" t="n">
        <f aca="false">MIN(BD114+1,BC115+1,BC114+IF($A115=BD$4,0,1))</f>
        <v>103</v>
      </c>
      <c r="BE115" s="2" t="n">
        <f aca="false">MIN(BE114+1,BD115+1,BD114+IF($A115=BE$4,0,1))</f>
        <v>104</v>
      </c>
      <c r="BF115" s="2" t="n">
        <f aca="false">MIN(BF114+1,BE115+1,BE114+IF($A115=BF$4,0,1))</f>
        <v>104</v>
      </c>
      <c r="BG115" s="2" t="n">
        <f aca="false">MIN(BG114+1,BF115+1,BF114+IF($A115=BG$4,0,1))</f>
        <v>104</v>
      </c>
      <c r="BH115" s="2" t="n">
        <f aca="false">MIN(BH114+1,BG115+1,BG114+IF($A115=BH$4,0,1))</f>
        <v>104</v>
      </c>
      <c r="BI115" s="2" t="n">
        <f aca="false">MIN(BI114+1,BH115+1,BH114+IF($A115=BI$4,0,1))</f>
        <v>104</v>
      </c>
      <c r="BJ115" s="2" t="n">
        <f aca="false">MIN(BJ114+1,BI115+1,BI114+IF($A115=BJ$4,0,1))</f>
        <v>104</v>
      </c>
      <c r="BK115" s="2" t="n">
        <f aca="false">MIN(BK114+1,BJ115+1,BJ114+IF($A115=BK$4,0,1))</f>
        <v>104</v>
      </c>
      <c r="BL115" s="2" t="n">
        <f aca="false">MIN(BL114+1,BK115+1,BK114+IF($A115=BL$4,0,1))</f>
        <v>103</v>
      </c>
      <c r="BM115" s="2" t="n">
        <f aca="false">MIN(BM114+1,BL115+1,BL114+IF($A115=BM$4,0,1))</f>
        <v>103</v>
      </c>
      <c r="BN115" s="2" t="n">
        <f aca="false">MIN(BN114+1,BM115+1,BM114+IF($A115=BN$4,0,1))</f>
        <v>103</v>
      </c>
      <c r="BO115" s="2" t="n">
        <f aca="false">MIN(BO114+1,BN115+1,BN114+IF($A115=BO$4,0,1))</f>
        <v>103</v>
      </c>
      <c r="BP115" s="2" t="n">
        <f aca="false">MIN(BP114+1,BO115+1,BO114+IF($A115=BP$4,0,1))</f>
        <v>103</v>
      </c>
      <c r="BQ115" s="2" t="n">
        <f aca="false">MIN(BQ114+1,BP115+1,BP114+IF($A115=BQ$4,0,1))</f>
        <v>103</v>
      </c>
      <c r="BR115" s="2" t="n">
        <f aca="false">MIN(BR114+1,BQ115+1,BQ114+IF($A115=BR$4,0,1))</f>
        <v>103</v>
      </c>
      <c r="BS115" s="2" t="n">
        <f aca="false">MIN(BS114+1,BR115+1,BR114+IF($A115=BS$4,0,1))</f>
        <v>103</v>
      </c>
      <c r="BT115" s="2" t="n">
        <f aca="false">MIN(BT114+1,BS115+1,BS114+IF($A115=BT$4,0,1))</f>
        <v>103</v>
      </c>
      <c r="BU115" s="2" t="n">
        <f aca="false">MIN(BU114+1,BT115+1,BT114+IF($A115=BU$4,0,1))</f>
        <v>103</v>
      </c>
      <c r="BV115" s="2" t="n">
        <f aca="false">MIN(BV114+1,BU115+1,BU114+IF($A115=BV$4,0,1))</f>
        <v>102</v>
      </c>
      <c r="BW115" s="2" t="n">
        <f aca="false">MIN(BW114+1,BV115+1,BV114+IF($A115=BW$4,0,1))</f>
        <v>102</v>
      </c>
      <c r="BX115" s="2" t="n">
        <f aca="false">MIN(BX114+1,BW115+1,BW114+IF($A115=BX$4,0,1))</f>
        <v>102</v>
      </c>
      <c r="BY115" s="2" t="n">
        <f aca="false">MIN(BY114+1,BX115+1,BX114+IF($A115=BY$4,0,1))</f>
        <v>102</v>
      </c>
      <c r="BZ115" s="2" t="n">
        <f aca="false">MIN(BZ114+1,BY115+1,BY114+IF($A115=BZ$4,0,1))</f>
        <v>103</v>
      </c>
      <c r="CA115" s="2" t="n">
        <f aca="false">MIN(CA114+1,BZ115+1,BZ114+IF($A115=CA$4,0,1))</f>
        <v>103</v>
      </c>
      <c r="CB115" s="2" t="n">
        <f aca="false">MIN(CB114+1,CA115+1,CA114+IF($A115=CB$4,0,1))</f>
        <v>103</v>
      </c>
      <c r="CC115" s="2" t="n">
        <f aca="false">MIN(CC114+1,CB115+1,CB114+IF($A115=CC$4,0,1))</f>
        <v>103</v>
      </c>
      <c r="CD115" s="2" t="n">
        <f aca="false">MIN(CD114+1,CC115+1,CC114+IF($A115=CD$4,0,1))</f>
        <v>103</v>
      </c>
      <c r="CE115" s="2" t="n">
        <f aca="false">MIN(CE114+1,CD115+1,CD114+IF($A115=CE$4,0,1))</f>
        <v>103</v>
      </c>
      <c r="CF115" s="2" t="n">
        <f aca="false">MIN(CF114+1,CE115+1,CE114+IF($A115=CF$4,0,1))</f>
        <v>103</v>
      </c>
      <c r="CG115" s="2" t="n">
        <f aca="false">MIN(CG114+1,CF115+1,CF114+IF($A115=CG$4,0,1))</f>
        <v>103</v>
      </c>
      <c r="CH115" s="2" t="n">
        <f aca="false">MIN(CH114+1,CG115+1,CG114+IF($A115=CH$4,0,1))</f>
        <v>103</v>
      </c>
      <c r="CI115" s="2" t="n">
        <f aca="false">MIN(CI114+1,CH115+1,CH114+IF($A115=CI$4,0,1))</f>
        <v>104</v>
      </c>
      <c r="CJ115" s="2" t="n">
        <f aca="false">MIN(CJ114+1,CI115+1,CI114+IF($A115=CJ$4,0,1))</f>
        <v>104</v>
      </c>
      <c r="CK115" s="2" t="n">
        <f aca="false">MIN(CK114+1,CJ115+1,CJ114+IF($A115=CK$4,0,1))</f>
        <v>104</v>
      </c>
      <c r="CL115" s="2" t="n">
        <f aca="false">MIN(CL114+1,CK115+1,CK114+IF($A115=CL$4,0,1))</f>
        <v>104</v>
      </c>
      <c r="CM115" s="2" t="n">
        <f aca="false">MIN(CM114+1,CL115+1,CL114+IF($A115=CM$4,0,1))</f>
        <v>104</v>
      </c>
      <c r="CN115" s="2" t="n">
        <f aca="false">MIN(CN114+1,CM115+1,CM114+IF($A115=CN$4,0,1))</f>
        <v>104</v>
      </c>
      <c r="CO115" s="2" t="n">
        <f aca="false">MIN(CO114+1,CN115+1,CN114+IF($A115=CO$4,0,1))</f>
        <v>104</v>
      </c>
      <c r="CP115" s="2" t="n">
        <f aca="false">MIN(CP114+1,CO115+1,CO114+IF($A115=CP$4,0,1))</f>
        <v>104</v>
      </c>
      <c r="CQ115" s="2" t="n">
        <f aca="false">MIN(CQ114+1,CP115+1,CP114+IF($A115=CQ$4,0,1))</f>
        <v>104</v>
      </c>
    </row>
    <row r="116" customFormat="false" ht="15" hidden="false" customHeight="false" outlineLevel="0" collapsed="false">
      <c r="A116" s="4" t="s">
        <v>212</v>
      </c>
      <c r="B116" s="12" t="n">
        <v>111</v>
      </c>
      <c r="C116" s="2" t="n">
        <f aca="false">MIN(C115+1,B116+1,B115+IF($A116=C$4,0,1))</f>
        <v>111</v>
      </c>
      <c r="D116" s="2" t="n">
        <f aca="false">MIN(D115+1,C116+1,C115+IF($A116=D$4,0,1))</f>
        <v>110</v>
      </c>
      <c r="E116" s="2" t="n">
        <f aca="false">MIN(E115+1,D116+1,D115+IF($A116=E$4,0,1))</f>
        <v>109</v>
      </c>
      <c r="F116" s="2" t="n">
        <f aca="false">MIN(F115+1,E116+1,E115+IF($A116=F$4,0,1))</f>
        <v>108</v>
      </c>
      <c r="G116" s="2" t="n">
        <f aca="false">MIN(G115+1,F116+1,F115+IF($A116=G$4,0,1))</f>
        <v>107</v>
      </c>
      <c r="H116" s="2" t="n">
        <f aca="false">MIN(H115+1,G116+1,G115+IF($A116=H$4,0,1))</f>
        <v>107</v>
      </c>
      <c r="I116" s="2" t="n">
        <f aca="false">MIN(I115+1,H116+1,H115+IF($A116=I$4,0,1))</f>
        <v>107</v>
      </c>
      <c r="J116" s="2" t="n">
        <f aca="false">MIN(J115+1,I116+1,I115+IF($A116=J$4,0,1))</f>
        <v>107</v>
      </c>
      <c r="K116" s="2" t="n">
        <f aca="false">MIN(K115+1,J116+1,J115+IF($A116=K$4,0,1))</f>
        <v>106</v>
      </c>
      <c r="L116" s="2" t="n">
        <f aca="false">MIN(L115+1,K116+1,K115+IF($A116=L$4,0,1))</f>
        <v>106</v>
      </c>
      <c r="M116" s="2" t="n">
        <f aca="false">MIN(M115+1,L116+1,L115+IF($A116=M$4,0,1))</f>
        <v>106</v>
      </c>
      <c r="N116" s="2" t="n">
        <f aca="false">MIN(N115+1,M116+1,M115+IF($A116=N$4,0,1))</f>
        <v>106</v>
      </c>
      <c r="O116" s="2" t="n">
        <f aca="false">MIN(O115+1,N116+1,N115+IF($A116=O$4,0,1))</f>
        <v>105</v>
      </c>
      <c r="P116" s="2" t="n">
        <f aca="false">MIN(P115+1,O116+1,O115+IF($A116=P$4,0,1))</f>
        <v>105</v>
      </c>
      <c r="Q116" s="2" t="n">
        <f aca="false">MIN(Q115+1,P116+1,P115+IF($A116=Q$4,0,1))</f>
        <v>105</v>
      </c>
      <c r="R116" s="2" t="n">
        <f aca="false">MIN(R115+1,Q116+1,Q115+IF($A116=R$4,0,1))</f>
        <v>105</v>
      </c>
      <c r="S116" s="2" t="n">
        <f aca="false">MIN(S115+1,R116+1,R115+IF($A116=S$4,0,1))</f>
        <v>105</v>
      </c>
      <c r="T116" s="2" t="n">
        <f aca="false">MIN(T115+1,S116+1,S115+IF($A116=T$4,0,1))</f>
        <v>105</v>
      </c>
      <c r="U116" s="2" t="n">
        <f aca="false">MIN(U115+1,T116+1,T115+IF($A116=U$4,0,1))</f>
        <v>105</v>
      </c>
      <c r="V116" s="2" t="n">
        <f aca="false">MIN(V115+1,U116+1,U115+IF($A116=V$4,0,1))</f>
        <v>105</v>
      </c>
      <c r="W116" s="2" t="n">
        <f aca="false">MIN(W115+1,V116+1,V115+IF($A116=W$4,0,1))</f>
        <v>105</v>
      </c>
      <c r="X116" s="2" t="n">
        <f aca="false">MIN(X115+1,W116+1,W115+IF($A116=X$4,0,1))</f>
        <v>105</v>
      </c>
      <c r="Y116" s="2" t="n">
        <f aca="false">MIN(Y115+1,X116+1,X115+IF($A116=Y$4,0,1))</f>
        <v>105</v>
      </c>
      <c r="Z116" s="2" t="n">
        <f aca="false">MIN(Z115+1,Y116+1,Y115+IF($A116=Z$4,0,1))</f>
        <v>105</v>
      </c>
      <c r="AA116" s="2" t="n">
        <f aca="false">MIN(AA115+1,Z116+1,Z115+IF($A116=AA$4,0,1))</f>
        <v>105</v>
      </c>
      <c r="AB116" s="2" t="n">
        <f aca="false">MIN(AB115+1,AA116+1,AA115+IF($A116=AB$4,0,1))</f>
        <v>105</v>
      </c>
      <c r="AC116" s="2" t="n">
        <f aca="false">MIN(AC115+1,AB116+1,AB115+IF($A116=AC$4,0,1))</f>
        <v>105</v>
      </c>
      <c r="AD116" s="2" t="n">
        <f aca="false">MIN(AD115+1,AC116+1,AC115+IF($A116=AD$4,0,1))</f>
        <v>104</v>
      </c>
      <c r="AE116" s="2" t="n">
        <f aca="false">MIN(AE115+1,AD116+1,AD115+IF($A116=AE$4,0,1))</f>
        <v>104</v>
      </c>
      <c r="AF116" s="2" t="n">
        <f aca="false">MIN(AF115+1,AE116+1,AE115+IF($A116=AF$4,0,1))</f>
        <v>104</v>
      </c>
      <c r="AG116" s="2" t="n">
        <f aca="false">MIN(AG115+1,AF116+1,AF115+IF($A116=AG$4,0,1))</f>
        <v>104</v>
      </c>
      <c r="AH116" s="2" t="n">
        <f aca="false">MIN(AH115+1,AG116+1,AG115+IF($A116=AH$4,0,1))</f>
        <v>104</v>
      </c>
      <c r="AI116" s="2" t="n">
        <f aca="false">MIN(AI115+1,AH116+1,AH115+IF($A116=AI$4,0,1))</f>
        <v>104</v>
      </c>
      <c r="AJ116" s="2" t="n">
        <f aca="false">MIN(AJ115+1,AI116+1,AI115+IF($A116=AJ$4,0,1))</f>
        <v>104</v>
      </c>
      <c r="AK116" s="2" t="n">
        <f aca="false">MIN(AK115+1,AJ116+1,AJ115+IF($A116=AK$4,0,1))</f>
        <v>104</v>
      </c>
      <c r="AL116" s="2" t="n">
        <f aca="false">MIN(AL115+1,AK116+1,AK115+IF($A116=AL$4,0,1))</f>
        <v>104</v>
      </c>
      <c r="AM116" s="2" t="n">
        <f aca="false">MIN(AM115+1,AL116+1,AL115+IF($A116=AM$4,0,1))</f>
        <v>104</v>
      </c>
      <c r="AN116" s="2" t="n">
        <f aca="false">MIN(AN115+1,AM116+1,AM115+IF($A116=AN$4,0,1))</f>
        <v>104</v>
      </c>
      <c r="AO116" s="2" t="n">
        <f aca="false">MIN(AO115+1,AN116+1,AN115+IF($A116=AO$4,0,1))</f>
        <v>104</v>
      </c>
      <c r="AP116" s="2" t="n">
        <f aca="false">MIN(AP115+1,AO116+1,AO115+IF($A116=AP$4,0,1))</f>
        <v>104</v>
      </c>
      <c r="AQ116" s="2" t="n">
        <f aca="false">MIN(AQ115+1,AP116+1,AP115+IF($A116=AQ$4,0,1))</f>
        <v>104</v>
      </c>
      <c r="AR116" s="2" t="n">
        <f aca="false">MIN(AR115+1,AQ116+1,AQ115+IF($A116=AR$4,0,1))</f>
        <v>104</v>
      </c>
      <c r="AS116" s="2" t="n">
        <f aca="false">MIN(AS115+1,AR116+1,AR115+IF($A116=AS$4,0,1))</f>
        <v>104</v>
      </c>
      <c r="AT116" s="2" t="n">
        <f aca="false">MIN(AT115+1,AS116+1,AS115+IF($A116=AT$4,0,1))</f>
        <v>104</v>
      </c>
      <c r="AU116" s="2" t="n">
        <f aca="false">MIN(AU115+1,AT116+1,AT115+IF($A116=AU$4,0,1))</f>
        <v>104</v>
      </c>
      <c r="AV116" s="2" t="n">
        <f aca="false">MIN(AV115+1,AU116+1,AU115+IF($A116=AV$4,0,1))</f>
        <v>103</v>
      </c>
      <c r="AW116" s="2" t="n">
        <f aca="false">MIN(AW115+1,AV116+1,AV115+IF($A116=AW$4,0,1))</f>
        <v>103</v>
      </c>
      <c r="AX116" s="2" t="n">
        <f aca="false">MIN(AX115+1,AW116+1,AW115+IF($A116=AX$4,0,1))</f>
        <v>104</v>
      </c>
      <c r="AY116" s="2" t="n">
        <f aca="false">MIN(AY115+1,AX116+1,AX115+IF($A116=AY$4,0,1))</f>
        <v>104</v>
      </c>
      <c r="AZ116" s="2" t="n">
        <f aca="false">MIN(AZ115+1,AY116+1,AY115+IF($A116=AZ$4,0,1))</f>
        <v>104</v>
      </c>
      <c r="BA116" s="2" t="n">
        <f aca="false">MIN(BA115+1,AZ116+1,AZ115+IF($A116=BA$4,0,1))</f>
        <v>104</v>
      </c>
      <c r="BB116" s="2" t="n">
        <f aca="false">MIN(BB115+1,BA116+1,BA115+IF($A116=BB$4,0,1))</f>
        <v>104</v>
      </c>
      <c r="BC116" s="2" t="n">
        <f aca="false">MIN(BC115+1,BB116+1,BB115+IF($A116=BC$4,0,1))</f>
        <v>104</v>
      </c>
      <c r="BD116" s="2" t="n">
        <f aca="false">MIN(BD115+1,BC116+1,BC115+IF($A116=BD$4,0,1))</f>
        <v>104</v>
      </c>
      <c r="BE116" s="2" t="n">
        <f aca="false">MIN(BE115+1,BD116+1,BD115+IF($A116=BE$4,0,1))</f>
        <v>104</v>
      </c>
      <c r="BF116" s="2" t="n">
        <f aca="false">MIN(BF115+1,BE116+1,BE115+IF($A116=BF$4,0,1))</f>
        <v>105</v>
      </c>
      <c r="BG116" s="2" t="n">
        <f aca="false">MIN(BG115+1,BF116+1,BF115+IF($A116=BG$4,0,1))</f>
        <v>105</v>
      </c>
      <c r="BH116" s="2" t="n">
        <f aca="false">MIN(BH115+1,BG116+1,BG115+IF($A116=BH$4,0,1))</f>
        <v>105</v>
      </c>
      <c r="BI116" s="2" t="n">
        <f aca="false">MIN(BI115+1,BH116+1,BH115+IF($A116=BI$4,0,1))</f>
        <v>105</v>
      </c>
      <c r="BJ116" s="2" t="n">
        <f aca="false">MIN(BJ115+1,BI116+1,BI115+IF($A116=BJ$4,0,1))</f>
        <v>105</v>
      </c>
      <c r="BK116" s="2" t="n">
        <f aca="false">MIN(BK115+1,BJ116+1,BJ115+IF($A116=BK$4,0,1))</f>
        <v>105</v>
      </c>
      <c r="BL116" s="2" t="n">
        <f aca="false">MIN(BL115+1,BK116+1,BK115+IF($A116=BL$4,0,1))</f>
        <v>104</v>
      </c>
      <c r="BM116" s="2" t="n">
        <f aca="false">MIN(BM115+1,BL116+1,BL115+IF($A116=BM$4,0,1))</f>
        <v>104</v>
      </c>
      <c r="BN116" s="2" t="n">
        <f aca="false">MIN(BN115+1,BM116+1,BM115+IF($A116=BN$4,0,1))</f>
        <v>104</v>
      </c>
      <c r="BO116" s="2" t="n">
        <f aca="false">MIN(BO115+1,BN116+1,BN115+IF($A116=BO$4,0,1))</f>
        <v>104</v>
      </c>
      <c r="BP116" s="2" t="n">
        <f aca="false">MIN(BP115+1,BO116+1,BO115+IF($A116=BP$4,0,1))</f>
        <v>104</v>
      </c>
      <c r="BQ116" s="2" t="n">
        <f aca="false">MIN(BQ115+1,BP116+1,BP115+IF($A116=BQ$4,0,1))</f>
        <v>104</v>
      </c>
      <c r="BR116" s="2" t="n">
        <f aca="false">MIN(BR115+1,BQ116+1,BQ115+IF($A116=BR$4,0,1))</f>
        <v>104</v>
      </c>
      <c r="BS116" s="2" t="n">
        <f aca="false">MIN(BS115+1,BR116+1,BR115+IF($A116=BS$4,0,1))</f>
        <v>104</v>
      </c>
      <c r="BT116" s="2" t="n">
        <f aca="false">MIN(BT115+1,BS116+1,BS115+IF($A116=BT$4,0,1))</f>
        <v>104</v>
      </c>
      <c r="BU116" s="2" t="n">
        <f aca="false">MIN(BU115+1,BT116+1,BT115+IF($A116=BU$4,0,1))</f>
        <v>104</v>
      </c>
      <c r="BV116" s="2" t="n">
        <f aca="false">MIN(BV115+1,BU116+1,BU115+IF($A116=BV$4,0,1))</f>
        <v>103</v>
      </c>
      <c r="BW116" s="2" t="n">
        <f aca="false">MIN(BW115+1,BV116+1,BV115+IF($A116=BW$4,0,1))</f>
        <v>103</v>
      </c>
      <c r="BX116" s="2" t="n">
        <f aca="false">MIN(BX115+1,BW116+1,BW115+IF($A116=BX$4,0,1))</f>
        <v>103</v>
      </c>
      <c r="BY116" s="2" t="n">
        <f aca="false">MIN(BY115+1,BX116+1,BX115+IF($A116=BY$4,0,1))</f>
        <v>103</v>
      </c>
      <c r="BZ116" s="2" t="n">
        <f aca="false">MIN(BZ115+1,BY116+1,BY115+IF($A116=BZ$4,0,1))</f>
        <v>103</v>
      </c>
      <c r="CA116" s="2" t="n">
        <f aca="false">MIN(CA115+1,BZ116+1,BZ115+IF($A116=CA$4,0,1))</f>
        <v>104</v>
      </c>
      <c r="CB116" s="2" t="n">
        <f aca="false">MIN(CB115+1,CA116+1,CA115+IF($A116=CB$4,0,1))</f>
        <v>104</v>
      </c>
      <c r="CC116" s="2" t="n">
        <f aca="false">MIN(CC115+1,CB116+1,CB115+IF($A116=CC$4,0,1))</f>
        <v>104</v>
      </c>
      <c r="CD116" s="2" t="n">
        <f aca="false">MIN(CD115+1,CC116+1,CC115+IF($A116=CD$4,0,1))</f>
        <v>104</v>
      </c>
      <c r="CE116" s="2" t="n">
        <f aca="false">MIN(CE115+1,CD116+1,CD115+IF($A116=CE$4,0,1))</f>
        <v>104</v>
      </c>
      <c r="CF116" s="2" t="n">
        <f aca="false">MIN(CF115+1,CE116+1,CE115+IF($A116=CF$4,0,1))</f>
        <v>104</v>
      </c>
      <c r="CG116" s="2" t="n">
        <f aca="false">MIN(CG115+1,CF116+1,CF115+IF($A116=CG$4,0,1))</f>
        <v>104</v>
      </c>
      <c r="CH116" s="2" t="n">
        <f aca="false">MIN(CH115+1,CG116+1,CG115+IF($A116=CH$4,0,1))</f>
        <v>104</v>
      </c>
      <c r="CI116" s="2" t="n">
        <f aca="false">MIN(CI115+1,CH116+1,CH115+IF($A116=CI$4,0,1))</f>
        <v>104</v>
      </c>
      <c r="CJ116" s="2" t="n">
        <f aca="false">MIN(CJ115+1,CI116+1,CI115+IF($A116=CJ$4,0,1))</f>
        <v>105</v>
      </c>
      <c r="CK116" s="2" t="n">
        <f aca="false">MIN(CK115+1,CJ116+1,CJ115+IF($A116=CK$4,0,1))</f>
        <v>105</v>
      </c>
      <c r="CL116" s="2" t="n">
        <f aca="false">MIN(CL115+1,CK116+1,CK115+IF($A116=CL$4,0,1))</f>
        <v>105</v>
      </c>
      <c r="CM116" s="2" t="n">
        <f aca="false">MIN(CM115+1,CL116+1,CL115+IF($A116=CM$4,0,1))</f>
        <v>105</v>
      </c>
      <c r="CN116" s="2" t="n">
        <f aca="false">MIN(CN115+1,CM116+1,CM115+IF($A116=CN$4,0,1))</f>
        <v>105</v>
      </c>
      <c r="CO116" s="2" t="n">
        <f aca="false">MIN(CO115+1,CN116+1,CN115+IF($A116=CO$4,0,1))</f>
        <v>105</v>
      </c>
      <c r="CP116" s="2" t="n">
        <f aca="false">MIN(CP115+1,CO116+1,CO115+IF($A116=CP$4,0,1))</f>
        <v>105</v>
      </c>
      <c r="CQ116" s="2" t="n">
        <f aca="false">MIN(CQ115+1,CP116+1,CP115+IF($A116=CQ$4,0,1))</f>
        <v>105</v>
      </c>
    </row>
    <row r="117" customFormat="false" ht="15" hidden="false" customHeight="false" outlineLevel="0" collapsed="false">
      <c r="A117" s="4" t="s">
        <v>213</v>
      </c>
      <c r="B117" s="12" t="n">
        <v>112</v>
      </c>
      <c r="C117" s="2" t="n">
        <f aca="false">MIN(C116+1,B117+1,B116+IF($A117=C$4,0,1))</f>
        <v>112</v>
      </c>
      <c r="D117" s="2" t="n">
        <f aca="false">MIN(D116+1,C117+1,C116+IF($A117=D$4,0,1))</f>
        <v>111</v>
      </c>
      <c r="E117" s="2" t="n">
        <f aca="false">MIN(E116+1,D117+1,D116+IF($A117=E$4,0,1))</f>
        <v>110</v>
      </c>
      <c r="F117" s="2" t="n">
        <f aca="false">MIN(F116+1,E117+1,E116+IF($A117=F$4,0,1))</f>
        <v>109</v>
      </c>
      <c r="G117" s="2" t="n">
        <f aca="false">MIN(G116+1,F117+1,F116+IF($A117=G$4,0,1))</f>
        <v>108</v>
      </c>
      <c r="H117" s="2" t="n">
        <f aca="false">MIN(H116+1,G117+1,G116+IF($A117=H$4,0,1))</f>
        <v>108</v>
      </c>
      <c r="I117" s="2" t="n">
        <f aca="false">MIN(I116+1,H117+1,H116+IF($A117=I$4,0,1))</f>
        <v>108</v>
      </c>
      <c r="J117" s="2" t="n">
        <f aca="false">MIN(J116+1,I117+1,I116+IF($A117=J$4,0,1))</f>
        <v>108</v>
      </c>
      <c r="K117" s="2" t="n">
        <f aca="false">MIN(K116+1,J117+1,J116+IF($A117=K$4,0,1))</f>
        <v>107</v>
      </c>
      <c r="L117" s="2" t="n">
        <f aca="false">MIN(L116+1,K117+1,K116+IF($A117=L$4,0,1))</f>
        <v>107</v>
      </c>
      <c r="M117" s="2" t="n">
        <f aca="false">MIN(M116+1,L117+1,L116+IF($A117=M$4,0,1))</f>
        <v>107</v>
      </c>
      <c r="N117" s="2" t="n">
        <f aca="false">MIN(N116+1,M117+1,M116+IF($A117=N$4,0,1))</f>
        <v>107</v>
      </c>
      <c r="O117" s="2" t="n">
        <f aca="false">MIN(O116+1,N117+1,N116+IF($A117=O$4,0,1))</f>
        <v>106</v>
      </c>
      <c r="P117" s="2" t="n">
        <f aca="false">MIN(P116+1,O117+1,O116+IF($A117=P$4,0,1))</f>
        <v>106</v>
      </c>
      <c r="Q117" s="2" t="n">
        <f aca="false">MIN(Q116+1,P117+1,P116+IF($A117=Q$4,0,1))</f>
        <v>106</v>
      </c>
      <c r="R117" s="2" t="n">
        <f aca="false">MIN(R116+1,Q117+1,Q116+IF($A117=R$4,0,1))</f>
        <v>106</v>
      </c>
      <c r="S117" s="2" t="n">
        <f aca="false">MIN(S116+1,R117+1,R116+IF($A117=S$4,0,1))</f>
        <v>106</v>
      </c>
      <c r="T117" s="2" t="n">
        <f aca="false">MIN(T116+1,S117+1,S116+IF($A117=T$4,0,1))</f>
        <v>106</v>
      </c>
      <c r="U117" s="2" t="n">
        <f aca="false">MIN(U116+1,T117+1,T116+IF($A117=U$4,0,1))</f>
        <v>106</v>
      </c>
      <c r="V117" s="2" t="n">
        <f aca="false">MIN(V116+1,U117+1,U116+IF($A117=V$4,0,1))</f>
        <v>106</v>
      </c>
      <c r="W117" s="2" t="n">
        <f aca="false">MIN(W116+1,V117+1,V116+IF($A117=W$4,0,1))</f>
        <v>106</v>
      </c>
      <c r="X117" s="2" t="n">
        <f aca="false">MIN(X116+1,W117+1,W116+IF($A117=X$4,0,1))</f>
        <v>106</v>
      </c>
      <c r="Y117" s="2" t="n">
        <f aca="false">MIN(Y116+1,X117+1,X116+IF($A117=Y$4,0,1))</f>
        <v>106</v>
      </c>
      <c r="Z117" s="2" t="n">
        <f aca="false">MIN(Z116+1,Y117+1,Y116+IF($A117=Z$4,0,1))</f>
        <v>106</v>
      </c>
      <c r="AA117" s="2" t="n">
        <f aca="false">MIN(AA116+1,Z117+1,Z116+IF($A117=AA$4,0,1))</f>
        <v>106</v>
      </c>
      <c r="AB117" s="2" t="n">
        <f aca="false">MIN(AB116+1,AA117+1,AA116+IF($A117=AB$4,0,1))</f>
        <v>106</v>
      </c>
      <c r="AC117" s="2" t="n">
        <f aca="false">MIN(AC116+1,AB117+1,AB116+IF($A117=AC$4,0,1))</f>
        <v>106</v>
      </c>
      <c r="AD117" s="2" t="n">
        <f aca="false">MIN(AD116+1,AC117+1,AC116+IF($A117=AD$4,0,1))</f>
        <v>105</v>
      </c>
      <c r="AE117" s="2" t="n">
        <f aca="false">MIN(AE116+1,AD117+1,AD116+IF($A117=AE$4,0,1))</f>
        <v>105</v>
      </c>
      <c r="AF117" s="2" t="n">
        <f aca="false">MIN(AF116+1,AE117+1,AE116+IF($A117=AF$4,0,1))</f>
        <v>105</v>
      </c>
      <c r="AG117" s="2" t="n">
        <f aca="false">MIN(AG116+1,AF117+1,AF116+IF($A117=AG$4,0,1))</f>
        <v>105</v>
      </c>
      <c r="AH117" s="2" t="n">
        <f aca="false">MIN(AH116+1,AG117+1,AG116+IF($A117=AH$4,0,1))</f>
        <v>105</v>
      </c>
      <c r="AI117" s="2" t="n">
        <f aca="false">MIN(AI116+1,AH117+1,AH116+IF($A117=AI$4,0,1))</f>
        <v>105</v>
      </c>
      <c r="AJ117" s="2" t="n">
        <f aca="false">MIN(AJ116+1,AI117+1,AI116+IF($A117=AJ$4,0,1))</f>
        <v>105</v>
      </c>
      <c r="AK117" s="2" t="n">
        <f aca="false">MIN(AK116+1,AJ117+1,AJ116+IF($A117=AK$4,0,1))</f>
        <v>105</v>
      </c>
      <c r="AL117" s="2" t="n">
        <f aca="false">MIN(AL116+1,AK117+1,AK116+IF($A117=AL$4,0,1))</f>
        <v>105</v>
      </c>
      <c r="AM117" s="2" t="n">
        <f aca="false">MIN(AM116+1,AL117+1,AL116+IF($A117=AM$4,0,1))</f>
        <v>105</v>
      </c>
      <c r="AN117" s="2" t="n">
        <f aca="false">MIN(AN116+1,AM117+1,AM116+IF($A117=AN$4,0,1))</f>
        <v>105</v>
      </c>
      <c r="AO117" s="2" t="n">
        <f aca="false">MIN(AO116+1,AN117+1,AN116+IF($A117=AO$4,0,1))</f>
        <v>105</v>
      </c>
      <c r="AP117" s="2" t="n">
        <f aca="false">MIN(AP116+1,AO117+1,AO116+IF($A117=AP$4,0,1))</f>
        <v>105</v>
      </c>
      <c r="AQ117" s="2" t="n">
        <f aca="false">MIN(AQ116+1,AP117+1,AP116+IF($A117=AQ$4,0,1))</f>
        <v>105</v>
      </c>
      <c r="AR117" s="2" t="n">
        <f aca="false">MIN(AR116+1,AQ117+1,AQ116+IF($A117=AR$4,0,1))</f>
        <v>105</v>
      </c>
      <c r="AS117" s="2" t="n">
        <f aca="false">MIN(AS116+1,AR117+1,AR116+IF($A117=AS$4,0,1))</f>
        <v>105</v>
      </c>
      <c r="AT117" s="2" t="n">
        <f aca="false">MIN(AT116+1,AS117+1,AS116+IF($A117=AT$4,0,1))</f>
        <v>105</v>
      </c>
      <c r="AU117" s="2" t="n">
        <f aca="false">MIN(AU116+1,AT117+1,AT116+IF($A117=AU$4,0,1))</f>
        <v>105</v>
      </c>
      <c r="AV117" s="2" t="n">
        <f aca="false">MIN(AV116+1,AU117+1,AU116+IF($A117=AV$4,0,1))</f>
        <v>104</v>
      </c>
      <c r="AW117" s="2" t="n">
        <f aca="false">MIN(AW116+1,AV117+1,AV116+IF($A117=AW$4,0,1))</f>
        <v>104</v>
      </c>
      <c r="AX117" s="2" t="n">
        <f aca="false">MIN(AX116+1,AW117+1,AW116+IF($A117=AX$4,0,1))</f>
        <v>104</v>
      </c>
      <c r="AY117" s="2" t="n">
        <f aca="false">MIN(AY116+1,AX117+1,AX116+IF($A117=AY$4,0,1))</f>
        <v>105</v>
      </c>
      <c r="AZ117" s="2" t="n">
        <f aca="false">MIN(AZ116+1,AY117+1,AY116+IF($A117=AZ$4,0,1))</f>
        <v>105</v>
      </c>
      <c r="BA117" s="2" t="n">
        <f aca="false">MIN(BA116+1,AZ117+1,AZ116+IF($A117=BA$4,0,1))</f>
        <v>105</v>
      </c>
      <c r="BB117" s="2" t="n">
        <f aca="false">MIN(BB116+1,BA117+1,BA116+IF($A117=BB$4,0,1))</f>
        <v>105</v>
      </c>
      <c r="BC117" s="2" t="n">
        <f aca="false">MIN(BC116+1,BB117+1,BB116+IF($A117=BC$4,0,1))</f>
        <v>105</v>
      </c>
      <c r="BD117" s="2" t="n">
        <f aca="false">MIN(BD116+1,BC117+1,BC116+IF($A117=BD$4,0,1))</f>
        <v>105</v>
      </c>
      <c r="BE117" s="2" t="n">
        <f aca="false">MIN(BE116+1,BD117+1,BD116+IF($A117=BE$4,0,1))</f>
        <v>105</v>
      </c>
      <c r="BF117" s="2" t="n">
        <f aca="false">MIN(BF116+1,BE117+1,BE116+IF($A117=BF$4,0,1))</f>
        <v>105</v>
      </c>
      <c r="BG117" s="2" t="n">
        <f aca="false">MIN(BG116+1,BF117+1,BF116+IF($A117=BG$4,0,1))</f>
        <v>106</v>
      </c>
      <c r="BH117" s="2" t="n">
        <f aca="false">MIN(BH116+1,BG117+1,BG116+IF($A117=BH$4,0,1))</f>
        <v>106</v>
      </c>
      <c r="BI117" s="2" t="n">
        <f aca="false">MIN(BI116+1,BH117+1,BH116+IF($A117=BI$4,0,1))</f>
        <v>106</v>
      </c>
      <c r="BJ117" s="2" t="n">
        <f aca="false">MIN(BJ116+1,BI117+1,BI116+IF($A117=BJ$4,0,1))</f>
        <v>106</v>
      </c>
      <c r="BK117" s="2" t="n">
        <f aca="false">MIN(BK116+1,BJ117+1,BJ116+IF($A117=BK$4,0,1))</f>
        <v>106</v>
      </c>
      <c r="BL117" s="2" t="n">
        <f aca="false">MIN(BL116+1,BK117+1,BK116+IF($A117=BL$4,0,1))</f>
        <v>105</v>
      </c>
      <c r="BM117" s="2" t="n">
        <f aca="false">MIN(BM116+1,BL117+1,BL116+IF($A117=BM$4,0,1))</f>
        <v>105</v>
      </c>
      <c r="BN117" s="2" t="n">
        <f aca="false">MIN(BN116+1,BM117+1,BM116+IF($A117=BN$4,0,1))</f>
        <v>105</v>
      </c>
      <c r="BO117" s="2" t="n">
        <f aca="false">MIN(BO116+1,BN117+1,BN116+IF($A117=BO$4,0,1))</f>
        <v>105</v>
      </c>
      <c r="BP117" s="2" t="n">
        <f aca="false">MIN(BP116+1,BO117+1,BO116+IF($A117=BP$4,0,1))</f>
        <v>105</v>
      </c>
      <c r="BQ117" s="2" t="n">
        <f aca="false">MIN(BQ116+1,BP117+1,BP116+IF($A117=BQ$4,0,1))</f>
        <v>105</v>
      </c>
      <c r="BR117" s="2" t="n">
        <f aca="false">MIN(BR116+1,BQ117+1,BQ116+IF($A117=BR$4,0,1))</f>
        <v>105</v>
      </c>
      <c r="BS117" s="2" t="n">
        <f aca="false">MIN(BS116+1,BR117+1,BR116+IF($A117=BS$4,0,1))</f>
        <v>105</v>
      </c>
      <c r="BT117" s="2" t="n">
        <f aca="false">MIN(BT116+1,BS117+1,BS116+IF($A117=BT$4,0,1))</f>
        <v>105</v>
      </c>
      <c r="BU117" s="2" t="n">
        <f aca="false">MIN(BU116+1,BT117+1,BT116+IF($A117=BU$4,0,1))</f>
        <v>105</v>
      </c>
      <c r="BV117" s="2" t="n">
        <f aca="false">MIN(BV116+1,BU117+1,BU116+IF($A117=BV$4,0,1))</f>
        <v>104</v>
      </c>
      <c r="BW117" s="2" t="n">
        <f aca="false">MIN(BW116+1,BV117+1,BV116+IF($A117=BW$4,0,1))</f>
        <v>104</v>
      </c>
      <c r="BX117" s="2" t="n">
        <f aca="false">MIN(BX116+1,BW117+1,BW116+IF($A117=BX$4,0,1))</f>
        <v>104</v>
      </c>
      <c r="BY117" s="2" t="n">
        <f aca="false">MIN(BY116+1,BX117+1,BX116+IF($A117=BY$4,0,1))</f>
        <v>104</v>
      </c>
      <c r="BZ117" s="2" t="n">
        <f aca="false">MIN(BZ116+1,BY117+1,BY116+IF($A117=BZ$4,0,1))</f>
        <v>104</v>
      </c>
      <c r="CA117" s="2" t="n">
        <f aca="false">MIN(CA116+1,BZ117+1,BZ116+IF($A117=CA$4,0,1))</f>
        <v>104</v>
      </c>
      <c r="CB117" s="2" t="n">
        <f aca="false">MIN(CB116+1,CA117+1,CA116+IF($A117=CB$4,0,1))</f>
        <v>105</v>
      </c>
      <c r="CC117" s="2" t="n">
        <f aca="false">MIN(CC116+1,CB117+1,CB116+IF($A117=CC$4,0,1))</f>
        <v>105</v>
      </c>
      <c r="CD117" s="2" t="n">
        <f aca="false">MIN(CD116+1,CC117+1,CC116+IF($A117=CD$4,0,1))</f>
        <v>105</v>
      </c>
      <c r="CE117" s="2" t="n">
        <f aca="false">MIN(CE116+1,CD117+1,CD116+IF($A117=CE$4,0,1))</f>
        <v>105</v>
      </c>
      <c r="CF117" s="2" t="n">
        <f aca="false">MIN(CF116+1,CE117+1,CE116+IF($A117=CF$4,0,1))</f>
        <v>105</v>
      </c>
      <c r="CG117" s="2" t="n">
        <f aca="false">MIN(CG116+1,CF117+1,CF116+IF($A117=CG$4,0,1))</f>
        <v>105</v>
      </c>
      <c r="CH117" s="2" t="n">
        <f aca="false">MIN(CH116+1,CG117+1,CG116+IF($A117=CH$4,0,1))</f>
        <v>105</v>
      </c>
      <c r="CI117" s="2" t="n">
        <f aca="false">MIN(CI116+1,CH117+1,CH116+IF($A117=CI$4,0,1))</f>
        <v>105</v>
      </c>
      <c r="CJ117" s="2" t="n">
        <f aca="false">MIN(CJ116+1,CI117+1,CI116+IF($A117=CJ$4,0,1))</f>
        <v>105</v>
      </c>
      <c r="CK117" s="2" t="n">
        <f aca="false">MIN(CK116+1,CJ117+1,CJ116+IF($A117=CK$4,0,1))</f>
        <v>106</v>
      </c>
      <c r="CL117" s="2" t="n">
        <f aca="false">MIN(CL116+1,CK117+1,CK116+IF($A117=CL$4,0,1))</f>
        <v>106</v>
      </c>
      <c r="CM117" s="2" t="n">
        <f aca="false">MIN(CM116+1,CL117+1,CL116+IF($A117=CM$4,0,1))</f>
        <v>106</v>
      </c>
      <c r="CN117" s="2" t="n">
        <f aca="false">MIN(CN116+1,CM117+1,CM116+IF($A117=CN$4,0,1))</f>
        <v>106</v>
      </c>
      <c r="CO117" s="2" t="n">
        <f aca="false">MIN(CO116+1,CN117+1,CN116+IF($A117=CO$4,0,1))</f>
        <v>106</v>
      </c>
      <c r="CP117" s="2" t="n">
        <f aca="false">MIN(CP116+1,CO117+1,CO116+IF($A117=CP$4,0,1))</f>
        <v>106</v>
      </c>
      <c r="CQ117" s="2" t="n">
        <f aca="false">MIN(CQ116+1,CP117+1,CP116+IF($A117=CQ$4,0,1))</f>
        <v>106</v>
      </c>
    </row>
    <row r="118" customFormat="false" ht="15" hidden="false" customHeight="false" outlineLevel="0" collapsed="false">
      <c r="A118" s="4" t="s">
        <v>214</v>
      </c>
      <c r="B118" s="12" t="n">
        <v>113</v>
      </c>
      <c r="C118" s="2" t="n">
        <f aca="false">MIN(C117+1,B118+1,B117+IF($A118=C$4,0,1))</f>
        <v>113</v>
      </c>
      <c r="D118" s="2" t="n">
        <f aca="false">MIN(D117+1,C118+1,C117+IF($A118=D$4,0,1))</f>
        <v>112</v>
      </c>
      <c r="E118" s="2" t="n">
        <f aca="false">MIN(E117+1,D118+1,D117+IF($A118=E$4,0,1))</f>
        <v>111</v>
      </c>
      <c r="F118" s="2" t="n">
        <f aca="false">MIN(F117+1,E118+1,E117+IF($A118=F$4,0,1))</f>
        <v>110</v>
      </c>
      <c r="G118" s="2" t="n">
        <f aca="false">MIN(G117+1,F118+1,F117+IF($A118=G$4,0,1))</f>
        <v>109</v>
      </c>
      <c r="H118" s="2" t="n">
        <f aca="false">MIN(H117+1,G118+1,G117+IF($A118=H$4,0,1))</f>
        <v>109</v>
      </c>
      <c r="I118" s="2" t="n">
        <f aca="false">MIN(I117+1,H118+1,H117+IF($A118=I$4,0,1))</f>
        <v>109</v>
      </c>
      <c r="J118" s="2" t="n">
        <f aca="false">MIN(J117+1,I118+1,I117+IF($A118=J$4,0,1))</f>
        <v>109</v>
      </c>
      <c r="K118" s="2" t="n">
        <f aca="false">MIN(K117+1,J118+1,J117+IF($A118=K$4,0,1))</f>
        <v>108</v>
      </c>
      <c r="L118" s="2" t="n">
        <f aca="false">MIN(L117+1,K118+1,K117+IF($A118=L$4,0,1))</f>
        <v>108</v>
      </c>
      <c r="M118" s="2" t="n">
        <f aca="false">MIN(M117+1,L118+1,L117+IF($A118=M$4,0,1))</f>
        <v>108</v>
      </c>
      <c r="N118" s="2" t="n">
        <f aca="false">MIN(N117+1,M118+1,M117+IF($A118=N$4,0,1))</f>
        <v>108</v>
      </c>
      <c r="O118" s="2" t="n">
        <f aca="false">MIN(O117+1,N118+1,N117+IF($A118=O$4,0,1))</f>
        <v>107</v>
      </c>
      <c r="P118" s="2" t="n">
        <f aca="false">MIN(P117+1,O118+1,O117+IF($A118=P$4,0,1))</f>
        <v>107</v>
      </c>
      <c r="Q118" s="2" t="n">
        <f aca="false">MIN(Q117+1,P118+1,P117+IF($A118=Q$4,0,1))</f>
        <v>107</v>
      </c>
      <c r="R118" s="2" t="n">
        <f aca="false">MIN(R117+1,Q118+1,Q117+IF($A118=R$4,0,1))</f>
        <v>107</v>
      </c>
      <c r="S118" s="2" t="n">
        <f aca="false">MIN(S117+1,R118+1,R117+IF($A118=S$4,0,1))</f>
        <v>107</v>
      </c>
      <c r="T118" s="2" t="n">
        <f aca="false">MIN(T117+1,S118+1,S117+IF($A118=T$4,0,1))</f>
        <v>107</v>
      </c>
      <c r="U118" s="2" t="n">
        <f aca="false">MIN(U117+1,T118+1,T117+IF($A118=U$4,0,1))</f>
        <v>107</v>
      </c>
      <c r="V118" s="2" t="n">
        <f aca="false">MIN(V117+1,U118+1,U117+IF($A118=V$4,0,1))</f>
        <v>107</v>
      </c>
      <c r="W118" s="2" t="n">
        <f aca="false">MIN(W117+1,V118+1,V117+IF($A118=W$4,0,1))</f>
        <v>107</v>
      </c>
      <c r="X118" s="2" t="n">
        <f aca="false">MIN(X117+1,W118+1,W117+IF($A118=X$4,0,1))</f>
        <v>107</v>
      </c>
      <c r="Y118" s="2" t="n">
        <f aca="false">MIN(Y117+1,X118+1,X117+IF($A118=Y$4,0,1))</f>
        <v>107</v>
      </c>
      <c r="Z118" s="2" t="n">
        <f aca="false">MIN(Z117+1,Y118+1,Y117+IF($A118=Z$4,0,1))</f>
        <v>107</v>
      </c>
      <c r="AA118" s="2" t="n">
        <f aca="false">MIN(AA117+1,Z118+1,Z117+IF($A118=AA$4,0,1))</f>
        <v>107</v>
      </c>
      <c r="AB118" s="2" t="n">
        <f aca="false">MIN(AB117+1,AA118+1,AA117+IF($A118=AB$4,0,1))</f>
        <v>107</v>
      </c>
      <c r="AC118" s="2" t="n">
        <f aca="false">MIN(AC117+1,AB118+1,AB117+IF($A118=AC$4,0,1))</f>
        <v>107</v>
      </c>
      <c r="AD118" s="2" t="n">
        <f aca="false">MIN(AD117+1,AC118+1,AC117+IF($A118=AD$4,0,1))</f>
        <v>106</v>
      </c>
      <c r="AE118" s="2" t="n">
        <f aca="false">MIN(AE117+1,AD118+1,AD117+IF($A118=AE$4,0,1))</f>
        <v>106</v>
      </c>
      <c r="AF118" s="2" t="n">
        <f aca="false">MIN(AF117+1,AE118+1,AE117+IF($A118=AF$4,0,1))</f>
        <v>106</v>
      </c>
      <c r="AG118" s="2" t="n">
        <f aca="false">MIN(AG117+1,AF118+1,AF117+IF($A118=AG$4,0,1))</f>
        <v>106</v>
      </c>
      <c r="AH118" s="2" t="n">
        <f aca="false">MIN(AH117+1,AG118+1,AG117+IF($A118=AH$4,0,1))</f>
        <v>106</v>
      </c>
      <c r="AI118" s="2" t="n">
        <f aca="false">MIN(AI117+1,AH118+1,AH117+IF($A118=AI$4,0,1))</f>
        <v>106</v>
      </c>
      <c r="AJ118" s="2" t="n">
        <f aca="false">MIN(AJ117+1,AI118+1,AI117+IF($A118=AJ$4,0,1))</f>
        <v>106</v>
      </c>
      <c r="AK118" s="2" t="n">
        <f aca="false">MIN(AK117+1,AJ118+1,AJ117+IF($A118=AK$4,0,1))</f>
        <v>106</v>
      </c>
      <c r="AL118" s="2" t="n">
        <f aca="false">MIN(AL117+1,AK118+1,AK117+IF($A118=AL$4,0,1))</f>
        <v>106</v>
      </c>
      <c r="AM118" s="2" t="n">
        <f aca="false">MIN(AM117+1,AL118+1,AL117+IF($A118=AM$4,0,1))</f>
        <v>106</v>
      </c>
      <c r="AN118" s="2" t="n">
        <f aca="false">MIN(AN117+1,AM118+1,AM117+IF($A118=AN$4,0,1))</f>
        <v>106</v>
      </c>
      <c r="AO118" s="2" t="n">
        <f aca="false">MIN(AO117+1,AN118+1,AN117+IF($A118=AO$4,0,1))</f>
        <v>106</v>
      </c>
      <c r="AP118" s="2" t="n">
        <f aca="false">MIN(AP117+1,AO118+1,AO117+IF($A118=AP$4,0,1))</f>
        <v>106</v>
      </c>
      <c r="AQ118" s="2" t="n">
        <f aca="false">MIN(AQ117+1,AP118+1,AP117+IF($A118=AQ$4,0,1))</f>
        <v>106</v>
      </c>
      <c r="AR118" s="2" t="n">
        <f aca="false">MIN(AR117+1,AQ118+1,AQ117+IF($A118=AR$4,0,1))</f>
        <v>106</v>
      </c>
      <c r="AS118" s="2" t="n">
        <f aca="false">MIN(AS117+1,AR118+1,AR117+IF($A118=AS$4,0,1))</f>
        <v>106</v>
      </c>
      <c r="AT118" s="2" t="n">
        <f aca="false">MIN(AT117+1,AS118+1,AS117+IF($A118=AT$4,0,1))</f>
        <v>106</v>
      </c>
      <c r="AU118" s="2" t="n">
        <f aca="false">MIN(AU117+1,AT118+1,AT117+IF($A118=AU$4,0,1))</f>
        <v>106</v>
      </c>
      <c r="AV118" s="2" t="n">
        <f aca="false">MIN(AV117+1,AU118+1,AU117+IF($A118=AV$4,0,1))</f>
        <v>105</v>
      </c>
      <c r="AW118" s="2" t="n">
        <f aca="false">MIN(AW117+1,AV118+1,AV117+IF($A118=AW$4,0,1))</f>
        <v>105</v>
      </c>
      <c r="AX118" s="2" t="n">
        <f aca="false">MIN(AX117+1,AW118+1,AW117+IF($A118=AX$4,0,1))</f>
        <v>105</v>
      </c>
      <c r="AY118" s="2" t="n">
        <f aca="false">MIN(AY117+1,AX118+1,AX117+IF($A118=AY$4,0,1))</f>
        <v>105</v>
      </c>
      <c r="AZ118" s="2" t="n">
        <f aca="false">MIN(AZ117+1,AY118+1,AY117+IF($A118=AZ$4,0,1))</f>
        <v>106</v>
      </c>
      <c r="BA118" s="2" t="n">
        <f aca="false">MIN(BA117+1,AZ118+1,AZ117+IF($A118=BA$4,0,1))</f>
        <v>106</v>
      </c>
      <c r="BB118" s="2" t="n">
        <f aca="false">MIN(BB117+1,BA118+1,BA117+IF($A118=BB$4,0,1))</f>
        <v>106</v>
      </c>
      <c r="BC118" s="2" t="n">
        <f aca="false">MIN(BC117+1,BB118+1,BB117+IF($A118=BC$4,0,1))</f>
        <v>106</v>
      </c>
      <c r="BD118" s="2" t="n">
        <f aca="false">MIN(BD117+1,BC118+1,BC117+IF($A118=BD$4,0,1))</f>
        <v>106</v>
      </c>
      <c r="BE118" s="2" t="n">
        <f aca="false">MIN(BE117+1,BD118+1,BD117+IF($A118=BE$4,0,1))</f>
        <v>106</v>
      </c>
      <c r="BF118" s="2" t="n">
        <f aca="false">MIN(BF117+1,BE118+1,BE117+IF($A118=BF$4,0,1))</f>
        <v>106</v>
      </c>
      <c r="BG118" s="2" t="n">
        <f aca="false">MIN(BG117+1,BF118+1,BF117+IF($A118=BG$4,0,1))</f>
        <v>106</v>
      </c>
      <c r="BH118" s="2" t="n">
        <f aca="false">MIN(BH117+1,BG118+1,BG117+IF($A118=BH$4,0,1))</f>
        <v>107</v>
      </c>
      <c r="BI118" s="2" t="n">
        <f aca="false">MIN(BI117+1,BH118+1,BH117+IF($A118=BI$4,0,1))</f>
        <v>107</v>
      </c>
      <c r="BJ118" s="2" t="n">
        <f aca="false">MIN(BJ117+1,BI118+1,BI117+IF($A118=BJ$4,0,1))</f>
        <v>107</v>
      </c>
      <c r="BK118" s="2" t="n">
        <f aca="false">MIN(BK117+1,BJ118+1,BJ117+IF($A118=BK$4,0,1))</f>
        <v>107</v>
      </c>
      <c r="BL118" s="2" t="n">
        <f aca="false">MIN(BL117+1,BK118+1,BK117+IF($A118=BL$4,0,1))</f>
        <v>106</v>
      </c>
      <c r="BM118" s="2" t="n">
        <f aca="false">MIN(BM117+1,BL118+1,BL117+IF($A118=BM$4,0,1))</f>
        <v>106</v>
      </c>
      <c r="BN118" s="2" t="n">
        <f aca="false">MIN(BN117+1,BM118+1,BM117+IF($A118=BN$4,0,1))</f>
        <v>106</v>
      </c>
      <c r="BO118" s="2" t="n">
        <f aca="false">MIN(BO117+1,BN118+1,BN117+IF($A118=BO$4,0,1))</f>
        <v>106</v>
      </c>
      <c r="BP118" s="2" t="n">
        <f aca="false">MIN(BP117+1,BO118+1,BO117+IF($A118=BP$4,0,1))</f>
        <v>106</v>
      </c>
      <c r="BQ118" s="2" t="n">
        <f aca="false">MIN(BQ117+1,BP118+1,BP117+IF($A118=BQ$4,0,1))</f>
        <v>106</v>
      </c>
      <c r="BR118" s="2" t="n">
        <f aca="false">MIN(BR117+1,BQ118+1,BQ117+IF($A118=BR$4,0,1))</f>
        <v>106</v>
      </c>
      <c r="BS118" s="2" t="n">
        <f aca="false">MIN(BS117+1,BR118+1,BR117+IF($A118=BS$4,0,1))</f>
        <v>106</v>
      </c>
      <c r="BT118" s="2" t="n">
        <f aca="false">MIN(BT117+1,BS118+1,BS117+IF($A118=BT$4,0,1))</f>
        <v>106</v>
      </c>
      <c r="BU118" s="2" t="n">
        <f aca="false">MIN(BU117+1,BT118+1,BT117+IF($A118=BU$4,0,1))</f>
        <v>106</v>
      </c>
      <c r="BV118" s="2" t="n">
        <f aca="false">MIN(BV117+1,BU118+1,BU117+IF($A118=BV$4,0,1))</f>
        <v>105</v>
      </c>
      <c r="BW118" s="2" t="n">
        <f aca="false">MIN(BW117+1,BV118+1,BV117+IF($A118=BW$4,0,1))</f>
        <v>105</v>
      </c>
      <c r="BX118" s="2" t="n">
        <f aca="false">MIN(BX117+1,BW118+1,BW117+IF($A118=BX$4,0,1))</f>
        <v>105</v>
      </c>
      <c r="BY118" s="2" t="n">
        <f aca="false">MIN(BY117+1,BX118+1,BX117+IF($A118=BY$4,0,1))</f>
        <v>105</v>
      </c>
      <c r="BZ118" s="2" t="n">
        <f aca="false">MIN(BZ117+1,BY118+1,BY117+IF($A118=BZ$4,0,1))</f>
        <v>105</v>
      </c>
      <c r="CA118" s="2" t="n">
        <f aca="false">MIN(CA117+1,BZ118+1,BZ117+IF($A118=CA$4,0,1))</f>
        <v>105</v>
      </c>
      <c r="CB118" s="2" t="n">
        <f aca="false">MIN(CB117+1,CA118+1,CA117+IF($A118=CB$4,0,1))</f>
        <v>105</v>
      </c>
      <c r="CC118" s="2" t="n">
        <f aca="false">MIN(CC117+1,CB118+1,CB117+IF($A118=CC$4,0,1))</f>
        <v>106</v>
      </c>
      <c r="CD118" s="2" t="n">
        <f aca="false">MIN(CD117+1,CC118+1,CC117+IF($A118=CD$4,0,1))</f>
        <v>106</v>
      </c>
      <c r="CE118" s="2" t="n">
        <f aca="false">MIN(CE117+1,CD118+1,CD117+IF($A118=CE$4,0,1))</f>
        <v>106</v>
      </c>
      <c r="CF118" s="2" t="n">
        <f aca="false">MIN(CF117+1,CE118+1,CE117+IF($A118=CF$4,0,1))</f>
        <v>106</v>
      </c>
      <c r="CG118" s="2" t="n">
        <f aca="false">MIN(CG117+1,CF118+1,CF117+IF($A118=CG$4,0,1))</f>
        <v>106</v>
      </c>
      <c r="CH118" s="2" t="n">
        <f aca="false">MIN(CH117+1,CG118+1,CG117+IF($A118=CH$4,0,1))</f>
        <v>106</v>
      </c>
      <c r="CI118" s="2" t="n">
        <f aca="false">MIN(CI117+1,CH118+1,CH117+IF($A118=CI$4,0,1))</f>
        <v>106</v>
      </c>
      <c r="CJ118" s="2" t="n">
        <f aca="false">MIN(CJ117+1,CI118+1,CI117+IF($A118=CJ$4,0,1))</f>
        <v>106</v>
      </c>
      <c r="CK118" s="2" t="n">
        <f aca="false">MIN(CK117+1,CJ118+1,CJ117+IF($A118=CK$4,0,1))</f>
        <v>106</v>
      </c>
      <c r="CL118" s="2" t="n">
        <f aca="false">MIN(CL117+1,CK118+1,CK117+IF($A118=CL$4,0,1))</f>
        <v>107</v>
      </c>
      <c r="CM118" s="2" t="n">
        <f aca="false">MIN(CM117+1,CL118+1,CL117+IF($A118=CM$4,0,1))</f>
        <v>107</v>
      </c>
      <c r="CN118" s="2" t="n">
        <f aca="false">MIN(CN117+1,CM118+1,CM117+IF($A118=CN$4,0,1))</f>
        <v>107</v>
      </c>
      <c r="CO118" s="2" t="n">
        <f aca="false">MIN(CO117+1,CN118+1,CN117+IF($A118=CO$4,0,1))</f>
        <v>107</v>
      </c>
      <c r="CP118" s="2" t="n">
        <f aca="false">MIN(CP117+1,CO118+1,CO117+IF($A118=CP$4,0,1))</f>
        <v>107</v>
      </c>
      <c r="CQ118" s="2" t="n">
        <f aca="false">MIN(CQ117+1,CP118+1,CP117+IF($A118=CQ$4,0,1))</f>
        <v>107</v>
      </c>
    </row>
    <row r="119" customFormat="false" ht="15" hidden="false" customHeight="false" outlineLevel="0" collapsed="false">
      <c r="A119" s="4" t="s">
        <v>206</v>
      </c>
      <c r="B119" s="12" t="n">
        <v>114</v>
      </c>
      <c r="C119" s="2" t="n">
        <f aca="false">MIN(C118+1,B119+1,B118+IF($A119=C$4,0,1))</f>
        <v>114</v>
      </c>
      <c r="D119" s="2" t="n">
        <f aca="false">MIN(D118+1,C119+1,C118+IF($A119=D$4,0,1))</f>
        <v>113</v>
      </c>
      <c r="E119" s="2" t="n">
        <f aca="false">MIN(E118+1,D119+1,D118+IF($A119=E$4,0,1))</f>
        <v>112</v>
      </c>
      <c r="F119" s="2" t="n">
        <f aca="false">MIN(F118+1,E119+1,E118+IF($A119=F$4,0,1))</f>
        <v>111</v>
      </c>
      <c r="G119" s="2" t="n">
        <f aca="false">MIN(G118+1,F119+1,F118+IF($A119=G$4,0,1))</f>
        <v>110</v>
      </c>
      <c r="H119" s="2" t="n">
        <f aca="false">MIN(H118+1,G119+1,G118+IF($A119=H$4,0,1))</f>
        <v>110</v>
      </c>
      <c r="I119" s="2" t="n">
        <f aca="false">MIN(I118+1,H119+1,H118+IF($A119=I$4,0,1))</f>
        <v>110</v>
      </c>
      <c r="J119" s="2" t="n">
        <f aca="false">MIN(J118+1,I119+1,I118+IF($A119=J$4,0,1))</f>
        <v>110</v>
      </c>
      <c r="K119" s="2" t="n">
        <f aca="false">MIN(K118+1,J119+1,J118+IF($A119=K$4,0,1))</f>
        <v>109</v>
      </c>
      <c r="L119" s="2" t="n">
        <f aca="false">MIN(L118+1,K119+1,K118+IF($A119=L$4,0,1))</f>
        <v>109</v>
      </c>
      <c r="M119" s="2" t="n">
        <f aca="false">MIN(M118+1,L119+1,L118+IF($A119=M$4,0,1))</f>
        <v>109</v>
      </c>
      <c r="N119" s="2" t="n">
        <f aca="false">MIN(N118+1,M119+1,M118+IF($A119=N$4,0,1))</f>
        <v>109</v>
      </c>
      <c r="O119" s="2" t="n">
        <f aca="false">MIN(O118+1,N119+1,N118+IF($A119=O$4,0,1))</f>
        <v>108</v>
      </c>
      <c r="P119" s="2" t="n">
        <f aca="false">MIN(P118+1,O119+1,O118+IF($A119=P$4,0,1))</f>
        <v>108</v>
      </c>
      <c r="Q119" s="2" t="n">
        <f aca="false">MIN(Q118+1,P119+1,P118+IF($A119=Q$4,0,1))</f>
        <v>108</v>
      </c>
      <c r="R119" s="2" t="n">
        <f aca="false">MIN(R118+1,Q119+1,Q118+IF($A119=R$4,0,1))</f>
        <v>108</v>
      </c>
      <c r="S119" s="2" t="n">
        <f aca="false">MIN(S118+1,R119+1,R118+IF($A119=S$4,0,1))</f>
        <v>108</v>
      </c>
      <c r="T119" s="2" t="n">
        <f aca="false">MIN(T118+1,S119+1,S118+IF($A119=T$4,0,1))</f>
        <v>108</v>
      </c>
      <c r="U119" s="2" t="n">
        <f aca="false">MIN(U118+1,T119+1,T118+IF($A119=U$4,0,1))</f>
        <v>108</v>
      </c>
      <c r="V119" s="2" t="n">
        <f aca="false">MIN(V118+1,U119+1,U118+IF($A119=V$4,0,1))</f>
        <v>108</v>
      </c>
      <c r="W119" s="2" t="n">
        <f aca="false">MIN(W118+1,V119+1,V118+IF($A119=W$4,0,1))</f>
        <v>108</v>
      </c>
      <c r="X119" s="2" t="n">
        <f aca="false">MIN(X118+1,W119+1,W118+IF($A119=X$4,0,1))</f>
        <v>108</v>
      </c>
      <c r="Y119" s="2" t="n">
        <f aca="false">MIN(Y118+1,X119+1,X118+IF($A119=Y$4,0,1))</f>
        <v>108</v>
      </c>
      <c r="Z119" s="2" t="n">
        <f aca="false">MIN(Z118+1,Y119+1,Y118+IF($A119=Z$4,0,1))</f>
        <v>108</v>
      </c>
      <c r="AA119" s="2" t="n">
        <f aca="false">MIN(AA118+1,Z119+1,Z118+IF($A119=AA$4,0,1))</f>
        <v>108</v>
      </c>
      <c r="AB119" s="2" t="n">
        <f aca="false">MIN(AB118+1,AA119+1,AA118+IF($A119=AB$4,0,1))</f>
        <v>108</v>
      </c>
      <c r="AC119" s="2" t="n">
        <f aca="false">MIN(AC118+1,AB119+1,AB118+IF($A119=AC$4,0,1))</f>
        <v>108</v>
      </c>
      <c r="AD119" s="2" t="n">
        <f aca="false">MIN(AD118+1,AC119+1,AC118+IF($A119=AD$4,0,1))</f>
        <v>107</v>
      </c>
      <c r="AE119" s="2" t="n">
        <f aca="false">MIN(AE118+1,AD119+1,AD118+IF($A119=AE$4,0,1))</f>
        <v>107</v>
      </c>
      <c r="AF119" s="2" t="n">
        <f aca="false">MIN(AF118+1,AE119+1,AE118+IF($A119=AF$4,0,1))</f>
        <v>107</v>
      </c>
      <c r="AG119" s="2" t="n">
        <f aca="false">MIN(AG118+1,AF119+1,AF118+IF($A119=AG$4,0,1))</f>
        <v>107</v>
      </c>
      <c r="AH119" s="2" t="n">
        <f aca="false">MIN(AH118+1,AG119+1,AG118+IF($A119=AH$4,0,1))</f>
        <v>107</v>
      </c>
      <c r="AI119" s="2" t="n">
        <f aca="false">MIN(AI118+1,AH119+1,AH118+IF($A119=AI$4,0,1))</f>
        <v>107</v>
      </c>
      <c r="AJ119" s="2" t="n">
        <f aca="false">MIN(AJ118+1,AI119+1,AI118+IF($A119=AJ$4,0,1))</f>
        <v>107</v>
      </c>
      <c r="AK119" s="2" t="n">
        <f aca="false">MIN(AK118+1,AJ119+1,AJ118+IF($A119=AK$4,0,1))</f>
        <v>107</v>
      </c>
      <c r="AL119" s="2" t="n">
        <f aca="false">MIN(AL118+1,AK119+1,AK118+IF($A119=AL$4,0,1))</f>
        <v>107</v>
      </c>
      <c r="AM119" s="2" t="n">
        <f aca="false">MIN(AM118+1,AL119+1,AL118+IF($A119=AM$4,0,1))</f>
        <v>107</v>
      </c>
      <c r="AN119" s="2" t="n">
        <f aca="false">MIN(AN118+1,AM119+1,AM118+IF($A119=AN$4,0,1))</f>
        <v>107</v>
      </c>
      <c r="AO119" s="2" t="n">
        <f aca="false">MIN(AO118+1,AN119+1,AN118+IF($A119=AO$4,0,1))</f>
        <v>107</v>
      </c>
      <c r="AP119" s="2" t="n">
        <f aca="false">MIN(AP118+1,AO119+1,AO118+IF($A119=AP$4,0,1))</f>
        <v>107</v>
      </c>
      <c r="AQ119" s="2" t="n">
        <f aca="false">MIN(AQ118+1,AP119+1,AP118+IF($A119=AQ$4,0,1))</f>
        <v>107</v>
      </c>
      <c r="AR119" s="2" t="n">
        <f aca="false">MIN(AR118+1,AQ119+1,AQ118+IF($A119=AR$4,0,1))</f>
        <v>107</v>
      </c>
      <c r="AS119" s="2" t="n">
        <f aca="false">MIN(AS118+1,AR119+1,AR118+IF($A119=AS$4,0,1))</f>
        <v>107</v>
      </c>
      <c r="AT119" s="2" t="n">
        <f aca="false">MIN(AT118+1,AS119+1,AS118+IF($A119=AT$4,0,1))</f>
        <v>107</v>
      </c>
      <c r="AU119" s="2" t="n">
        <f aca="false">MIN(AU118+1,AT119+1,AT118+IF($A119=AU$4,0,1))</f>
        <v>107</v>
      </c>
      <c r="AV119" s="2" t="n">
        <f aca="false">MIN(AV118+1,AU119+1,AU118+IF($A119=AV$4,0,1))</f>
        <v>106</v>
      </c>
      <c r="AW119" s="2" t="n">
        <f aca="false">MIN(AW118+1,AV119+1,AV118+IF($A119=AW$4,0,1))</f>
        <v>106</v>
      </c>
      <c r="AX119" s="2" t="n">
        <f aca="false">MIN(AX118+1,AW119+1,AW118+IF($A119=AX$4,0,1))</f>
        <v>106</v>
      </c>
      <c r="AY119" s="2" t="n">
        <f aca="false">MIN(AY118+1,AX119+1,AX118+IF($A119=AY$4,0,1))</f>
        <v>106</v>
      </c>
      <c r="AZ119" s="2" t="n">
        <f aca="false">MIN(AZ118+1,AY119+1,AY118+IF($A119=AZ$4,0,1))</f>
        <v>106</v>
      </c>
      <c r="BA119" s="2" t="n">
        <f aca="false">MIN(BA118+1,AZ119+1,AZ118+IF($A119=BA$4,0,1))</f>
        <v>107</v>
      </c>
      <c r="BB119" s="2" t="n">
        <f aca="false">MIN(BB118+1,BA119+1,BA118+IF($A119=BB$4,0,1))</f>
        <v>107</v>
      </c>
      <c r="BC119" s="2" t="n">
        <f aca="false">MIN(BC118+1,BB119+1,BB118+IF($A119=BC$4,0,1))</f>
        <v>107</v>
      </c>
      <c r="BD119" s="2" t="n">
        <f aca="false">MIN(BD118+1,BC119+1,BC118+IF($A119=BD$4,0,1))</f>
        <v>107</v>
      </c>
      <c r="BE119" s="2" t="n">
        <f aca="false">MIN(BE118+1,BD119+1,BD118+IF($A119=BE$4,0,1))</f>
        <v>107</v>
      </c>
      <c r="BF119" s="2" t="n">
        <f aca="false">MIN(BF118+1,BE119+1,BE118+IF($A119=BF$4,0,1))</f>
        <v>107</v>
      </c>
      <c r="BG119" s="2" t="n">
        <f aca="false">MIN(BG118+1,BF119+1,BF118+IF($A119=BG$4,0,1))</f>
        <v>107</v>
      </c>
      <c r="BH119" s="2" t="n">
        <f aca="false">MIN(BH118+1,BG119+1,BG118+IF($A119=BH$4,0,1))</f>
        <v>107</v>
      </c>
      <c r="BI119" s="2" t="n">
        <f aca="false">MIN(BI118+1,BH119+1,BH118+IF($A119=BI$4,0,1))</f>
        <v>108</v>
      </c>
      <c r="BJ119" s="2" t="n">
        <f aca="false">MIN(BJ118+1,BI119+1,BI118+IF($A119=BJ$4,0,1))</f>
        <v>108</v>
      </c>
      <c r="BK119" s="2" t="n">
        <f aca="false">MIN(BK118+1,BJ119+1,BJ118+IF($A119=BK$4,0,1))</f>
        <v>108</v>
      </c>
      <c r="BL119" s="2" t="n">
        <f aca="false">MIN(BL118+1,BK119+1,BK118+IF($A119=BL$4,0,1))</f>
        <v>107</v>
      </c>
      <c r="BM119" s="2" t="n">
        <f aca="false">MIN(BM118+1,BL119+1,BL118+IF($A119=BM$4,0,1))</f>
        <v>107</v>
      </c>
      <c r="BN119" s="2" t="n">
        <f aca="false">MIN(BN118+1,BM119+1,BM118+IF($A119=BN$4,0,1))</f>
        <v>107</v>
      </c>
      <c r="BO119" s="2" t="n">
        <f aca="false">MIN(BO118+1,BN119+1,BN118+IF($A119=BO$4,0,1))</f>
        <v>107</v>
      </c>
      <c r="BP119" s="2" t="n">
        <f aca="false">MIN(BP118+1,BO119+1,BO118+IF($A119=BP$4,0,1))</f>
        <v>107</v>
      </c>
      <c r="BQ119" s="2" t="n">
        <f aca="false">MIN(BQ118+1,BP119+1,BP118+IF($A119=BQ$4,0,1))</f>
        <v>107</v>
      </c>
      <c r="BR119" s="2" t="n">
        <f aca="false">MIN(BR118+1,BQ119+1,BQ118+IF($A119=BR$4,0,1))</f>
        <v>107</v>
      </c>
      <c r="BS119" s="2" t="n">
        <f aca="false">MIN(BS118+1,BR119+1,BR118+IF($A119=BS$4,0,1))</f>
        <v>107</v>
      </c>
      <c r="BT119" s="2" t="n">
        <f aca="false">MIN(BT118+1,BS119+1,BS118+IF($A119=BT$4,0,1))</f>
        <v>107</v>
      </c>
      <c r="BU119" s="2" t="n">
        <f aca="false">MIN(BU118+1,BT119+1,BT118+IF($A119=BU$4,0,1))</f>
        <v>107</v>
      </c>
      <c r="BV119" s="2" t="n">
        <f aca="false">MIN(BV118+1,BU119+1,BU118+IF($A119=BV$4,0,1))</f>
        <v>106</v>
      </c>
      <c r="BW119" s="2" t="n">
        <f aca="false">MIN(BW118+1,BV119+1,BV118+IF($A119=BW$4,0,1))</f>
        <v>106</v>
      </c>
      <c r="BX119" s="2" t="n">
        <f aca="false">MIN(BX118+1,BW119+1,BW118+IF($A119=BX$4,0,1))</f>
        <v>106</v>
      </c>
      <c r="BY119" s="2" t="n">
        <f aca="false">MIN(BY118+1,BX119+1,BX118+IF($A119=BY$4,0,1))</f>
        <v>106</v>
      </c>
      <c r="BZ119" s="2" t="n">
        <f aca="false">MIN(BZ118+1,BY119+1,BY118+IF($A119=BZ$4,0,1))</f>
        <v>106</v>
      </c>
      <c r="CA119" s="2" t="n">
        <f aca="false">MIN(CA118+1,BZ119+1,BZ118+IF($A119=CA$4,0,1))</f>
        <v>106</v>
      </c>
      <c r="CB119" s="2" t="n">
        <f aca="false">MIN(CB118+1,CA119+1,CA118+IF($A119=CB$4,0,1))</f>
        <v>106</v>
      </c>
      <c r="CC119" s="2" t="n">
        <f aca="false">MIN(CC118+1,CB119+1,CB118+IF($A119=CC$4,0,1))</f>
        <v>106</v>
      </c>
      <c r="CD119" s="2" t="n">
        <f aca="false">MIN(CD118+1,CC119+1,CC118+IF($A119=CD$4,0,1))</f>
        <v>107</v>
      </c>
      <c r="CE119" s="2" t="n">
        <f aca="false">MIN(CE118+1,CD119+1,CD118+IF($A119=CE$4,0,1))</f>
        <v>107</v>
      </c>
      <c r="CF119" s="2" t="n">
        <f aca="false">MIN(CF118+1,CE119+1,CE118+IF($A119=CF$4,0,1))</f>
        <v>107</v>
      </c>
      <c r="CG119" s="2" t="n">
        <f aca="false">MIN(CG118+1,CF119+1,CF118+IF($A119=CG$4,0,1))</f>
        <v>107</v>
      </c>
      <c r="CH119" s="2" t="n">
        <f aca="false">MIN(CH118+1,CG119+1,CG118+IF($A119=CH$4,0,1))</f>
        <v>107</v>
      </c>
      <c r="CI119" s="2" t="n">
        <f aca="false">MIN(CI118+1,CH119+1,CH118+IF($A119=CI$4,0,1))</f>
        <v>107</v>
      </c>
      <c r="CJ119" s="2" t="n">
        <f aca="false">MIN(CJ118+1,CI119+1,CI118+IF($A119=CJ$4,0,1))</f>
        <v>107</v>
      </c>
      <c r="CK119" s="2" t="n">
        <f aca="false">MIN(CK118+1,CJ119+1,CJ118+IF($A119=CK$4,0,1))</f>
        <v>107</v>
      </c>
      <c r="CL119" s="2" t="n">
        <f aca="false">MIN(CL118+1,CK119+1,CK118+IF($A119=CL$4,0,1))</f>
        <v>107</v>
      </c>
      <c r="CM119" s="2" t="n">
        <f aca="false">MIN(CM118+1,CL119+1,CL118+IF($A119=CM$4,0,1))</f>
        <v>108</v>
      </c>
      <c r="CN119" s="2" t="n">
        <f aca="false">MIN(CN118+1,CM119+1,CM118+IF($A119=CN$4,0,1))</f>
        <v>108</v>
      </c>
      <c r="CO119" s="2" t="n">
        <f aca="false">MIN(CO118+1,CN119+1,CN118+IF($A119=CO$4,0,1))</f>
        <v>108</v>
      </c>
      <c r="CP119" s="2" t="n">
        <f aca="false">MIN(CP118+1,CO119+1,CO118+IF($A119=CP$4,0,1))</f>
        <v>108</v>
      </c>
      <c r="CQ119" s="2" t="n">
        <f aca="false">MIN(CQ118+1,CP119+1,CP118+IF($A119=CQ$4,0,1))</f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Q1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95" min="2" style="0" width="4.5"/>
  </cols>
  <sheetData>
    <row r="1" customFormat="false" ht="15" hidden="false" customHeight="false" outlineLevel="0" collapsed="false">
      <c r="A1" s="3" t="s">
        <v>215</v>
      </c>
    </row>
    <row r="2" customFormat="false" ht="15" hidden="false" customHeight="false" outlineLevel="0" collapsed="false">
      <c r="A2" s="3" t="s">
        <v>86</v>
      </c>
      <c r="B2" s="13" t="n">
        <f aca="false">CQ119</f>
        <v>-100</v>
      </c>
      <c r="C2" s="3" t="s">
        <v>87</v>
      </c>
      <c r="D2" s="4" t="n">
        <v>-100</v>
      </c>
    </row>
    <row r="4" customFormat="false" ht="64.15" hidden="false" customHeight="false" outlineLevel="0" collapsed="false">
      <c r="A4" s="3" t="s">
        <v>55</v>
      </c>
      <c r="B4" s="3" t="s">
        <v>56</v>
      </c>
      <c r="C4" s="17" t="s">
        <v>57</v>
      </c>
      <c r="D4" s="17" t="s">
        <v>58</v>
      </c>
      <c r="E4" s="17" t="s">
        <v>59</v>
      </c>
      <c r="F4" s="17" t="s">
        <v>60</v>
      </c>
      <c r="G4" s="17" t="s">
        <v>61</v>
      </c>
      <c r="H4" s="17" t="s">
        <v>62</v>
      </c>
      <c r="I4" s="17" t="s">
        <v>63</v>
      </c>
      <c r="J4" s="17" t="s">
        <v>88</v>
      </c>
      <c r="K4" s="17" t="s">
        <v>89</v>
      </c>
      <c r="L4" s="17" t="s">
        <v>90</v>
      </c>
      <c r="M4" s="17" t="s">
        <v>91</v>
      </c>
      <c r="N4" s="17" t="s">
        <v>92</v>
      </c>
      <c r="O4" s="17" t="s">
        <v>89</v>
      </c>
      <c r="P4" s="17" t="s">
        <v>90</v>
      </c>
      <c r="Q4" s="17" t="s">
        <v>93</v>
      </c>
      <c r="R4" s="17" t="s">
        <v>94</v>
      </c>
      <c r="S4" s="17" t="s">
        <v>95</v>
      </c>
      <c r="T4" s="17" t="s">
        <v>96</v>
      </c>
      <c r="U4" s="17" t="s">
        <v>97</v>
      </c>
      <c r="V4" s="17" t="s">
        <v>98</v>
      </c>
      <c r="W4" s="17" t="s">
        <v>99</v>
      </c>
      <c r="X4" s="17" t="s">
        <v>100</v>
      </c>
      <c r="Y4" s="17" t="s">
        <v>101</v>
      </c>
      <c r="Z4" s="17" t="s">
        <v>102</v>
      </c>
      <c r="AA4" s="17" t="s">
        <v>103</v>
      </c>
      <c r="AB4" s="17" t="s">
        <v>104</v>
      </c>
      <c r="AC4" s="17" t="s">
        <v>58</v>
      </c>
      <c r="AD4" s="17" t="s">
        <v>61</v>
      </c>
      <c r="AE4" s="17" t="s">
        <v>105</v>
      </c>
      <c r="AF4" s="17" t="s">
        <v>106</v>
      </c>
      <c r="AG4" s="17" t="s">
        <v>107</v>
      </c>
      <c r="AH4" s="17" t="s">
        <v>108</v>
      </c>
      <c r="AI4" s="17" t="s">
        <v>109</v>
      </c>
      <c r="AJ4" s="17" t="s">
        <v>110</v>
      </c>
      <c r="AK4" s="17" t="s">
        <v>111</v>
      </c>
      <c r="AL4" s="17" t="s">
        <v>112</v>
      </c>
      <c r="AM4" s="17" t="s">
        <v>113</v>
      </c>
      <c r="AN4" s="17" t="s">
        <v>114</v>
      </c>
      <c r="AO4" s="17" t="s">
        <v>98</v>
      </c>
      <c r="AP4" s="17" t="s">
        <v>115</v>
      </c>
      <c r="AQ4" s="17" t="s">
        <v>116</v>
      </c>
      <c r="AR4" s="17" t="s">
        <v>105</v>
      </c>
      <c r="AS4" s="17" t="s">
        <v>58</v>
      </c>
      <c r="AT4" s="17" t="s">
        <v>61</v>
      </c>
      <c r="AU4" s="17" t="s">
        <v>117</v>
      </c>
      <c r="AV4" s="17" t="s">
        <v>118</v>
      </c>
      <c r="AW4" s="17" t="s">
        <v>119</v>
      </c>
      <c r="AX4" s="17" t="s">
        <v>120</v>
      </c>
      <c r="AY4" s="17" t="s">
        <v>113</v>
      </c>
      <c r="AZ4" s="17" t="s">
        <v>121</v>
      </c>
      <c r="BA4" s="17" t="s">
        <v>122</v>
      </c>
      <c r="BB4" s="17" t="s">
        <v>123</v>
      </c>
      <c r="BC4" s="17" t="s">
        <v>66</v>
      </c>
      <c r="BD4" s="17" t="s">
        <v>58</v>
      </c>
      <c r="BE4" s="17" t="s">
        <v>61</v>
      </c>
      <c r="BF4" s="17" t="s">
        <v>124</v>
      </c>
      <c r="BG4" s="17" t="s">
        <v>125</v>
      </c>
      <c r="BH4" s="17" t="s">
        <v>91</v>
      </c>
      <c r="BI4" s="17" t="s">
        <v>92</v>
      </c>
      <c r="BJ4" s="17" t="s">
        <v>126</v>
      </c>
      <c r="BK4" s="17" t="s">
        <v>127</v>
      </c>
      <c r="BL4" s="17" t="s">
        <v>89</v>
      </c>
      <c r="BM4" s="17" t="s">
        <v>128</v>
      </c>
      <c r="BN4" s="17" t="s">
        <v>129</v>
      </c>
      <c r="BO4" s="17" t="s">
        <v>58</v>
      </c>
      <c r="BP4" s="17" t="s">
        <v>61</v>
      </c>
      <c r="BQ4" s="17" t="s">
        <v>130</v>
      </c>
      <c r="BR4" s="17" t="s">
        <v>131</v>
      </c>
      <c r="BS4" s="17" t="s">
        <v>132</v>
      </c>
      <c r="BT4" s="17" t="s">
        <v>133</v>
      </c>
      <c r="BU4" s="17" t="s">
        <v>134</v>
      </c>
      <c r="BV4" s="17" t="s">
        <v>135</v>
      </c>
      <c r="BW4" s="17" t="s">
        <v>128</v>
      </c>
      <c r="BX4" s="17" t="s">
        <v>125</v>
      </c>
      <c r="BY4" s="17" t="s">
        <v>136</v>
      </c>
      <c r="BZ4" s="17" t="s">
        <v>58</v>
      </c>
      <c r="CA4" s="17" t="s">
        <v>61</v>
      </c>
      <c r="CB4" s="17" t="s">
        <v>137</v>
      </c>
      <c r="CC4" s="17" t="s">
        <v>138</v>
      </c>
      <c r="CD4" s="17" t="s">
        <v>139</v>
      </c>
      <c r="CE4" s="17" t="s">
        <v>140</v>
      </c>
      <c r="CF4" s="17" t="s">
        <v>141</v>
      </c>
      <c r="CG4" s="17" t="s">
        <v>142</v>
      </c>
      <c r="CH4" s="17" t="s">
        <v>143</v>
      </c>
      <c r="CI4" s="17" t="s">
        <v>58</v>
      </c>
      <c r="CJ4" s="17" t="s">
        <v>61</v>
      </c>
      <c r="CK4" s="17" t="s">
        <v>144</v>
      </c>
      <c r="CL4" s="17" t="s">
        <v>145</v>
      </c>
      <c r="CM4" s="17" t="s">
        <v>146</v>
      </c>
      <c r="CN4" s="17" t="s">
        <v>147</v>
      </c>
      <c r="CO4" s="17" t="s">
        <v>148</v>
      </c>
      <c r="CP4" s="17" t="s">
        <v>98</v>
      </c>
      <c r="CQ4" s="17" t="s">
        <v>125</v>
      </c>
    </row>
    <row r="5" customFormat="false" ht="15" hidden="false" customHeight="false" outlineLevel="0" collapsed="false">
      <c r="A5" s="3" t="s">
        <v>56</v>
      </c>
      <c r="B5" s="12" t="n">
        <v>0</v>
      </c>
      <c r="C5" s="12" t="n">
        <v>-1</v>
      </c>
      <c r="D5" s="12" t="n">
        <v>-2</v>
      </c>
      <c r="E5" s="12" t="n">
        <v>-3</v>
      </c>
      <c r="F5" s="12" t="n">
        <v>-4</v>
      </c>
      <c r="G5" s="12" t="n">
        <v>-5</v>
      </c>
      <c r="H5" s="12" t="n">
        <v>-6</v>
      </c>
      <c r="I5" s="12" t="n">
        <v>-7</v>
      </c>
      <c r="J5" s="12" t="n">
        <v>-8</v>
      </c>
      <c r="K5" s="12" t="n">
        <v>-9</v>
      </c>
      <c r="L5" s="12" t="n">
        <v>-10</v>
      </c>
      <c r="M5" s="12" t="n">
        <v>-11</v>
      </c>
      <c r="N5" s="12" t="n">
        <v>-12</v>
      </c>
      <c r="O5" s="12" t="n">
        <v>-13</v>
      </c>
      <c r="P5" s="12" t="n">
        <v>-14</v>
      </c>
      <c r="Q5" s="12" t="n">
        <v>-15</v>
      </c>
      <c r="R5" s="12" t="n">
        <v>-16</v>
      </c>
      <c r="S5" s="12" t="n">
        <v>-17</v>
      </c>
      <c r="T5" s="12" t="n">
        <v>-18</v>
      </c>
      <c r="U5" s="12" t="n">
        <v>-19</v>
      </c>
      <c r="V5" s="12" t="n">
        <v>-20</v>
      </c>
      <c r="W5" s="12" t="n">
        <v>-21</v>
      </c>
      <c r="X5" s="12" t="n">
        <v>-22</v>
      </c>
      <c r="Y5" s="12" t="n">
        <v>-23</v>
      </c>
      <c r="Z5" s="12" t="n">
        <v>-24</v>
      </c>
      <c r="AA5" s="12" t="n">
        <v>-25</v>
      </c>
      <c r="AB5" s="12" t="n">
        <v>-26</v>
      </c>
      <c r="AC5" s="12" t="n">
        <v>-27</v>
      </c>
      <c r="AD5" s="12" t="n">
        <v>-28</v>
      </c>
      <c r="AE5" s="12" t="n">
        <v>-29</v>
      </c>
      <c r="AF5" s="12" t="n">
        <v>-30</v>
      </c>
      <c r="AG5" s="12" t="n">
        <v>-31</v>
      </c>
      <c r="AH5" s="12" t="n">
        <v>-32</v>
      </c>
      <c r="AI5" s="12" t="n">
        <v>-33</v>
      </c>
      <c r="AJ5" s="12" t="n">
        <v>-34</v>
      </c>
      <c r="AK5" s="12" t="n">
        <v>-35</v>
      </c>
      <c r="AL5" s="12" t="n">
        <v>-36</v>
      </c>
      <c r="AM5" s="12" t="n">
        <v>-37</v>
      </c>
      <c r="AN5" s="12" t="n">
        <v>-38</v>
      </c>
      <c r="AO5" s="12" t="n">
        <v>-39</v>
      </c>
      <c r="AP5" s="12" t="n">
        <v>-40</v>
      </c>
      <c r="AQ5" s="12" t="n">
        <v>-41</v>
      </c>
      <c r="AR5" s="12" t="n">
        <v>-42</v>
      </c>
      <c r="AS5" s="12" t="n">
        <v>-43</v>
      </c>
      <c r="AT5" s="12" t="n">
        <v>-44</v>
      </c>
      <c r="AU5" s="12" t="n">
        <v>-45</v>
      </c>
      <c r="AV5" s="12" t="n">
        <v>-46</v>
      </c>
      <c r="AW5" s="12" t="n">
        <v>-47</v>
      </c>
      <c r="AX5" s="12" t="n">
        <v>-48</v>
      </c>
      <c r="AY5" s="12" t="n">
        <v>-49</v>
      </c>
      <c r="AZ5" s="12" t="n">
        <v>-50</v>
      </c>
      <c r="BA5" s="12" t="n">
        <v>-51</v>
      </c>
      <c r="BB5" s="12" t="n">
        <v>-52</v>
      </c>
      <c r="BC5" s="12" t="n">
        <v>-53</v>
      </c>
      <c r="BD5" s="12" t="n">
        <v>-54</v>
      </c>
      <c r="BE5" s="12" t="n">
        <v>-55</v>
      </c>
      <c r="BF5" s="12" t="n">
        <v>-56</v>
      </c>
      <c r="BG5" s="12" t="n">
        <v>-57</v>
      </c>
      <c r="BH5" s="12" t="n">
        <v>-58</v>
      </c>
      <c r="BI5" s="12" t="n">
        <v>-59</v>
      </c>
      <c r="BJ5" s="12" t="n">
        <v>-60</v>
      </c>
      <c r="BK5" s="12" t="n">
        <v>-61</v>
      </c>
      <c r="BL5" s="12" t="n">
        <v>-62</v>
      </c>
      <c r="BM5" s="12" t="n">
        <v>-63</v>
      </c>
      <c r="BN5" s="12" t="n">
        <v>-64</v>
      </c>
      <c r="BO5" s="12" t="n">
        <v>-65</v>
      </c>
      <c r="BP5" s="12" t="n">
        <v>-66</v>
      </c>
      <c r="BQ5" s="12" t="n">
        <v>-67</v>
      </c>
      <c r="BR5" s="12" t="n">
        <v>-68</v>
      </c>
      <c r="BS5" s="12" t="n">
        <v>-69</v>
      </c>
      <c r="BT5" s="12" t="n">
        <v>-70</v>
      </c>
      <c r="BU5" s="12" t="n">
        <v>-71</v>
      </c>
      <c r="BV5" s="12" t="n">
        <v>-72</v>
      </c>
      <c r="BW5" s="12" t="n">
        <v>-73</v>
      </c>
      <c r="BX5" s="12" t="n">
        <v>-74</v>
      </c>
      <c r="BY5" s="12" t="n">
        <v>-75</v>
      </c>
      <c r="BZ5" s="12" t="n">
        <v>-76</v>
      </c>
      <c r="CA5" s="12" t="n">
        <v>-77</v>
      </c>
      <c r="CB5" s="12" t="n">
        <v>-78</v>
      </c>
      <c r="CC5" s="12" t="n">
        <v>-79</v>
      </c>
      <c r="CD5" s="12" t="n">
        <v>-80</v>
      </c>
      <c r="CE5" s="12" t="n">
        <v>-81</v>
      </c>
      <c r="CF5" s="12" t="n">
        <v>-82</v>
      </c>
      <c r="CG5" s="12" t="n">
        <v>-83</v>
      </c>
      <c r="CH5" s="12" t="n">
        <v>-84</v>
      </c>
      <c r="CI5" s="12" t="n">
        <v>-85</v>
      </c>
      <c r="CJ5" s="12" t="n">
        <v>-86</v>
      </c>
      <c r="CK5" s="12" t="n">
        <v>-87</v>
      </c>
      <c r="CL5" s="12" t="n">
        <v>-88</v>
      </c>
      <c r="CM5" s="12" t="n">
        <v>-89</v>
      </c>
      <c r="CN5" s="12" t="n">
        <v>-90</v>
      </c>
      <c r="CO5" s="12" t="n">
        <v>-91</v>
      </c>
      <c r="CP5" s="12" t="n">
        <v>-92</v>
      </c>
      <c r="CQ5" s="12" t="n">
        <v>-93</v>
      </c>
    </row>
    <row r="6" customFormat="false" ht="15" hidden="false" customHeight="false" outlineLevel="0" collapsed="false">
      <c r="A6" s="4" t="s">
        <v>58</v>
      </c>
      <c r="B6" s="12" t="n">
        <v>-1</v>
      </c>
      <c r="C6" s="2" t="n">
        <f aca="false">MAX(B5+IF($A6=C$4,1,-1),C5-1,B6-1)</f>
        <v>-1</v>
      </c>
      <c r="D6" s="2" t="n">
        <f aca="false">MAX(C5+IF($A6=D$4,1,-1),D5-1,C6-1)</f>
        <v>0</v>
      </c>
      <c r="E6" s="2" t="n">
        <f aca="false">MAX(D5+IF($A6=E$4,1,-1),E5-1,D6-1)</f>
        <v>-1</v>
      </c>
      <c r="F6" s="2" t="n">
        <f aca="false">MAX(E5+IF($A6=F$4,1,-1),F5-1,E6-1)</f>
        <v>-2</v>
      </c>
      <c r="G6" s="2" t="n">
        <f aca="false">MAX(F5+IF($A6=G$4,1,-1),G5-1,F6-1)</f>
        <v>-3</v>
      </c>
      <c r="H6" s="2" t="n">
        <f aca="false">MAX(G5+IF($A6=H$4,1,-1),H5-1,G6-1)</f>
        <v>-4</v>
      </c>
      <c r="I6" s="2" t="n">
        <f aca="false">MAX(H5+IF($A6=I$4,1,-1),I5-1,H6-1)</f>
        <v>-5</v>
      </c>
      <c r="J6" s="2" t="n">
        <f aca="false">MAX(I5+IF($A6=J$4,1,-1),J5-1,I6-1)</f>
        <v>-6</v>
      </c>
      <c r="K6" s="2" t="n">
        <f aca="false">MAX(J5+IF($A6=K$4,1,-1),K5-1,J6-1)</f>
        <v>-7</v>
      </c>
      <c r="L6" s="2" t="n">
        <f aca="false">MAX(K5+IF($A6=L$4,1,-1),L5-1,K6-1)</f>
        <v>-8</v>
      </c>
      <c r="M6" s="2" t="n">
        <f aca="false">MAX(L5+IF($A6=M$4,1,-1),M5-1,L6-1)</f>
        <v>-9</v>
      </c>
      <c r="N6" s="2" t="n">
        <f aca="false">MAX(M5+IF($A6=N$4,1,-1),N5-1,M6-1)</f>
        <v>-10</v>
      </c>
      <c r="O6" s="2" t="n">
        <f aca="false">MAX(N5+IF($A6=O$4,1,-1),O5-1,N6-1)</f>
        <v>-11</v>
      </c>
      <c r="P6" s="2" t="n">
        <f aca="false">MAX(O5+IF($A6=P$4,1,-1),P5-1,O6-1)</f>
        <v>-12</v>
      </c>
      <c r="Q6" s="2" t="n">
        <f aca="false">MAX(P5+IF($A6=Q$4,1,-1),Q5-1,P6-1)</f>
        <v>-13</v>
      </c>
      <c r="R6" s="2" t="n">
        <f aca="false">MAX(Q5+IF($A6=R$4,1,-1),R5-1,Q6-1)</f>
        <v>-14</v>
      </c>
      <c r="S6" s="2" t="n">
        <f aca="false">MAX(R5+IF($A6=S$4,1,-1),S5-1,R6-1)</f>
        <v>-15</v>
      </c>
      <c r="T6" s="2" t="n">
        <f aca="false">MAX(S5+IF($A6=T$4,1,-1),T5-1,S6-1)</f>
        <v>-16</v>
      </c>
      <c r="U6" s="2" t="n">
        <f aca="false">MAX(T5+IF($A6=U$4,1,-1),U5-1,T6-1)</f>
        <v>-17</v>
      </c>
      <c r="V6" s="2" t="n">
        <f aca="false">MAX(U5+IF($A6=V$4,1,-1),V5-1,U6-1)</f>
        <v>-18</v>
      </c>
      <c r="W6" s="2" t="n">
        <f aca="false">MAX(V5+IF($A6=W$4,1,-1),W5-1,V6-1)</f>
        <v>-19</v>
      </c>
      <c r="X6" s="2" t="n">
        <f aca="false">MAX(W5+IF($A6=X$4,1,-1),X5-1,W6-1)</f>
        <v>-20</v>
      </c>
      <c r="Y6" s="2" t="n">
        <f aca="false">MAX(X5+IF($A6=Y$4,1,-1),Y5-1,X6-1)</f>
        <v>-21</v>
      </c>
      <c r="Z6" s="2" t="n">
        <f aca="false">MAX(Y5+IF($A6=Z$4,1,-1),Z5-1,Y6-1)</f>
        <v>-22</v>
      </c>
      <c r="AA6" s="2" t="n">
        <f aca="false">MAX(Z5+IF($A6=AA$4,1,-1),AA5-1,Z6-1)</f>
        <v>-23</v>
      </c>
      <c r="AB6" s="2" t="n">
        <f aca="false">MAX(AA5+IF($A6=AB$4,1,-1),AB5-1,AA6-1)</f>
        <v>-24</v>
      </c>
      <c r="AC6" s="2" t="n">
        <f aca="false">MAX(AB5+IF($A6=AC$4,1,-1),AC5-1,AB6-1)</f>
        <v>-25</v>
      </c>
      <c r="AD6" s="2" t="n">
        <f aca="false">MAX(AC5+IF($A6=AD$4,1,-1),AD5-1,AC6-1)</f>
        <v>-26</v>
      </c>
      <c r="AE6" s="2" t="n">
        <f aca="false">MAX(AD5+IF($A6=AE$4,1,-1),AE5-1,AD6-1)</f>
        <v>-27</v>
      </c>
      <c r="AF6" s="2" t="n">
        <f aca="false">MAX(AE5+IF($A6=AF$4,1,-1),AF5-1,AE6-1)</f>
        <v>-28</v>
      </c>
      <c r="AG6" s="2" t="n">
        <f aca="false">MAX(AF5+IF($A6=AG$4,1,-1),AG5-1,AF6-1)</f>
        <v>-29</v>
      </c>
      <c r="AH6" s="2" t="n">
        <f aca="false">MAX(AG5+IF($A6=AH$4,1,-1),AH5-1,AG6-1)</f>
        <v>-30</v>
      </c>
      <c r="AI6" s="2" t="n">
        <f aca="false">MAX(AH5+IF($A6=AI$4,1,-1),AI5-1,AH6-1)</f>
        <v>-31</v>
      </c>
      <c r="AJ6" s="2" t="n">
        <f aca="false">MAX(AI5+IF($A6=AJ$4,1,-1),AJ5-1,AI6-1)</f>
        <v>-32</v>
      </c>
      <c r="AK6" s="2" t="n">
        <f aca="false">MAX(AJ5+IF($A6=AK$4,1,-1),AK5-1,AJ6-1)</f>
        <v>-33</v>
      </c>
      <c r="AL6" s="2" t="n">
        <f aca="false">MAX(AK5+IF($A6=AL$4,1,-1),AL5-1,AK6-1)</f>
        <v>-34</v>
      </c>
      <c r="AM6" s="2" t="n">
        <f aca="false">MAX(AL5+IF($A6=AM$4,1,-1),AM5-1,AL6-1)</f>
        <v>-35</v>
      </c>
      <c r="AN6" s="2" t="n">
        <f aca="false">MAX(AM5+IF($A6=AN$4,1,-1),AN5-1,AM6-1)</f>
        <v>-36</v>
      </c>
      <c r="AO6" s="2" t="n">
        <f aca="false">MAX(AN5+IF($A6=AO$4,1,-1),AO5-1,AN6-1)</f>
        <v>-37</v>
      </c>
      <c r="AP6" s="2" t="n">
        <f aca="false">MAX(AO5+IF($A6=AP$4,1,-1),AP5-1,AO6-1)</f>
        <v>-38</v>
      </c>
      <c r="AQ6" s="2" t="n">
        <f aca="false">MAX(AP5+IF($A6=AQ$4,1,-1),AQ5-1,AP6-1)</f>
        <v>-39</v>
      </c>
      <c r="AR6" s="2" t="n">
        <f aca="false">MAX(AQ5+IF($A6=AR$4,1,-1),AR5-1,AQ6-1)</f>
        <v>-40</v>
      </c>
      <c r="AS6" s="2" t="n">
        <f aca="false">MAX(AR5+IF($A6=AS$4,1,-1),AS5-1,AR6-1)</f>
        <v>-41</v>
      </c>
      <c r="AT6" s="2" t="n">
        <f aca="false">MAX(AS5+IF($A6=AT$4,1,-1),AT5-1,AS6-1)</f>
        <v>-42</v>
      </c>
      <c r="AU6" s="2" t="n">
        <f aca="false">MAX(AT5+IF($A6=AU$4,1,-1),AU5-1,AT6-1)</f>
        <v>-43</v>
      </c>
      <c r="AV6" s="2" t="n">
        <f aca="false">MAX(AU5+IF($A6=AV$4,1,-1),AV5-1,AU6-1)</f>
        <v>-44</v>
      </c>
      <c r="AW6" s="2" t="n">
        <f aca="false">MAX(AV5+IF($A6=AW$4,1,-1),AW5-1,AV6-1)</f>
        <v>-45</v>
      </c>
      <c r="AX6" s="2" t="n">
        <f aca="false">MAX(AW5+IF($A6=AX$4,1,-1),AX5-1,AW6-1)</f>
        <v>-46</v>
      </c>
      <c r="AY6" s="2" t="n">
        <f aca="false">MAX(AX5+IF($A6=AY$4,1,-1),AY5-1,AX6-1)</f>
        <v>-47</v>
      </c>
      <c r="AZ6" s="2" t="n">
        <f aca="false">MAX(AY5+IF($A6=AZ$4,1,-1),AZ5-1,AY6-1)</f>
        <v>-48</v>
      </c>
      <c r="BA6" s="2" t="n">
        <f aca="false">MAX(AZ5+IF($A6=BA$4,1,-1),BA5-1,AZ6-1)</f>
        <v>-49</v>
      </c>
      <c r="BB6" s="2" t="n">
        <f aca="false">MAX(BA5+IF($A6=BB$4,1,-1),BB5-1,BA6-1)</f>
        <v>-50</v>
      </c>
      <c r="BC6" s="2" t="n">
        <f aca="false">MAX(BB5+IF($A6=BC$4,1,-1),BC5-1,BB6-1)</f>
        <v>-51</v>
      </c>
      <c r="BD6" s="2" t="n">
        <f aca="false">MAX(BC5+IF($A6=BD$4,1,-1),BD5-1,BC6-1)</f>
        <v>-52</v>
      </c>
      <c r="BE6" s="2" t="n">
        <f aca="false">MAX(BD5+IF($A6=BE$4,1,-1),BE5-1,BD6-1)</f>
        <v>-53</v>
      </c>
      <c r="BF6" s="2" t="n">
        <f aca="false">MAX(BE5+IF($A6=BF$4,1,-1),BF5-1,BE6-1)</f>
        <v>-54</v>
      </c>
      <c r="BG6" s="2" t="n">
        <f aca="false">MAX(BF5+IF($A6=BG$4,1,-1),BG5-1,BF6-1)</f>
        <v>-55</v>
      </c>
      <c r="BH6" s="2" t="n">
        <f aca="false">MAX(BG5+IF($A6=BH$4,1,-1),BH5-1,BG6-1)</f>
        <v>-56</v>
      </c>
      <c r="BI6" s="2" t="n">
        <f aca="false">MAX(BH5+IF($A6=BI$4,1,-1),BI5-1,BH6-1)</f>
        <v>-57</v>
      </c>
      <c r="BJ6" s="2" t="n">
        <f aca="false">MAX(BI5+IF($A6=BJ$4,1,-1),BJ5-1,BI6-1)</f>
        <v>-58</v>
      </c>
      <c r="BK6" s="2" t="n">
        <f aca="false">MAX(BJ5+IF($A6=BK$4,1,-1),BK5-1,BJ6-1)</f>
        <v>-59</v>
      </c>
      <c r="BL6" s="2" t="n">
        <f aca="false">MAX(BK5+IF($A6=BL$4,1,-1),BL5-1,BK6-1)</f>
        <v>-60</v>
      </c>
      <c r="BM6" s="2" t="n">
        <f aca="false">MAX(BL5+IF($A6=BM$4,1,-1),BM5-1,BL6-1)</f>
        <v>-61</v>
      </c>
      <c r="BN6" s="2" t="n">
        <f aca="false">MAX(BM5+IF($A6=BN$4,1,-1),BN5-1,BM6-1)</f>
        <v>-62</v>
      </c>
      <c r="BO6" s="2" t="n">
        <f aca="false">MAX(BN5+IF($A6=BO$4,1,-1),BO5-1,BN6-1)</f>
        <v>-63</v>
      </c>
      <c r="BP6" s="2" t="n">
        <f aca="false">MAX(BO5+IF($A6=BP$4,1,-1),BP5-1,BO6-1)</f>
        <v>-64</v>
      </c>
      <c r="BQ6" s="2" t="n">
        <f aca="false">MAX(BP5+IF($A6=BQ$4,1,-1),BQ5-1,BP6-1)</f>
        <v>-65</v>
      </c>
      <c r="BR6" s="2" t="n">
        <f aca="false">MAX(BQ5+IF($A6=BR$4,1,-1),BR5-1,BQ6-1)</f>
        <v>-66</v>
      </c>
      <c r="BS6" s="2" t="n">
        <f aca="false">MAX(BR5+IF($A6=BS$4,1,-1),BS5-1,BR6-1)</f>
        <v>-67</v>
      </c>
      <c r="BT6" s="2" t="n">
        <f aca="false">MAX(BS5+IF($A6=BT$4,1,-1),BT5-1,BS6-1)</f>
        <v>-68</v>
      </c>
      <c r="BU6" s="2" t="n">
        <f aca="false">MAX(BT5+IF($A6=BU$4,1,-1),BU5-1,BT6-1)</f>
        <v>-69</v>
      </c>
      <c r="BV6" s="2" t="n">
        <f aca="false">MAX(BU5+IF($A6=BV$4,1,-1),BV5-1,BU6-1)</f>
        <v>-70</v>
      </c>
      <c r="BW6" s="2" t="n">
        <f aca="false">MAX(BV5+IF($A6=BW$4,1,-1),BW5-1,BV6-1)</f>
        <v>-71</v>
      </c>
      <c r="BX6" s="2" t="n">
        <f aca="false">MAX(BW5+IF($A6=BX$4,1,-1),BX5-1,BW6-1)</f>
        <v>-72</v>
      </c>
      <c r="BY6" s="2" t="n">
        <f aca="false">MAX(BX5+IF($A6=BY$4,1,-1),BY5-1,BX6-1)</f>
        <v>-73</v>
      </c>
      <c r="BZ6" s="2" t="n">
        <f aca="false">MAX(BY5+IF($A6=BZ$4,1,-1),BZ5-1,BY6-1)</f>
        <v>-74</v>
      </c>
      <c r="CA6" s="2" t="n">
        <f aca="false">MAX(BZ5+IF($A6=CA$4,1,-1),CA5-1,BZ6-1)</f>
        <v>-75</v>
      </c>
      <c r="CB6" s="2" t="n">
        <f aca="false">MAX(CA5+IF($A6=CB$4,1,-1),CB5-1,CA6-1)</f>
        <v>-76</v>
      </c>
      <c r="CC6" s="2" t="n">
        <f aca="false">MAX(CB5+IF($A6=CC$4,1,-1),CC5-1,CB6-1)</f>
        <v>-77</v>
      </c>
      <c r="CD6" s="2" t="n">
        <f aca="false">MAX(CC5+IF($A6=CD$4,1,-1),CD5-1,CC6-1)</f>
        <v>-78</v>
      </c>
      <c r="CE6" s="2" t="n">
        <f aca="false">MAX(CD5+IF($A6=CE$4,1,-1),CE5-1,CD6-1)</f>
        <v>-79</v>
      </c>
      <c r="CF6" s="2" t="n">
        <f aca="false">MAX(CE5+IF($A6=CF$4,1,-1),CF5-1,CE6-1)</f>
        <v>-80</v>
      </c>
      <c r="CG6" s="2" t="n">
        <f aca="false">MAX(CF5+IF($A6=CG$4,1,-1),CG5-1,CF6-1)</f>
        <v>-81</v>
      </c>
      <c r="CH6" s="2" t="n">
        <f aca="false">MAX(CG5+IF($A6=CH$4,1,-1),CH5-1,CG6-1)</f>
        <v>-82</v>
      </c>
      <c r="CI6" s="2" t="n">
        <f aca="false">MAX(CH5+IF($A6=CI$4,1,-1),CI5-1,CH6-1)</f>
        <v>-83</v>
      </c>
      <c r="CJ6" s="2" t="n">
        <f aca="false">MAX(CI5+IF($A6=CJ$4,1,-1),CJ5-1,CI6-1)</f>
        <v>-84</v>
      </c>
      <c r="CK6" s="2" t="n">
        <f aca="false">MAX(CJ5+IF($A6=CK$4,1,-1),CK5-1,CJ6-1)</f>
        <v>-85</v>
      </c>
      <c r="CL6" s="2" t="n">
        <f aca="false">MAX(CK5+IF($A6=CL$4,1,-1),CL5-1,CK6-1)</f>
        <v>-86</v>
      </c>
      <c r="CM6" s="2" t="n">
        <f aca="false">MAX(CL5+IF($A6=CM$4,1,-1),CM5-1,CL6-1)</f>
        <v>-87</v>
      </c>
      <c r="CN6" s="2" t="n">
        <f aca="false">MAX(CM5+IF($A6=CN$4,1,-1),CN5-1,CM6-1)</f>
        <v>-88</v>
      </c>
      <c r="CO6" s="2" t="n">
        <f aca="false">MAX(CN5+IF($A6=CO$4,1,-1),CO5-1,CN6-1)</f>
        <v>-89</v>
      </c>
      <c r="CP6" s="2" t="n">
        <f aca="false">MAX(CO5+IF($A6=CP$4,1,-1),CP5-1,CO6-1)</f>
        <v>-90</v>
      </c>
      <c r="CQ6" s="2" t="n">
        <f aca="false">MAX(CP5+IF($A6=CQ$4,1,-1),CQ5-1,CP6-1)</f>
        <v>-91</v>
      </c>
    </row>
    <row r="7" customFormat="false" ht="15" hidden="false" customHeight="false" outlineLevel="0" collapsed="false">
      <c r="A7" s="4" t="s">
        <v>59</v>
      </c>
      <c r="B7" s="12" t="n">
        <v>-2</v>
      </c>
      <c r="C7" s="2" t="n">
        <f aca="false">MAX(B6+IF($A7=C$4,1,-1),C6-1,B7-1)</f>
        <v>-2</v>
      </c>
      <c r="D7" s="2" t="n">
        <f aca="false">MAX(C6+IF($A7=D$4,1,-1),D6-1,C7-1)</f>
        <v>-1</v>
      </c>
      <c r="E7" s="2" t="n">
        <f aca="false">MAX(D6+IF($A7=E$4,1,-1),E6-1,D7-1)</f>
        <v>1</v>
      </c>
      <c r="F7" s="2" t="n">
        <f aca="false">MAX(E6+IF($A7=F$4,1,-1),F6-1,E7-1)</f>
        <v>0</v>
      </c>
      <c r="G7" s="2" t="n">
        <f aca="false">MAX(F6+IF($A7=G$4,1,-1),G6-1,F7-1)</f>
        <v>-1</v>
      </c>
      <c r="H7" s="2" t="n">
        <f aca="false">MAX(G6+IF($A7=H$4,1,-1),H6-1,G7-1)</f>
        <v>-2</v>
      </c>
      <c r="I7" s="2" t="n">
        <f aca="false">MAX(H6+IF($A7=I$4,1,-1),I6-1,H7-1)</f>
        <v>-3</v>
      </c>
      <c r="J7" s="2" t="n">
        <f aca="false">MAX(I6+IF($A7=J$4,1,-1),J6-1,I7-1)</f>
        <v>-4</v>
      </c>
      <c r="K7" s="2" t="n">
        <f aca="false">MAX(J6+IF($A7=K$4,1,-1),K6-1,J7-1)</f>
        <v>-5</v>
      </c>
      <c r="L7" s="2" t="n">
        <f aca="false">MAX(K6+IF($A7=L$4,1,-1),L6-1,K7-1)</f>
        <v>-6</v>
      </c>
      <c r="M7" s="2" t="n">
        <f aca="false">MAX(L6+IF($A7=M$4,1,-1),M6-1,L7-1)</f>
        <v>-7</v>
      </c>
      <c r="N7" s="2" t="n">
        <f aca="false">MAX(M6+IF($A7=N$4,1,-1),N6-1,M7-1)</f>
        <v>-8</v>
      </c>
      <c r="O7" s="2" t="n">
        <f aca="false">MAX(N6+IF($A7=O$4,1,-1),O6-1,N7-1)</f>
        <v>-9</v>
      </c>
      <c r="P7" s="2" t="n">
        <f aca="false">MAX(O6+IF($A7=P$4,1,-1),P6-1,O7-1)</f>
        <v>-10</v>
      </c>
      <c r="Q7" s="2" t="n">
        <f aca="false">MAX(P6+IF($A7=Q$4,1,-1),Q6-1,P7-1)</f>
        <v>-11</v>
      </c>
      <c r="R7" s="2" t="n">
        <f aca="false">MAX(Q6+IF($A7=R$4,1,-1),R6-1,Q7-1)</f>
        <v>-12</v>
      </c>
      <c r="S7" s="2" t="n">
        <f aca="false">MAX(R6+IF($A7=S$4,1,-1),S6-1,R7-1)</f>
        <v>-13</v>
      </c>
      <c r="T7" s="2" t="n">
        <f aca="false">MAX(S6+IF($A7=T$4,1,-1),T6-1,S7-1)</f>
        <v>-14</v>
      </c>
      <c r="U7" s="2" t="n">
        <f aca="false">MAX(T6+IF($A7=U$4,1,-1),U6-1,T7-1)</f>
        <v>-15</v>
      </c>
      <c r="V7" s="2" t="n">
        <f aca="false">MAX(U6+IF($A7=V$4,1,-1),V6-1,U7-1)</f>
        <v>-16</v>
      </c>
      <c r="W7" s="2" t="n">
        <f aca="false">MAX(V6+IF($A7=W$4,1,-1),W6-1,V7-1)</f>
        <v>-17</v>
      </c>
      <c r="X7" s="2" t="n">
        <f aca="false">MAX(W6+IF($A7=X$4,1,-1),X6-1,W7-1)</f>
        <v>-18</v>
      </c>
      <c r="Y7" s="2" t="n">
        <f aca="false">MAX(X6+IF($A7=Y$4,1,-1),Y6-1,X7-1)</f>
        <v>-19</v>
      </c>
      <c r="Z7" s="2" t="n">
        <f aca="false">MAX(Y6+IF($A7=Z$4,1,-1),Z6-1,Y7-1)</f>
        <v>-20</v>
      </c>
      <c r="AA7" s="2" t="n">
        <f aca="false">MAX(Z6+IF($A7=AA$4,1,-1),AA6-1,Z7-1)</f>
        <v>-21</v>
      </c>
      <c r="AB7" s="2" t="n">
        <f aca="false">MAX(AA6+IF($A7=AB$4,1,-1),AB6-1,AA7-1)</f>
        <v>-22</v>
      </c>
      <c r="AC7" s="2" t="n">
        <f aca="false">MAX(AB6+IF($A7=AC$4,1,-1),AC6-1,AB7-1)</f>
        <v>-23</v>
      </c>
      <c r="AD7" s="2" t="n">
        <f aca="false">MAX(AC6+IF($A7=AD$4,1,-1),AD6-1,AC7-1)</f>
        <v>-24</v>
      </c>
      <c r="AE7" s="2" t="n">
        <f aca="false">MAX(AD6+IF($A7=AE$4,1,-1),AE6-1,AD7-1)</f>
        <v>-25</v>
      </c>
      <c r="AF7" s="2" t="n">
        <f aca="false">MAX(AE6+IF($A7=AF$4,1,-1),AF6-1,AE7-1)</f>
        <v>-26</v>
      </c>
      <c r="AG7" s="2" t="n">
        <f aca="false">MAX(AF6+IF($A7=AG$4,1,-1),AG6-1,AF7-1)</f>
        <v>-27</v>
      </c>
      <c r="AH7" s="2" t="n">
        <f aca="false">MAX(AG6+IF($A7=AH$4,1,-1),AH6-1,AG7-1)</f>
        <v>-28</v>
      </c>
      <c r="AI7" s="2" t="n">
        <f aca="false">MAX(AH6+IF($A7=AI$4,1,-1),AI6-1,AH7-1)</f>
        <v>-29</v>
      </c>
      <c r="AJ7" s="2" t="n">
        <f aca="false">MAX(AI6+IF($A7=AJ$4,1,-1),AJ6-1,AI7-1)</f>
        <v>-30</v>
      </c>
      <c r="AK7" s="2" t="n">
        <f aca="false">MAX(AJ6+IF($A7=AK$4,1,-1),AK6-1,AJ7-1)</f>
        <v>-31</v>
      </c>
      <c r="AL7" s="2" t="n">
        <f aca="false">MAX(AK6+IF($A7=AL$4,1,-1),AL6-1,AK7-1)</f>
        <v>-32</v>
      </c>
      <c r="AM7" s="2" t="n">
        <f aca="false">MAX(AL6+IF($A7=AM$4,1,-1),AM6-1,AL7-1)</f>
        <v>-33</v>
      </c>
      <c r="AN7" s="2" t="n">
        <f aca="false">MAX(AM6+IF($A7=AN$4,1,-1),AN6-1,AM7-1)</f>
        <v>-34</v>
      </c>
      <c r="AO7" s="2" t="n">
        <f aca="false">MAX(AN6+IF($A7=AO$4,1,-1),AO6-1,AN7-1)</f>
        <v>-35</v>
      </c>
      <c r="AP7" s="2" t="n">
        <f aca="false">MAX(AO6+IF($A7=AP$4,1,-1),AP6-1,AO7-1)</f>
        <v>-36</v>
      </c>
      <c r="AQ7" s="2" t="n">
        <f aca="false">MAX(AP6+IF($A7=AQ$4,1,-1),AQ6-1,AP7-1)</f>
        <v>-37</v>
      </c>
      <c r="AR7" s="2" t="n">
        <f aca="false">MAX(AQ6+IF($A7=AR$4,1,-1),AR6-1,AQ7-1)</f>
        <v>-38</v>
      </c>
      <c r="AS7" s="2" t="n">
        <f aca="false">MAX(AR6+IF($A7=AS$4,1,-1),AS6-1,AR7-1)</f>
        <v>-39</v>
      </c>
      <c r="AT7" s="2" t="n">
        <f aca="false">MAX(AS6+IF($A7=AT$4,1,-1),AT6-1,AS7-1)</f>
        <v>-40</v>
      </c>
      <c r="AU7" s="2" t="n">
        <f aca="false">MAX(AT6+IF($A7=AU$4,1,-1),AU6-1,AT7-1)</f>
        <v>-41</v>
      </c>
      <c r="AV7" s="2" t="n">
        <f aca="false">MAX(AU6+IF($A7=AV$4,1,-1),AV6-1,AU7-1)</f>
        <v>-42</v>
      </c>
      <c r="AW7" s="2" t="n">
        <f aca="false">MAX(AV6+IF($A7=AW$4,1,-1),AW6-1,AV7-1)</f>
        <v>-43</v>
      </c>
      <c r="AX7" s="2" t="n">
        <f aca="false">MAX(AW6+IF($A7=AX$4,1,-1),AX6-1,AW7-1)</f>
        <v>-44</v>
      </c>
      <c r="AY7" s="2" t="n">
        <f aca="false">MAX(AX6+IF($A7=AY$4,1,-1),AY6-1,AX7-1)</f>
        <v>-45</v>
      </c>
      <c r="AZ7" s="2" t="n">
        <f aca="false">MAX(AY6+IF($A7=AZ$4,1,-1),AZ6-1,AY7-1)</f>
        <v>-46</v>
      </c>
      <c r="BA7" s="2" t="n">
        <f aca="false">MAX(AZ6+IF($A7=BA$4,1,-1),BA6-1,AZ7-1)</f>
        <v>-47</v>
      </c>
      <c r="BB7" s="2" t="n">
        <f aca="false">MAX(BA6+IF($A7=BB$4,1,-1),BB6-1,BA7-1)</f>
        <v>-48</v>
      </c>
      <c r="BC7" s="2" t="n">
        <f aca="false">MAX(BB6+IF($A7=BC$4,1,-1),BC6-1,BB7-1)</f>
        <v>-49</v>
      </c>
      <c r="BD7" s="2" t="n">
        <f aca="false">MAX(BC6+IF($A7=BD$4,1,-1),BD6-1,BC7-1)</f>
        <v>-50</v>
      </c>
      <c r="BE7" s="2" t="n">
        <f aca="false">MAX(BD6+IF($A7=BE$4,1,-1),BE6-1,BD7-1)</f>
        <v>-51</v>
      </c>
      <c r="BF7" s="2" t="n">
        <f aca="false">MAX(BE6+IF($A7=BF$4,1,-1),BF6-1,BE7-1)</f>
        <v>-52</v>
      </c>
      <c r="BG7" s="2" t="n">
        <f aca="false">MAX(BF6+IF($A7=BG$4,1,-1),BG6-1,BF7-1)</f>
        <v>-53</v>
      </c>
      <c r="BH7" s="2" t="n">
        <f aca="false">MAX(BG6+IF($A7=BH$4,1,-1),BH6-1,BG7-1)</f>
        <v>-54</v>
      </c>
      <c r="BI7" s="2" t="n">
        <f aca="false">MAX(BH6+IF($A7=BI$4,1,-1),BI6-1,BH7-1)</f>
        <v>-55</v>
      </c>
      <c r="BJ7" s="2" t="n">
        <f aca="false">MAX(BI6+IF($A7=BJ$4,1,-1),BJ6-1,BI7-1)</f>
        <v>-56</v>
      </c>
      <c r="BK7" s="2" t="n">
        <f aca="false">MAX(BJ6+IF($A7=BK$4,1,-1),BK6-1,BJ7-1)</f>
        <v>-57</v>
      </c>
      <c r="BL7" s="2" t="n">
        <f aca="false">MAX(BK6+IF($A7=BL$4,1,-1),BL6-1,BK7-1)</f>
        <v>-58</v>
      </c>
      <c r="BM7" s="2" t="n">
        <f aca="false">MAX(BL6+IF($A7=BM$4,1,-1),BM6-1,BL7-1)</f>
        <v>-59</v>
      </c>
      <c r="BN7" s="2" t="n">
        <f aca="false">MAX(BM6+IF($A7=BN$4,1,-1),BN6-1,BM7-1)</f>
        <v>-60</v>
      </c>
      <c r="BO7" s="2" t="n">
        <f aca="false">MAX(BN6+IF($A7=BO$4,1,-1),BO6-1,BN7-1)</f>
        <v>-61</v>
      </c>
      <c r="BP7" s="2" t="n">
        <f aca="false">MAX(BO6+IF($A7=BP$4,1,-1),BP6-1,BO7-1)</f>
        <v>-62</v>
      </c>
      <c r="BQ7" s="2" t="n">
        <f aca="false">MAX(BP6+IF($A7=BQ$4,1,-1),BQ6-1,BP7-1)</f>
        <v>-63</v>
      </c>
      <c r="BR7" s="2" t="n">
        <f aca="false">MAX(BQ6+IF($A7=BR$4,1,-1),BR6-1,BQ7-1)</f>
        <v>-64</v>
      </c>
      <c r="BS7" s="2" t="n">
        <f aca="false">MAX(BR6+IF($A7=BS$4,1,-1),BS6-1,BR7-1)</f>
        <v>-65</v>
      </c>
      <c r="BT7" s="2" t="n">
        <f aca="false">MAX(BS6+IF($A7=BT$4,1,-1),BT6-1,BS7-1)</f>
        <v>-66</v>
      </c>
      <c r="BU7" s="2" t="n">
        <f aca="false">MAX(BT6+IF($A7=BU$4,1,-1),BU6-1,BT7-1)</f>
        <v>-67</v>
      </c>
      <c r="BV7" s="2" t="n">
        <f aca="false">MAX(BU6+IF($A7=BV$4,1,-1),BV6-1,BU7-1)</f>
        <v>-68</v>
      </c>
      <c r="BW7" s="2" t="n">
        <f aca="false">MAX(BV6+IF($A7=BW$4,1,-1),BW6-1,BV7-1)</f>
        <v>-69</v>
      </c>
      <c r="BX7" s="2" t="n">
        <f aca="false">MAX(BW6+IF($A7=BX$4,1,-1),BX6-1,BW7-1)</f>
        <v>-70</v>
      </c>
      <c r="BY7" s="2" t="n">
        <f aca="false">MAX(BX6+IF($A7=BY$4,1,-1),BY6-1,BX7-1)</f>
        <v>-71</v>
      </c>
      <c r="BZ7" s="2" t="n">
        <f aca="false">MAX(BY6+IF($A7=BZ$4,1,-1),BZ6-1,BY7-1)</f>
        <v>-72</v>
      </c>
      <c r="CA7" s="2" t="n">
        <f aca="false">MAX(BZ6+IF($A7=CA$4,1,-1),CA6-1,BZ7-1)</f>
        <v>-73</v>
      </c>
      <c r="CB7" s="2" t="n">
        <f aca="false">MAX(CA6+IF($A7=CB$4,1,-1),CB6-1,CA7-1)</f>
        <v>-74</v>
      </c>
      <c r="CC7" s="2" t="n">
        <f aca="false">MAX(CB6+IF($A7=CC$4,1,-1),CC6-1,CB7-1)</f>
        <v>-75</v>
      </c>
      <c r="CD7" s="2" t="n">
        <f aca="false">MAX(CC6+IF($A7=CD$4,1,-1),CD6-1,CC7-1)</f>
        <v>-76</v>
      </c>
      <c r="CE7" s="2" t="n">
        <f aca="false">MAX(CD6+IF($A7=CE$4,1,-1),CE6-1,CD7-1)</f>
        <v>-77</v>
      </c>
      <c r="CF7" s="2" t="n">
        <f aca="false">MAX(CE6+IF($A7=CF$4,1,-1),CF6-1,CE7-1)</f>
        <v>-78</v>
      </c>
      <c r="CG7" s="2" t="n">
        <f aca="false">MAX(CF6+IF($A7=CG$4,1,-1),CG6-1,CF7-1)</f>
        <v>-79</v>
      </c>
      <c r="CH7" s="2" t="n">
        <f aca="false">MAX(CG6+IF($A7=CH$4,1,-1),CH6-1,CG7-1)</f>
        <v>-80</v>
      </c>
      <c r="CI7" s="2" t="n">
        <f aca="false">MAX(CH6+IF($A7=CI$4,1,-1),CI6-1,CH7-1)</f>
        <v>-81</v>
      </c>
      <c r="CJ7" s="2" t="n">
        <f aca="false">MAX(CI6+IF($A7=CJ$4,1,-1),CJ6-1,CI7-1)</f>
        <v>-82</v>
      </c>
      <c r="CK7" s="2" t="n">
        <f aca="false">MAX(CJ6+IF($A7=CK$4,1,-1),CK6-1,CJ7-1)</f>
        <v>-83</v>
      </c>
      <c r="CL7" s="2" t="n">
        <f aca="false">MAX(CK6+IF($A7=CL$4,1,-1),CL6-1,CK7-1)</f>
        <v>-84</v>
      </c>
      <c r="CM7" s="2" t="n">
        <f aca="false">MAX(CL6+IF($A7=CM$4,1,-1),CM6-1,CL7-1)</f>
        <v>-85</v>
      </c>
      <c r="CN7" s="2" t="n">
        <f aca="false">MAX(CM6+IF($A7=CN$4,1,-1),CN6-1,CM7-1)</f>
        <v>-86</v>
      </c>
      <c r="CO7" s="2" t="n">
        <f aca="false">MAX(CN6+IF($A7=CO$4,1,-1),CO6-1,CN7-1)</f>
        <v>-87</v>
      </c>
      <c r="CP7" s="2" t="n">
        <f aca="false">MAX(CO6+IF($A7=CP$4,1,-1),CP6-1,CO7-1)</f>
        <v>-88</v>
      </c>
      <c r="CQ7" s="2" t="n">
        <f aca="false">MAX(CP6+IF($A7=CQ$4,1,-1),CQ6-1,CP7-1)</f>
        <v>-89</v>
      </c>
    </row>
    <row r="8" customFormat="false" ht="15" hidden="false" customHeight="false" outlineLevel="0" collapsed="false">
      <c r="A8" s="4" t="s">
        <v>60</v>
      </c>
      <c r="B8" s="12" t="n">
        <v>-3</v>
      </c>
      <c r="C8" s="2" t="n">
        <f aca="false">MAX(B7+IF($A8=C$4,1,-1),C7-1,B8-1)</f>
        <v>-3</v>
      </c>
      <c r="D8" s="2" t="n">
        <f aca="false">MAX(C7+IF($A8=D$4,1,-1),D7-1,C8-1)</f>
        <v>-2</v>
      </c>
      <c r="E8" s="2" t="n">
        <f aca="false">MAX(D7+IF($A8=E$4,1,-1),E7-1,D8-1)</f>
        <v>0</v>
      </c>
      <c r="F8" s="2" t="n">
        <f aca="false">MAX(E7+IF($A8=F$4,1,-1),F7-1,E8-1)</f>
        <v>2</v>
      </c>
      <c r="G8" s="2" t="n">
        <f aca="false">MAX(F7+IF($A8=G$4,1,-1),G7-1,F8-1)</f>
        <v>1</v>
      </c>
      <c r="H8" s="2" t="n">
        <f aca="false">MAX(G7+IF($A8=H$4,1,-1),H7-1,G8-1)</f>
        <v>0</v>
      </c>
      <c r="I8" s="2" t="n">
        <f aca="false">MAX(H7+IF($A8=I$4,1,-1),I7-1,H8-1)</f>
        <v>-1</v>
      </c>
      <c r="J8" s="2" t="n">
        <f aca="false">MAX(I7+IF($A8=J$4,1,-1),J7-1,I8-1)</f>
        <v>-2</v>
      </c>
      <c r="K8" s="2" t="n">
        <f aca="false">MAX(J7+IF($A8=K$4,1,-1),K7-1,J8-1)</f>
        <v>-3</v>
      </c>
      <c r="L8" s="2" t="n">
        <f aca="false">MAX(K7+IF($A8=L$4,1,-1),L7-1,K8-1)</f>
        <v>-4</v>
      </c>
      <c r="M8" s="2" t="n">
        <f aca="false">MAX(L7+IF($A8=M$4,1,-1),M7-1,L8-1)</f>
        <v>-5</v>
      </c>
      <c r="N8" s="2" t="n">
        <f aca="false">MAX(M7+IF($A8=N$4,1,-1),N7-1,M8-1)</f>
        <v>-6</v>
      </c>
      <c r="O8" s="2" t="n">
        <f aca="false">MAX(N7+IF($A8=O$4,1,-1),O7-1,N8-1)</f>
        <v>-7</v>
      </c>
      <c r="P8" s="2" t="n">
        <f aca="false">MAX(O7+IF($A8=P$4,1,-1),P7-1,O8-1)</f>
        <v>-8</v>
      </c>
      <c r="Q8" s="2" t="n">
        <f aca="false">MAX(P7+IF($A8=Q$4,1,-1),Q7-1,P8-1)</f>
        <v>-9</v>
      </c>
      <c r="R8" s="2" t="n">
        <f aca="false">MAX(Q7+IF($A8=R$4,1,-1),R7-1,Q8-1)</f>
        <v>-10</v>
      </c>
      <c r="S8" s="2" t="n">
        <f aca="false">MAX(R7+IF($A8=S$4,1,-1),S7-1,R8-1)</f>
        <v>-11</v>
      </c>
      <c r="T8" s="2" t="n">
        <f aca="false">MAX(S7+IF($A8=T$4,1,-1),T7-1,S8-1)</f>
        <v>-12</v>
      </c>
      <c r="U8" s="2" t="n">
        <f aca="false">MAX(T7+IF($A8=U$4,1,-1),U7-1,T8-1)</f>
        <v>-13</v>
      </c>
      <c r="V8" s="2" t="n">
        <f aca="false">MAX(U7+IF($A8=V$4,1,-1),V7-1,U8-1)</f>
        <v>-14</v>
      </c>
      <c r="W8" s="2" t="n">
        <f aca="false">MAX(V7+IF($A8=W$4,1,-1),W7-1,V8-1)</f>
        <v>-15</v>
      </c>
      <c r="X8" s="2" t="n">
        <f aca="false">MAX(W7+IF($A8=X$4,1,-1),X7-1,W8-1)</f>
        <v>-16</v>
      </c>
      <c r="Y8" s="2" t="n">
        <f aca="false">MAX(X7+IF($A8=Y$4,1,-1),Y7-1,X8-1)</f>
        <v>-17</v>
      </c>
      <c r="Z8" s="2" t="n">
        <f aca="false">MAX(Y7+IF($A8=Z$4,1,-1),Z7-1,Y8-1)</f>
        <v>-18</v>
      </c>
      <c r="AA8" s="2" t="n">
        <f aca="false">MAX(Z7+IF($A8=AA$4,1,-1),AA7-1,Z8-1)</f>
        <v>-19</v>
      </c>
      <c r="AB8" s="2" t="n">
        <f aca="false">MAX(AA7+IF($A8=AB$4,1,-1),AB7-1,AA8-1)</f>
        <v>-20</v>
      </c>
      <c r="AC8" s="2" t="n">
        <f aca="false">MAX(AB7+IF($A8=AC$4,1,-1),AC7-1,AB8-1)</f>
        <v>-21</v>
      </c>
      <c r="AD8" s="2" t="n">
        <f aca="false">MAX(AC7+IF($A8=AD$4,1,-1),AD7-1,AC8-1)</f>
        <v>-22</v>
      </c>
      <c r="AE8" s="2" t="n">
        <f aca="false">MAX(AD7+IF($A8=AE$4,1,-1),AE7-1,AD8-1)</f>
        <v>-23</v>
      </c>
      <c r="AF8" s="2" t="n">
        <f aca="false">MAX(AE7+IF($A8=AF$4,1,-1),AF7-1,AE8-1)</f>
        <v>-24</v>
      </c>
      <c r="AG8" s="2" t="n">
        <f aca="false">MAX(AF7+IF($A8=AG$4,1,-1),AG7-1,AF8-1)</f>
        <v>-25</v>
      </c>
      <c r="AH8" s="2" t="n">
        <f aca="false">MAX(AG7+IF($A8=AH$4,1,-1),AH7-1,AG8-1)</f>
        <v>-26</v>
      </c>
      <c r="AI8" s="2" t="n">
        <f aca="false">MAX(AH7+IF($A8=AI$4,1,-1),AI7-1,AH8-1)</f>
        <v>-27</v>
      </c>
      <c r="AJ8" s="2" t="n">
        <f aca="false">MAX(AI7+IF($A8=AJ$4,1,-1),AJ7-1,AI8-1)</f>
        <v>-28</v>
      </c>
      <c r="AK8" s="2" t="n">
        <f aca="false">MAX(AJ7+IF($A8=AK$4,1,-1),AK7-1,AJ8-1)</f>
        <v>-29</v>
      </c>
      <c r="AL8" s="2" t="n">
        <f aca="false">MAX(AK7+IF($A8=AL$4,1,-1),AL7-1,AK8-1)</f>
        <v>-30</v>
      </c>
      <c r="AM8" s="2" t="n">
        <f aca="false">MAX(AL7+IF($A8=AM$4,1,-1),AM7-1,AL8-1)</f>
        <v>-31</v>
      </c>
      <c r="AN8" s="2" t="n">
        <f aca="false">MAX(AM7+IF($A8=AN$4,1,-1),AN7-1,AM8-1)</f>
        <v>-32</v>
      </c>
      <c r="AO8" s="2" t="n">
        <f aca="false">MAX(AN7+IF($A8=AO$4,1,-1),AO7-1,AN8-1)</f>
        <v>-33</v>
      </c>
      <c r="AP8" s="2" t="n">
        <f aca="false">MAX(AO7+IF($A8=AP$4,1,-1),AP7-1,AO8-1)</f>
        <v>-34</v>
      </c>
      <c r="AQ8" s="2" t="n">
        <f aca="false">MAX(AP7+IF($A8=AQ$4,1,-1),AQ7-1,AP8-1)</f>
        <v>-35</v>
      </c>
      <c r="AR8" s="2" t="n">
        <f aca="false">MAX(AQ7+IF($A8=AR$4,1,-1),AR7-1,AQ8-1)</f>
        <v>-36</v>
      </c>
      <c r="AS8" s="2" t="n">
        <f aca="false">MAX(AR7+IF($A8=AS$4,1,-1),AS7-1,AR8-1)</f>
        <v>-37</v>
      </c>
      <c r="AT8" s="2" t="n">
        <f aca="false">MAX(AS7+IF($A8=AT$4,1,-1),AT7-1,AS8-1)</f>
        <v>-38</v>
      </c>
      <c r="AU8" s="2" t="n">
        <f aca="false">MAX(AT7+IF($A8=AU$4,1,-1),AU7-1,AT8-1)</f>
        <v>-39</v>
      </c>
      <c r="AV8" s="2" t="n">
        <f aca="false">MAX(AU7+IF($A8=AV$4,1,-1),AV7-1,AU8-1)</f>
        <v>-40</v>
      </c>
      <c r="AW8" s="2" t="n">
        <f aca="false">MAX(AV7+IF($A8=AW$4,1,-1),AW7-1,AV8-1)</f>
        <v>-41</v>
      </c>
      <c r="AX8" s="2" t="n">
        <f aca="false">MAX(AW7+IF($A8=AX$4,1,-1),AX7-1,AW8-1)</f>
        <v>-42</v>
      </c>
      <c r="AY8" s="2" t="n">
        <f aca="false">MAX(AX7+IF($A8=AY$4,1,-1),AY7-1,AX8-1)</f>
        <v>-43</v>
      </c>
      <c r="AZ8" s="2" t="n">
        <f aca="false">MAX(AY7+IF($A8=AZ$4,1,-1),AZ7-1,AY8-1)</f>
        <v>-44</v>
      </c>
      <c r="BA8" s="2" t="n">
        <f aca="false">MAX(AZ7+IF($A8=BA$4,1,-1),BA7-1,AZ8-1)</f>
        <v>-45</v>
      </c>
      <c r="BB8" s="2" t="n">
        <f aca="false">MAX(BA7+IF($A8=BB$4,1,-1),BB7-1,BA8-1)</f>
        <v>-46</v>
      </c>
      <c r="BC8" s="2" t="n">
        <f aca="false">MAX(BB7+IF($A8=BC$4,1,-1),BC7-1,BB8-1)</f>
        <v>-47</v>
      </c>
      <c r="BD8" s="2" t="n">
        <f aca="false">MAX(BC7+IF($A8=BD$4,1,-1),BD7-1,BC8-1)</f>
        <v>-48</v>
      </c>
      <c r="BE8" s="2" t="n">
        <f aca="false">MAX(BD7+IF($A8=BE$4,1,-1),BE7-1,BD8-1)</f>
        <v>-49</v>
      </c>
      <c r="BF8" s="2" t="n">
        <f aca="false">MAX(BE7+IF($A8=BF$4,1,-1),BF7-1,BE8-1)</f>
        <v>-50</v>
      </c>
      <c r="BG8" s="2" t="n">
        <f aca="false">MAX(BF7+IF($A8=BG$4,1,-1),BG7-1,BF8-1)</f>
        <v>-51</v>
      </c>
      <c r="BH8" s="2" t="n">
        <f aca="false">MAX(BG7+IF($A8=BH$4,1,-1),BH7-1,BG8-1)</f>
        <v>-52</v>
      </c>
      <c r="BI8" s="2" t="n">
        <f aca="false">MAX(BH7+IF($A8=BI$4,1,-1),BI7-1,BH8-1)</f>
        <v>-53</v>
      </c>
      <c r="BJ8" s="2" t="n">
        <f aca="false">MAX(BI7+IF($A8=BJ$4,1,-1),BJ7-1,BI8-1)</f>
        <v>-54</v>
      </c>
      <c r="BK8" s="2" t="n">
        <f aca="false">MAX(BJ7+IF($A8=BK$4,1,-1),BK7-1,BJ8-1)</f>
        <v>-55</v>
      </c>
      <c r="BL8" s="2" t="n">
        <f aca="false">MAX(BK7+IF($A8=BL$4,1,-1),BL7-1,BK8-1)</f>
        <v>-56</v>
      </c>
      <c r="BM8" s="2" t="n">
        <f aca="false">MAX(BL7+IF($A8=BM$4,1,-1),BM7-1,BL8-1)</f>
        <v>-57</v>
      </c>
      <c r="BN8" s="2" t="n">
        <f aca="false">MAX(BM7+IF($A8=BN$4,1,-1),BN7-1,BM8-1)</f>
        <v>-58</v>
      </c>
      <c r="BO8" s="2" t="n">
        <f aca="false">MAX(BN7+IF($A8=BO$4,1,-1),BO7-1,BN8-1)</f>
        <v>-59</v>
      </c>
      <c r="BP8" s="2" t="n">
        <f aca="false">MAX(BO7+IF($A8=BP$4,1,-1),BP7-1,BO8-1)</f>
        <v>-60</v>
      </c>
      <c r="BQ8" s="2" t="n">
        <f aca="false">MAX(BP7+IF($A8=BQ$4,1,-1),BQ7-1,BP8-1)</f>
        <v>-61</v>
      </c>
      <c r="BR8" s="2" t="n">
        <f aca="false">MAX(BQ7+IF($A8=BR$4,1,-1),BR7-1,BQ8-1)</f>
        <v>-62</v>
      </c>
      <c r="BS8" s="2" t="n">
        <f aca="false">MAX(BR7+IF($A8=BS$4,1,-1),BS7-1,BR8-1)</f>
        <v>-63</v>
      </c>
      <c r="BT8" s="2" t="n">
        <f aca="false">MAX(BS7+IF($A8=BT$4,1,-1),BT7-1,BS8-1)</f>
        <v>-64</v>
      </c>
      <c r="BU8" s="2" t="n">
        <f aca="false">MAX(BT7+IF($A8=BU$4,1,-1),BU7-1,BT8-1)</f>
        <v>-65</v>
      </c>
      <c r="BV8" s="2" t="n">
        <f aca="false">MAX(BU7+IF($A8=BV$4,1,-1),BV7-1,BU8-1)</f>
        <v>-66</v>
      </c>
      <c r="BW8" s="2" t="n">
        <f aca="false">MAX(BV7+IF($A8=BW$4,1,-1),BW7-1,BV8-1)</f>
        <v>-67</v>
      </c>
      <c r="BX8" s="2" t="n">
        <f aca="false">MAX(BW7+IF($A8=BX$4,1,-1),BX7-1,BW8-1)</f>
        <v>-68</v>
      </c>
      <c r="BY8" s="2" t="n">
        <f aca="false">MAX(BX7+IF($A8=BY$4,1,-1),BY7-1,BX8-1)</f>
        <v>-69</v>
      </c>
      <c r="BZ8" s="2" t="n">
        <f aca="false">MAX(BY7+IF($A8=BZ$4,1,-1),BZ7-1,BY8-1)</f>
        <v>-70</v>
      </c>
      <c r="CA8" s="2" t="n">
        <f aca="false">MAX(BZ7+IF($A8=CA$4,1,-1),CA7-1,BZ8-1)</f>
        <v>-71</v>
      </c>
      <c r="CB8" s="2" t="n">
        <f aca="false">MAX(CA7+IF($A8=CB$4,1,-1),CB7-1,CA8-1)</f>
        <v>-72</v>
      </c>
      <c r="CC8" s="2" t="n">
        <f aca="false">MAX(CB7+IF($A8=CC$4,1,-1),CC7-1,CB8-1)</f>
        <v>-73</v>
      </c>
      <c r="CD8" s="2" t="n">
        <f aca="false">MAX(CC7+IF($A8=CD$4,1,-1),CD7-1,CC8-1)</f>
        <v>-74</v>
      </c>
      <c r="CE8" s="2" t="n">
        <f aca="false">MAX(CD7+IF($A8=CE$4,1,-1),CE7-1,CD8-1)</f>
        <v>-75</v>
      </c>
      <c r="CF8" s="2" t="n">
        <f aca="false">MAX(CE7+IF($A8=CF$4,1,-1),CF7-1,CE8-1)</f>
        <v>-76</v>
      </c>
      <c r="CG8" s="2" t="n">
        <f aca="false">MAX(CF7+IF($A8=CG$4,1,-1),CG7-1,CF8-1)</f>
        <v>-77</v>
      </c>
      <c r="CH8" s="2" t="n">
        <f aca="false">MAX(CG7+IF($A8=CH$4,1,-1),CH7-1,CG8-1)</f>
        <v>-78</v>
      </c>
      <c r="CI8" s="2" t="n">
        <f aca="false">MAX(CH7+IF($A8=CI$4,1,-1),CI7-1,CH8-1)</f>
        <v>-79</v>
      </c>
      <c r="CJ8" s="2" t="n">
        <f aca="false">MAX(CI7+IF($A8=CJ$4,1,-1),CJ7-1,CI8-1)</f>
        <v>-80</v>
      </c>
      <c r="CK8" s="2" t="n">
        <f aca="false">MAX(CJ7+IF($A8=CK$4,1,-1),CK7-1,CJ8-1)</f>
        <v>-81</v>
      </c>
      <c r="CL8" s="2" t="n">
        <f aca="false">MAX(CK7+IF($A8=CL$4,1,-1),CL7-1,CK8-1)</f>
        <v>-82</v>
      </c>
      <c r="CM8" s="2" t="n">
        <f aca="false">MAX(CL7+IF($A8=CM$4,1,-1),CM7-1,CL8-1)</f>
        <v>-83</v>
      </c>
      <c r="CN8" s="2" t="n">
        <f aca="false">MAX(CM7+IF($A8=CN$4,1,-1),CN7-1,CM8-1)</f>
        <v>-84</v>
      </c>
      <c r="CO8" s="2" t="n">
        <f aca="false">MAX(CN7+IF($A8=CO$4,1,-1),CO7-1,CN8-1)</f>
        <v>-85</v>
      </c>
      <c r="CP8" s="2" t="n">
        <f aca="false">MAX(CO7+IF($A8=CP$4,1,-1),CP7-1,CO8-1)</f>
        <v>-86</v>
      </c>
      <c r="CQ8" s="2" t="n">
        <f aca="false">MAX(CP7+IF($A8=CQ$4,1,-1),CQ7-1,CP8-1)</f>
        <v>-87</v>
      </c>
    </row>
    <row r="9" customFormat="false" ht="15" hidden="false" customHeight="false" outlineLevel="0" collapsed="false">
      <c r="A9" s="4" t="s">
        <v>64</v>
      </c>
      <c r="B9" s="12" t="n">
        <v>-4</v>
      </c>
      <c r="C9" s="2" t="n">
        <f aca="false">MAX(B8+IF($A9=C$4,1,-1),C8-1,B9-1)</f>
        <v>-4</v>
      </c>
      <c r="D9" s="2" t="n">
        <f aca="false">MAX(C8+IF($A9=D$4,1,-1),D8-1,C9-1)</f>
        <v>-3</v>
      </c>
      <c r="E9" s="2" t="n">
        <f aca="false">MAX(D8+IF($A9=E$4,1,-1),E8-1,D9-1)</f>
        <v>-1</v>
      </c>
      <c r="F9" s="2" t="n">
        <f aca="false">MAX(E8+IF($A9=F$4,1,-1),F8-1,E9-1)</f>
        <v>1</v>
      </c>
      <c r="G9" s="2" t="n">
        <f aca="false">MAX(F8+IF($A9=G$4,1,-1),G8-1,F9-1)</f>
        <v>1</v>
      </c>
      <c r="H9" s="2" t="n">
        <f aca="false">MAX(G8+IF($A9=H$4,1,-1),H8-1,G9-1)</f>
        <v>0</v>
      </c>
      <c r="I9" s="2" t="n">
        <f aca="false">MAX(H8+IF($A9=I$4,1,-1),I8-1,H9-1)</f>
        <v>-1</v>
      </c>
      <c r="J9" s="2" t="n">
        <f aca="false">MAX(I8+IF($A9=J$4,1,-1),J8-1,I9-1)</f>
        <v>-2</v>
      </c>
      <c r="K9" s="2" t="n">
        <f aca="false">MAX(J8+IF($A9=K$4,1,-1),K8-1,J9-1)</f>
        <v>-3</v>
      </c>
      <c r="L9" s="2" t="n">
        <f aca="false">MAX(K8+IF($A9=L$4,1,-1),L8-1,K9-1)</f>
        <v>-4</v>
      </c>
      <c r="M9" s="2" t="n">
        <f aca="false">MAX(L8+IF($A9=M$4,1,-1),M8-1,L9-1)</f>
        <v>-5</v>
      </c>
      <c r="N9" s="2" t="n">
        <f aca="false">MAX(M8+IF($A9=N$4,1,-1),N8-1,M9-1)</f>
        <v>-6</v>
      </c>
      <c r="O9" s="2" t="n">
        <f aca="false">MAX(N8+IF($A9=O$4,1,-1),O8-1,N9-1)</f>
        <v>-7</v>
      </c>
      <c r="P9" s="2" t="n">
        <f aca="false">MAX(O8+IF($A9=P$4,1,-1),P8-1,O9-1)</f>
        <v>-8</v>
      </c>
      <c r="Q9" s="2" t="n">
        <f aca="false">MAX(P8+IF($A9=Q$4,1,-1),Q8-1,P9-1)</f>
        <v>-9</v>
      </c>
      <c r="R9" s="2" t="n">
        <f aca="false">MAX(Q8+IF($A9=R$4,1,-1),R8-1,Q9-1)</f>
        <v>-10</v>
      </c>
      <c r="S9" s="2" t="n">
        <f aca="false">MAX(R8+IF($A9=S$4,1,-1),S8-1,R9-1)</f>
        <v>-11</v>
      </c>
      <c r="T9" s="2" t="n">
        <f aca="false">MAX(S8+IF($A9=T$4,1,-1),T8-1,S9-1)</f>
        <v>-12</v>
      </c>
      <c r="U9" s="2" t="n">
        <f aca="false">MAX(T8+IF($A9=U$4,1,-1),U8-1,T9-1)</f>
        <v>-13</v>
      </c>
      <c r="V9" s="2" t="n">
        <f aca="false">MAX(U8+IF($A9=V$4,1,-1),V8-1,U9-1)</f>
        <v>-14</v>
      </c>
      <c r="W9" s="2" t="n">
        <f aca="false">MAX(V8+IF($A9=W$4,1,-1),W8-1,V9-1)</f>
        <v>-15</v>
      </c>
      <c r="X9" s="2" t="n">
        <f aca="false">MAX(W8+IF($A9=X$4,1,-1),X8-1,W9-1)</f>
        <v>-16</v>
      </c>
      <c r="Y9" s="2" t="n">
        <f aca="false">MAX(X8+IF($A9=Y$4,1,-1),Y8-1,X9-1)</f>
        <v>-17</v>
      </c>
      <c r="Z9" s="2" t="n">
        <f aca="false">MAX(Y8+IF($A9=Z$4,1,-1),Z8-1,Y9-1)</f>
        <v>-18</v>
      </c>
      <c r="AA9" s="2" t="n">
        <f aca="false">MAX(Z8+IF($A9=AA$4,1,-1),AA8-1,Z9-1)</f>
        <v>-19</v>
      </c>
      <c r="AB9" s="2" t="n">
        <f aca="false">MAX(AA8+IF($A9=AB$4,1,-1),AB8-1,AA9-1)</f>
        <v>-20</v>
      </c>
      <c r="AC9" s="2" t="n">
        <f aca="false">MAX(AB8+IF($A9=AC$4,1,-1),AC8-1,AB9-1)</f>
        <v>-21</v>
      </c>
      <c r="AD9" s="2" t="n">
        <f aca="false">MAX(AC8+IF($A9=AD$4,1,-1),AD8-1,AC9-1)</f>
        <v>-22</v>
      </c>
      <c r="AE9" s="2" t="n">
        <f aca="false">MAX(AD8+IF($A9=AE$4,1,-1),AE8-1,AD9-1)</f>
        <v>-23</v>
      </c>
      <c r="AF9" s="2" t="n">
        <f aca="false">MAX(AE8+IF($A9=AF$4,1,-1),AF8-1,AE9-1)</f>
        <v>-24</v>
      </c>
      <c r="AG9" s="2" t="n">
        <f aca="false">MAX(AF8+IF($A9=AG$4,1,-1),AG8-1,AF9-1)</f>
        <v>-25</v>
      </c>
      <c r="AH9" s="2" t="n">
        <f aca="false">MAX(AG8+IF($A9=AH$4,1,-1),AH8-1,AG9-1)</f>
        <v>-26</v>
      </c>
      <c r="AI9" s="2" t="n">
        <f aca="false">MAX(AH8+IF($A9=AI$4,1,-1),AI8-1,AH9-1)</f>
        <v>-27</v>
      </c>
      <c r="AJ9" s="2" t="n">
        <f aca="false">MAX(AI8+IF($A9=AJ$4,1,-1),AJ8-1,AI9-1)</f>
        <v>-28</v>
      </c>
      <c r="AK9" s="2" t="n">
        <f aca="false">MAX(AJ8+IF($A9=AK$4,1,-1),AK8-1,AJ9-1)</f>
        <v>-29</v>
      </c>
      <c r="AL9" s="2" t="n">
        <f aca="false">MAX(AK8+IF($A9=AL$4,1,-1),AL8-1,AK9-1)</f>
        <v>-30</v>
      </c>
      <c r="AM9" s="2" t="n">
        <f aca="false">MAX(AL8+IF($A9=AM$4,1,-1),AM8-1,AL9-1)</f>
        <v>-31</v>
      </c>
      <c r="AN9" s="2" t="n">
        <f aca="false">MAX(AM8+IF($A9=AN$4,1,-1),AN8-1,AM9-1)</f>
        <v>-32</v>
      </c>
      <c r="AO9" s="2" t="n">
        <f aca="false">MAX(AN8+IF($A9=AO$4,1,-1),AO8-1,AN9-1)</f>
        <v>-33</v>
      </c>
      <c r="AP9" s="2" t="n">
        <f aca="false">MAX(AO8+IF($A9=AP$4,1,-1),AP8-1,AO9-1)</f>
        <v>-34</v>
      </c>
      <c r="AQ9" s="2" t="n">
        <f aca="false">MAX(AP8+IF($A9=AQ$4,1,-1),AQ8-1,AP9-1)</f>
        <v>-35</v>
      </c>
      <c r="AR9" s="2" t="n">
        <f aca="false">MAX(AQ8+IF($A9=AR$4,1,-1),AR8-1,AQ9-1)</f>
        <v>-36</v>
      </c>
      <c r="AS9" s="2" t="n">
        <f aca="false">MAX(AR8+IF($A9=AS$4,1,-1),AS8-1,AR9-1)</f>
        <v>-37</v>
      </c>
      <c r="AT9" s="2" t="n">
        <f aca="false">MAX(AS8+IF($A9=AT$4,1,-1),AT8-1,AS9-1)</f>
        <v>-38</v>
      </c>
      <c r="AU9" s="2" t="n">
        <f aca="false">MAX(AT8+IF($A9=AU$4,1,-1),AU8-1,AT9-1)</f>
        <v>-39</v>
      </c>
      <c r="AV9" s="2" t="n">
        <f aca="false">MAX(AU8+IF($A9=AV$4,1,-1),AV8-1,AU9-1)</f>
        <v>-40</v>
      </c>
      <c r="AW9" s="2" t="n">
        <f aca="false">MAX(AV8+IF($A9=AW$4,1,-1),AW8-1,AV9-1)</f>
        <v>-41</v>
      </c>
      <c r="AX9" s="2" t="n">
        <f aca="false">MAX(AW8+IF($A9=AX$4,1,-1),AX8-1,AW9-1)</f>
        <v>-42</v>
      </c>
      <c r="AY9" s="2" t="n">
        <f aca="false">MAX(AX8+IF($A9=AY$4,1,-1),AY8-1,AX9-1)</f>
        <v>-43</v>
      </c>
      <c r="AZ9" s="2" t="n">
        <f aca="false">MAX(AY8+IF($A9=AZ$4,1,-1),AZ8-1,AY9-1)</f>
        <v>-44</v>
      </c>
      <c r="BA9" s="2" t="n">
        <f aca="false">MAX(AZ8+IF($A9=BA$4,1,-1),BA8-1,AZ9-1)</f>
        <v>-45</v>
      </c>
      <c r="BB9" s="2" t="n">
        <f aca="false">MAX(BA8+IF($A9=BB$4,1,-1),BB8-1,BA9-1)</f>
        <v>-46</v>
      </c>
      <c r="BC9" s="2" t="n">
        <f aca="false">MAX(BB8+IF($A9=BC$4,1,-1),BC8-1,BB9-1)</f>
        <v>-47</v>
      </c>
      <c r="BD9" s="2" t="n">
        <f aca="false">MAX(BC8+IF($A9=BD$4,1,-1),BD8-1,BC9-1)</f>
        <v>-48</v>
      </c>
      <c r="BE9" s="2" t="n">
        <f aca="false">MAX(BD8+IF($A9=BE$4,1,-1),BE8-1,BD9-1)</f>
        <v>-49</v>
      </c>
      <c r="BF9" s="2" t="n">
        <f aca="false">MAX(BE8+IF($A9=BF$4,1,-1),BF8-1,BE9-1)</f>
        <v>-50</v>
      </c>
      <c r="BG9" s="2" t="n">
        <f aca="false">MAX(BF8+IF($A9=BG$4,1,-1),BG8-1,BF9-1)</f>
        <v>-51</v>
      </c>
      <c r="BH9" s="2" t="n">
        <f aca="false">MAX(BG8+IF($A9=BH$4,1,-1),BH8-1,BG9-1)</f>
        <v>-52</v>
      </c>
      <c r="BI9" s="2" t="n">
        <f aca="false">MAX(BH8+IF($A9=BI$4,1,-1),BI8-1,BH9-1)</f>
        <v>-53</v>
      </c>
      <c r="BJ9" s="2" t="n">
        <f aca="false">MAX(BI8+IF($A9=BJ$4,1,-1),BJ8-1,BI9-1)</f>
        <v>-54</v>
      </c>
      <c r="BK9" s="2" t="n">
        <f aca="false">MAX(BJ8+IF($A9=BK$4,1,-1),BK8-1,BJ9-1)</f>
        <v>-55</v>
      </c>
      <c r="BL9" s="2" t="n">
        <f aca="false">MAX(BK8+IF($A9=BL$4,1,-1),BL8-1,BK9-1)</f>
        <v>-56</v>
      </c>
      <c r="BM9" s="2" t="n">
        <f aca="false">MAX(BL8+IF($A9=BM$4,1,-1),BM8-1,BL9-1)</f>
        <v>-57</v>
      </c>
      <c r="BN9" s="2" t="n">
        <f aca="false">MAX(BM8+IF($A9=BN$4,1,-1),BN8-1,BM9-1)</f>
        <v>-58</v>
      </c>
      <c r="BO9" s="2" t="n">
        <f aca="false">MAX(BN8+IF($A9=BO$4,1,-1),BO8-1,BN9-1)</f>
        <v>-59</v>
      </c>
      <c r="BP9" s="2" t="n">
        <f aca="false">MAX(BO8+IF($A9=BP$4,1,-1),BP8-1,BO9-1)</f>
        <v>-60</v>
      </c>
      <c r="BQ9" s="2" t="n">
        <f aca="false">MAX(BP8+IF($A9=BQ$4,1,-1),BQ8-1,BP9-1)</f>
        <v>-61</v>
      </c>
      <c r="BR9" s="2" t="n">
        <f aca="false">MAX(BQ8+IF($A9=BR$4,1,-1),BR8-1,BQ9-1)</f>
        <v>-62</v>
      </c>
      <c r="BS9" s="2" t="n">
        <f aca="false">MAX(BR8+IF($A9=BS$4,1,-1),BS8-1,BR9-1)</f>
        <v>-63</v>
      </c>
      <c r="BT9" s="2" t="n">
        <f aca="false">MAX(BS8+IF($A9=BT$4,1,-1),BT8-1,BS9-1)</f>
        <v>-64</v>
      </c>
      <c r="BU9" s="2" t="n">
        <f aca="false">MAX(BT8+IF($A9=BU$4,1,-1),BU8-1,BT9-1)</f>
        <v>-65</v>
      </c>
      <c r="BV9" s="2" t="n">
        <f aca="false">MAX(BU8+IF($A9=BV$4,1,-1),BV8-1,BU9-1)</f>
        <v>-66</v>
      </c>
      <c r="BW9" s="2" t="n">
        <f aca="false">MAX(BV8+IF($A9=BW$4,1,-1),BW8-1,BV9-1)</f>
        <v>-67</v>
      </c>
      <c r="BX9" s="2" t="n">
        <f aca="false">MAX(BW8+IF($A9=BX$4,1,-1),BX8-1,BW9-1)</f>
        <v>-68</v>
      </c>
      <c r="BY9" s="2" t="n">
        <f aca="false">MAX(BX8+IF($A9=BY$4,1,-1),BY8-1,BX9-1)</f>
        <v>-69</v>
      </c>
      <c r="BZ9" s="2" t="n">
        <f aca="false">MAX(BY8+IF($A9=BZ$4,1,-1),BZ8-1,BY9-1)</f>
        <v>-70</v>
      </c>
      <c r="CA9" s="2" t="n">
        <f aca="false">MAX(BZ8+IF($A9=CA$4,1,-1),CA8-1,BZ9-1)</f>
        <v>-71</v>
      </c>
      <c r="CB9" s="2" t="n">
        <f aca="false">MAX(CA8+IF($A9=CB$4,1,-1),CB8-1,CA9-1)</f>
        <v>-72</v>
      </c>
      <c r="CC9" s="2" t="n">
        <f aca="false">MAX(CB8+IF($A9=CC$4,1,-1),CC8-1,CB9-1)</f>
        <v>-73</v>
      </c>
      <c r="CD9" s="2" t="n">
        <f aca="false">MAX(CC8+IF($A9=CD$4,1,-1),CD8-1,CC9-1)</f>
        <v>-74</v>
      </c>
      <c r="CE9" s="2" t="n">
        <f aca="false">MAX(CD8+IF($A9=CE$4,1,-1),CE8-1,CD9-1)</f>
        <v>-75</v>
      </c>
      <c r="CF9" s="2" t="n">
        <f aca="false">MAX(CE8+IF($A9=CF$4,1,-1),CF8-1,CE9-1)</f>
        <v>-76</v>
      </c>
      <c r="CG9" s="2" t="n">
        <f aca="false">MAX(CF8+IF($A9=CG$4,1,-1),CG8-1,CF9-1)</f>
        <v>-77</v>
      </c>
      <c r="CH9" s="2" t="n">
        <f aca="false">MAX(CG8+IF($A9=CH$4,1,-1),CH8-1,CG9-1)</f>
        <v>-78</v>
      </c>
      <c r="CI9" s="2" t="n">
        <f aca="false">MAX(CH8+IF($A9=CI$4,1,-1),CI8-1,CH9-1)</f>
        <v>-79</v>
      </c>
      <c r="CJ9" s="2" t="n">
        <f aca="false">MAX(CI8+IF($A9=CJ$4,1,-1),CJ8-1,CI9-1)</f>
        <v>-80</v>
      </c>
      <c r="CK9" s="2" t="n">
        <f aca="false">MAX(CJ8+IF($A9=CK$4,1,-1),CK8-1,CJ9-1)</f>
        <v>-81</v>
      </c>
      <c r="CL9" s="2" t="n">
        <f aca="false">MAX(CK8+IF($A9=CL$4,1,-1),CL8-1,CK9-1)</f>
        <v>-82</v>
      </c>
      <c r="CM9" s="2" t="n">
        <f aca="false">MAX(CL8+IF($A9=CM$4,1,-1),CM8-1,CL9-1)</f>
        <v>-83</v>
      </c>
      <c r="CN9" s="2" t="n">
        <f aca="false">MAX(CM8+IF($A9=CN$4,1,-1),CN8-1,CM9-1)</f>
        <v>-84</v>
      </c>
      <c r="CO9" s="2" t="n">
        <f aca="false">MAX(CN8+IF($A9=CO$4,1,-1),CO8-1,CN9-1)</f>
        <v>-85</v>
      </c>
      <c r="CP9" s="2" t="n">
        <f aca="false">MAX(CO8+IF($A9=CP$4,1,-1),CP8-1,CO9-1)</f>
        <v>-86</v>
      </c>
      <c r="CQ9" s="2" t="n">
        <f aca="false">MAX(CP8+IF($A9=CQ$4,1,-1),CQ8-1,CP9-1)</f>
        <v>-87</v>
      </c>
    </row>
    <row r="10" customFormat="false" ht="15" hidden="false" customHeight="false" outlineLevel="0" collapsed="false">
      <c r="A10" s="4" t="s">
        <v>65</v>
      </c>
      <c r="B10" s="12" t="n">
        <v>-5</v>
      </c>
      <c r="C10" s="2" t="n">
        <f aca="false">MAX(B9+IF($A10=C$4,1,-1),C9-1,B10-1)</f>
        <v>-5</v>
      </c>
      <c r="D10" s="2" t="n">
        <f aca="false">MAX(C9+IF($A10=D$4,1,-1),D9-1,C10-1)</f>
        <v>-4</v>
      </c>
      <c r="E10" s="2" t="n">
        <f aca="false">MAX(D9+IF($A10=E$4,1,-1),E9-1,D10-1)</f>
        <v>-2</v>
      </c>
      <c r="F10" s="2" t="n">
        <f aca="false">MAX(E9+IF($A10=F$4,1,-1),F9-1,E10-1)</f>
        <v>0</v>
      </c>
      <c r="G10" s="2" t="n">
        <f aca="false">MAX(F9+IF($A10=G$4,1,-1),G9-1,F10-1)</f>
        <v>0</v>
      </c>
      <c r="H10" s="2" t="n">
        <f aca="false">MAX(G9+IF($A10=H$4,1,-1),H9-1,G10-1)</f>
        <v>0</v>
      </c>
      <c r="I10" s="2" t="n">
        <f aca="false">MAX(H9+IF($A10=I$4,1,-1),I9-1,H10-1)</f>
        <v>-1</v>
      </c>
      <c r="J10" s="2" t="n">
        <f aca="false">MAX(I9+IF($A10=J$4,1,-1),J9-1,I10-1)</f>
        <v>-2</v>
      </c>
      <c r="K10" s="2" t="n">
        <f aca="false">MAX(J9+IF($A10=K$4,1,-1),K9-1,J10-1)</f>
        <v>-3</v>
      </c>
      <c r="L10" s="2" t="n">
        <f aca="false">MAX(K9+IF($A10=L$4,1,-1),L9-1,K10-1)</f>
        <v>-4</v>
      </c>
      <c r="M10" s="2" t="n">
        <f aca="false">MAX(L9+IF($A10=M$4,1,-1),M9-1,L10-1)</f>
        <v>-5</v>
      </c>
      <c r="N10" s="2" t="n">
        <f aca="false">MAX(M9+IF($A10=N$4,1,-1),N9-1,M10-1)</f>
        <v>-6</v>
      </c>
      <c r="O10" s="2" t="n">
        <f aca="false">MAX(N9+IF($A10=O$4,1,-1),O9-1,N10-1)</f>
        <v>-7</v>
      </c>
      <c r="P10" s="2" t="n">
        <f aca="false">MAX(O9+IF($A10=P$4,1,-1),P9-1,O10-1)</f>
        <v>-8</v>
      </c>
      <c r="Q10" s="2" t="n">
        <f aca="false">MAX(P9+IF($A10=Q$4,1,-1),Q9-1,P10-1)</f>
        <v>-9</v>
      </c>
      <c r="R10" s="2" t="n">
        <f aca="false">MAX(Q9+IF($A10=R$4,1,-1),R9-1,Q10-1)</f>
        <v>-10</v>
      </c>
      <c r="S10" s="2" t="n">
        <f aca="false">MAX(R9+IF($A10=S$4,1,-1),S9-1,R10-1)</f>
        <v>-11</v>
      </c>
      <c r="T10" s="2" t="n">
        <f aca="false">MAX(S9+IF($A10=T$4,1,-1),T9-1,S10-1)</f>
        <v>-12</v>
      </c>
      <c r="U10" s="2" t="n">
        <f aca="false">MAX(T9+IF($A10=U$4,1,-1),U9-1,T10-1)</f>
        <v>-13</v>
      </c>
      <c r="V10" s="2" t="n">
        <f aca="false">MAX(U9+IF($A10=V$4,1,-1),V9-1,U10-1)</f>
        <v>-14</v>
      </c>
      <c r="W10" s="2" t="n">
        <f aca="false">MAX(V9+IF($A10=W$4,1,-1),W9-1,V10-1)</f>
        <v>-15</v>
      </c>
      <c r="X10" s="2" t="n">
        <f aca="false">MAX(W9+IF($A10=X$4,1,-1),X9-1,W10-1)</f>
        <v>-16</v>
      </c>
      <c r="Y10" s="2" t="n">
        <f aca="false">MAX(X9+IF($A10=Y$4,1,-1),Y9-1,X10-1)</f>
        <v>-17</v>
      </c>
      <c r="Z10" s="2" t="n">
        <f aca="false">MAX(Y9+IF($A10=Z$4,1,-1),Z9-1,Y10-1)</f>
        <v>-18</v>
      </c>
      <c r="AA10" s="2" t="n">
        <f aca="false">MAX(Z9+IF($A10=AA$4,1,-1),AA9-1,Z10-1)</f>
        <v>-19</v>
      </c>
      <c r="AB10" s="2" t="n">
        <f aca="false">MAX(AA9+IF($A10=AB$4,1,-1),AB9-1,AA10-1)</f>
        <v>-20</v>
      </c>
      <c r="AC10" s="2" t="n">
        <f aca="false">MAX(AB9+IF($A10=AC$4,1,-1),AC9-1,AB10-1)</f>
        <v>-21</v>
      </c>
      <c r="AD10" s="2" t="n">
        <f aca="false">MAX(AC9+IF($A10=AD$4,1,-1),AD9-1,AC10-1)</f>
        <v>-22</v>
      </c>
      <c r="AE10" s="2" t="n">
        <f aca="false">MAX(AD9+IF($A10=AE$4,1,-1),AE9-1,AD10-1)</f>
        <v>-23</v>
      </c>
      <c r="AF10" s="2" t="n">
        <f aca="false">MAX(AE9+IF($A10=AF$4,1,-1),AF9-1,AE10-1)</f>
        <v>-24</v>
      </c>
      <c r="AG10" s="2" t="n">
        <f aca="false">MAX(AF9+IF($A10=AG$4,1,-1),AG9-1,AF10-1)</f>
        <v>-25</v>
      </c>
      <c r="AH10" s="2" t="n">
        <f aca="false">MAX(AG9+IF($A10=AH$4,1,-1),AH9-1,AG10-1)</f>
        <v>-26</v>
      </c>
      <c r="AI10" s="2" t="n">
        <f aca="false">MAX(AH9+IF($A10=AI$4,1,-1),AI9-1,AH10-1)</f>
        <v>-27</v>
      </c>
      <c r="AJ10" s="2" t="n">
        <f aca="false">MAX(AI9+IF($A10=AJ$4,1,-1),AJ9-1,AI10-1)</f>
        <v>-28</v>
      </c>
      <c r="AK10" s="2" t="n">
        <f aca="false">MAX(AJ9+IF($A10=AK$4,1,-1),AK9-1,AJ10-1)</f>
        <v>-29</v>
      </c>
      <c r="AL10" s="2" t="n">
        <f aca="false">MAX(AK9+IF($A10=AL$4,1,-1),AL9-1,AK10-1)</f>
        <v>-30</v>
      </c>
      <c r="AM10" s="2" t="n">
        <f aca="false">MAX(AL9+IF($A10=AM$4,1,-1),AM9-1,AL10-1)</f>
        <v>-31</v>
      </c>
      <c r="AN10" s="2" t="n">
        <f aca="false">MAX(AM9+IF($A10=AN$4,1,-1),AN9-1,AM10-1)</f>
        <v>-32</v>
      </c>
      <c r="AO10" s="2" t="n">
        <f aca="false">MAX(AN9+IF($A10=AO$4,1,-1),AO9-1,AN10-1)</f>
        <v>-33</v>
      </c>
      <c r="AP10" s="2" t="n">
        <f aca="false">MAX(AO9+IF($A10=AP$4,1,-1),AP9-1,AO10-1)</f>
        <v>-34</v>
      </c>
      <c r="AQ10" s="2" t="n">
        <f aca="false">MAX(AP9+IF($A10=AQ$4,1,-1),AQ9-1,AP10-1)</f>
        <v>-35</v>
      </c>
      <c r="AR10" s="2" t="n">
        <f aca="false">MAX(AQ9+IF($A10=AR$4,1,-1),AR9-1,AQ10-1)</f>
        <v>-36</v>
      </c>
      <c r="AS10" s="2" t="n">
        <f aca="false">MAX(AR9+IF($A10=AS$4,1,-1),AS9-1,AR10-1)</f>
        <v>-37</v>
      </c>
      <c r="AT10" s="2" t="n">
        <f aca="false">MAX(AS9+IF($A10=AT$4,1,-1),AT9-1,AS10-1)</f>
        <v>-38</v>
      </c>
      <c r="AU10" s="2" t="n">
        <f aca="false">MAX(AT9+IF($A10=AU$4,1,-1),AU9-1,AT10-1)</f>
        <v>-39</v>
      </c>
      <c r="AV10" s="2" t="n">
        <f aca="false">MAX(AU9+IF($A10=AV$4,1,-1),AV9-1,AU10-1)</f>
        <v>-40</v>
      </c>
      <c r="AW10" s="2" t="n">
        <f aca="false">MAX(AV9+IF($A10=AW$4,1,-1),AW9-1,AV10-1)</f>
        <v>-41</v>
      </c>
      <c r="AX10" s="2" t="n">
        <f aca="false">MAX(AW9+IF($A10=AX$4,1,-1),AX9-1,AW10-1)</f>
        <v>-42</v>
      </c>
      <c r="AY10" s="2" t="n">
        <f aca="false">MAX(AX9+IF($A10=AY$4,1,-1),AY9-1,AX10-1)</f>
        <v>-43</v>
      </c>
      <c r="AZ10" s="2" t="n">
        <f aca="false">MAX(AY9+IF($A10=AZ$4,1,-1),AZ9-1,AY10-1)</f>
        <v>-44</v>
      </c>
      <c r="BA10" s="2" t="n">
        <f aca="false">MAX(AZ9+IF($A10=BA$4,1,-1),BA9-1,AZ10-1)</f>
        <v>-45</v>
      </c>
      <c r="BB10" s="2" t="n">
        <f aca="false">MAX(BA9+IF($A10=BB$4,1,-1),BB9-1,BA10-1)</f>
        <v>-46</v>
      </c>
      <c r="BC10" s="2" t="n">
        <f aca="false">MAX(BB9+IF($A10=BC$4,1,-1),BC9-1,BB10-1)</f>
        <v>-47</v>
      </c>
      <c r="BD10" s="2" t="n">
        <f aca="false">MAX(BC9+IF($A10=BD$4,1,-1),BD9-1,BC10-1)</f>
        <v>-48</v>
      </c>
      <c r="BE10" s="2" t="n">
        <f aca="false">MAX(BD9+IF($A10=BE$4,1,-1),BE9-1,BD10-1)</f>
        <v>-49</v>
      </c>
      <c r="BF10" s="2" t="n">
        <f aca="false">MAX(BE9+IF($A10=BF$4,1,-1),BF9-1,BE10-1)</f>
        <v>-50</v>
      </c>
      <c r="BG10" s="2" t="n">
        <f aca="false">MAX(BF9+IF($A10=BG$4,1,-1),BG9-1,BF10-1)</f>
        <v>-51</v>
      </c>
      <c r="BH10" s="2" t="n">
        <f aca="false">MAX(BG9+IF($A10=BH$4,1,-1),BH9-1,BG10-1)</f>
        <v>-52</v>
      </c>
      <c r="BI10" s="2" t="n">
        <f aca="false">MAX(BH9+IF($A10=BI$4,1,-1),BI9-1,BH10-1)</f>
        <v>-53</v>
      </c>
      <c r="BJ10" s="2" t="n">
        <f aca="false">MAX(BI9+IF($A10=BJ$4,1,-1),BJ9-1,BI10-1)</f>
        <v>-54</v>
      </c>
      <c r="BK10" s="2" t="n">
        <f aca="false">MAX(BJ9+IF($A10=BK$4,1,-1),BK9-1,BJ10-1)</f>
        <v>-55</v>
      </c>
      <c r="BL10" s="2" t="n">
        <f aca="false">MAX(BK9+IF($A10=BL$4,1,-1),BL9-1,BK10-1)</f>
        <v>-56</v>
      </c>
      <c r="BM10" s="2" t="n">
        <f aca="false">MAX(BL9+IF($A10=BM$4,1,-1),BM9-1,BL10-1)</f>
        <v>-57</v>
      </c>
      <c r="BN10" s="2" t="n">
        <f aca="false">MAX(BM9+IF($A10=BN$4,1,-1),BN9-1,BM10-1)</f>
        <v>-58</v>
      </c>
      <c r="BO10" s="2" t="n">
        <f aca="false">MAX(BN9+IF($A10=BO$4,1,-1),BO9-1,BN10-1)</f>
        <v>-59</v>
      </c>
      <c r="BP10" s="2" t="n">
        <f aca="false">MAX(BO9+IF($A10=BP$4,1,-1),BP9-1,BO10-1)</f>
        <v>-60</v>
      </c>
      <c r="BQ10" s="2" t="n">
        <f aca="false">MAX(BP9+IF($A10=BQ$4,1,-1),BQ9-1,BP10-1)</f>
        <v>-61</v>
      </c>
      <c r="BR10" s="2" t="n">
        <f aca="false">MAX(BQ9+IF($A10=BR$4,1,-1),BR9-1,BQ10-1)</f>
        <v>-62</v>
      </c>
      <c r="BS10" s="2" t="n">
        <f aca="false">MAX(BR9+IF($A10=BS$4,1,-1),BS9-1,BR10-1)</f>
        <v>-63</v>
      </c>
      <c r="BT10" s="2" t="n">
        <f aca="false">MAX(BS9+IF($A10=BT$4,1,-1),BT9-1,BS10-1)</f>
        <v>-64</v>
      </c>
      <c r="BU10" s="2" t="n">
        <f aca="false">MAX(BT9+IF($A10=BU$4,1,-1),BU9-1,BT10-1)</f>
        <v>-65</v>
      </c>
      <c r="BV10" s="2" t="n">
        <f aca="false">MAX(BU9+IF($A10=BV$4,1,-1),BV9-1,BU10-1)</f>
        <v>-66</v>
      </c>
      <c r="BW10" s="2" t="n">
        <f aca="false">MAX(BV9+IF($A10=BW$4,1,-1),BW9-1,BV10-1)</f>
        <v>-67</v>
      </c>
      <c r="BX10" s="2" t="n">
        <f aca="false">MAX(BW9+IF($A10=BX$4,1,-1),BX9-1,BW10-1)</f>
        <v>-68</v>
      </c>
      <c r="BY10" s="2" t="n">
        <f aca="false">MAX(BX9+IF($A10=BY$4,1,-1),BY9-1,BX10-1)</f>
        <v>-69</v>
      </c>
      <c r="BZ10" s="2" t="n">
        <f aca="false">MAX(BY9+IF($A10=BZ$4,1,-1),BZ9-1,BY10-1)</f>
        <v>-70</v>
      </c>
      <c r="CA10" s="2" t="n">
        <f aca="false">MAX(BZ9+IF($A10=CA$4,1,-1),CA9-1,BZ10-1)</f>
        <v>-71</v>
      </c>
      <c r="CB10" s="2" t="n">
        <f aca="false">MAX(CA9+IF($A10=CB$4,1,-1),CB9-1,CA10-1)</f>
        <v>-72</v>
      </c>
      <c r="CC10" s="2" t="n">
        <f aca="false">MAX(CB9+IF($A10=CC$4,1,-1),CC9-1,CB10-1)</f>
        <v>-73</v>
      </c>
      <c r="CD10" s="2" t="n">
        <f aca="false">MAX(CC9+IF($A10=CD$4,1,-1),CD9-1,CC10-1)</f>
        <v>-74</v>
      </c>
      <c r="CE10" s="2" t="n">
        <f aca="false">MAX(CD9+IF($A10=CE$4,1,-1),CE9-1,CD10-1)</f>
        <v>-75</v>
      </c>
      <c r="CF10" s="2" t="n">
        <f aca="false">MAX(CE9+IF($A10=CF$4,1,-1),CF9-1,CE10-1)</f>
        <v>-76</v>
      </c>
      <c r="CG10" s="2" t="n">
        <f aca="false">MAX(CF9+IF($A10=CG$4,1,-1),CG9-1,CF10-1)</f>
        <v>-77</v>
      </c>
      <c r="CH10" s="2" t="n">
        <f aca="false">MAX(CG9+IF($A10=CH$4,1,-1),CH9-1,CG10-1)</f>
        <v>-78</v>
      </c>
      <c r="CI10" s="2" t="n">
        <f aca="false">MAX(CH9+IF($A10=CI$4,1,-1),CI9-1,CH10-1)</f>
        <v>-79</v>
      </c>
      <c r="CJ10" s="2" t="n">
        <f aca="false">MAX(CI9+IF($A10=CJ$4,1,-1),CJ9-1,CI10-1)</f>
        <v>-80</v>
      </c>
      <c r="CK10" s="2" t="n">
        <f aca="false">MAX(CJ9+IF($A10=CK$4,1,-1),CK9-1,CJ10-1)</f>
        <v>-81</v>
      </c>
      <c r="CL10" s="2" t="n">
        <f aca="false">MAX(CK9+IF($A10=CL$4,1,-1),CL9-1,CK10-1)</f>
        <v>-82</v>
      </c>
      <c r="CM10" s="2" t="n">
        <f aca="false">MAX(CL9+IF($A10=CM$4,1,-1),CM9-1,CL10-1)</f>
        <v>-83</v>
      </c>
      <c r="CN10" s="2" t="n">
        <f aca="false">MAX(CM9+IF($A10=CN$4,1,-1),CN9-1,CM10-1)</f>
        <v>-84</v>
      </c>
      <c r="CO10" s="2" t="n">
        <f aca="false">MAX(CN9+IF($A10=CO$4,1,-1),CO9-1,CN10-1)</f>
        <v>-85</v>
      </c>
      <c r="CP10" s="2" t="n">
        <f aca="false">MAX(CO9+IF($A10=CP$4,1,-1),CP9-1,CO10-1)</f>
        <v>-86</v>
      </c>
      <c r="CQ10" s="2" t="n">
        <f aca="false">MAX(CP9+IF($A10=CQ$4,1,-1),CQ9-1,CP10-1)</f>
        <v>-87</v>
      </c>
    </row>
    <row r="11" customFormat="false" ht="15" hidden="false" customHeight="false" outlineLevel="0" collapsed="false">
      <c r="A11" s="4" t="s">
        <v>66</v>
      </c>
      <c r="B11" s="12" t="n">
        <v>-6</v>
      </c>
      <c r="C11" s="2" t="n">
        <f aca="false">MAX(B10+IF($A11=C$4,1,-1),C10-1,B11-1)</f>
        <v>-6</v>
      </c>
      <c r="D11" s="2" t="n">
        <f aca="false">MAX(C10+IF($A11=D$4,1,-1),D10-1,C11-1)</f>
        <v>-5</v>
      </c>
      <c r="E11" s="2" t="n">
        <f aca="false">MAX(D10+IF($A11=E$4,1,-1),E10-1,D11-1)</f>
        <v>-3</v>
      </c>
      <c r="F11" s="2" t="n">
        <f aca="false">MAX(E10+IF($A11=F$4,1,-1),F10-1,E11-1)</f>
        <v>-1</v>
      </c>
      <c r="G11" s="2" t="n">
        <f aca="false">MAX(F10+IF($A11=G$4,1,-1),G10-1,F11-1)</f>
        <v>-1</v>
      </c>
      <c r="H11" s="2" t="n">
        <f aca="false">MAX(G10+IF($A11=H$4,1,-1),H10-1,G11-1)</f>
        <v>-1</v>
      </c>
      <c r="I11" s="2" t="n">
        <f aca="false">MAX(H10+IF($A11=I$4,1,-1),I10-1,H11-1)</f>
        <v>-1</v>
      </c>
      <c r="J11" s="2" t="n">
        <f aca="false">MAX(I10+IF($A11=J$4,1,-1),J10-1,I11-1)</f>
        <v>-2</v>
      </c>
      <c r="K11" s="2" t="n">
        <f aca="false">MAX(J10+IF($A11=K$4,1,-1),K10-1,J11-1)</f>
        <v>-3</v>
      </c>
      <c r="L11" s="2" t="n">
        <f aca="false">MAX(K10+IF($A11=L$4,1,-1),L10-1,K11-1)</f>
        <v>-4</v>
      </c>
      <c r="M11" s="2" t="n">
        <f aca="false">MAX(L10+IF($A11=M$4,1,-1),M10-1,L11-1)</f>
        <v>-5</v>
      </c>
      <c r="N11" s="2" t="n">
        <f aca="false">MAX(M10+IF($A11=N$4,1,-1),N10-1,M11-1)</f>
        <v>-6</v>
      </c>
      <c r="O11" s="2" t="n">
        <f aca="false">MAX(N10+IF($A11=O$4,1,-1),O10-1,N11-1)</f>
        <v>-7</v>
      </c>
      <c r="P11" s="2" t="n">
        <f aca="false">MAX(O10+IF($A11=P$4,1,-1),P10-1,O11-1)</f>
        <v>-8</v>
      </c>
      <c r="Q11" s="2" t="n">
        <f aca="false">MAX(P10+IF($A11=Q$4,1,-1),Q10-1,P11-1)</f>
        <v>-9</v>
      </c>
      <c r="R11" s="2" t="n">
        <f aca="false">MAX(Q10+IF($A11=R$4,1,-1),R10-1,Q11-1)</f>
        <v>-10</v>
      </c>
      <c r="S11" s="2" t="n">
        <f aca="false">MAX(R10+IF($A11=S$4,1,-1),S10-1,R11-1)</f>
        <v>-11</v>
      </c>
      <c r="T11" s="2" t="n">
        <f aca="false">MAX(S10+IF($A11=T$4,1,-1),T10-1,S11-1)</f>
        <v>-12</v>
      </c>
      <c r="U11" s="2" t="n">
        <f aca="false">MAX(T10+IF($A11=U$4,1,-1),U10-1,T11-1)</f>
        <v>-13</v>
      </c>
      <c r="V11" s="2" t="n">
        <f aca="false">MAX(U10+IF($A11=V$4,1,-1),V10-1,U11-1)</f>
        <v>-14</v>
      </c>
      <c r="W11" s="2" t="n">
        <f aca="false">MAX(V10+IF($A11=W$4,1,-1),W10-1,V11-1)</f>
        <v>-15</v>
      </c>
      <c r="X11" s="2" t="n">
        <f aca="false">MAX(W10+IF($A11=X$4,1,-1),X10-1,W11-1)</f>
        <v>-16</v>
      </c>
      <c r="Y11" s="2" t="n">
        <f aca="false">MAX(X10+IF($A11=Y$4,1,-1),Y10-1,X11-1)</f>
        <v>-17</v>
      </c>
      <c r="Z11" s="2" t="n">
        <f aca="false">MAX(Y10+IF($A11=Z$4,1,-1),Z10-1,Y11-1)</f>
        <v>-18</v>
      </c>
      <c r="AA11" s="2" t="n">
        <f aca="false">MAX(Z10+IF($A11=AA$4,1,-1),AA10-1,Z11-1)</f>
        <v>-19</v>
      </c>
      <c r="AB11" s="2" t="n">
        <f aca="false">MAX(AA10+IF($A11=AB$4,1,-1),AB10-1,AA11-1)</f>
        <v>-20</v>
      </c>
      <c r="AC11" s="2" t="n">
        <f aca="false">MAX(AB10+IF($A11=AC$4,1,-1),AC10-1,AB11-1)</f>
        <v>-21</v>
      </c>
      <c r="AD11" s="2" t="n">
        <f aca="false">MAX(AC10+IF($A11=AD$4,1,-1),AD10-1,AC11-1)</f>
        <v>-22</v>
      </c>
      <c r="AE11" s="2" t="n">
        <f aca="false">MAX(AD10+IF($A11=AE$4,1,-1),AE10-1,AD11-1)</f>
        <v>-23</v>
      </c>
      <c r="AF11" s="2" t="n">
        <f aca="false">MAX(AE10+IF($A11=AF$4,1,-1),AF10-1,AE11-1)</f>
        <v>-24</v>
      </c>
      <c r="AG11" s="2" t="n">
        <f aca="false">MAX(AF10+IF($A11=AG$4,1,-1),AG10-1,AF11-1)</f>
        <v>-25</v>
      </c>
      <c r="AH11" s="2" t="n">
        <f aca="false">MAX(AG10+IF($A11=AH$4,1,-1),AH10-1,AG11-1)</f>
        <v>-26</v>
      </c>
      <c r="AI11" s="2" t="n">
        <f aca="false">MAX(AH10+IF($A11=AI$4,1,-1),AI10-1,AH11-1)</f>
        <v>-27</v>
      </c>
      <c r="AJ11" s="2" t="n">
        <f aca="false">MAX(AI10+IF($A11=AJ$4,1,-1),AJ10-1,AI11-1)</f>
        <v>-28</v>
      </c>
      <c r="AK11" s="2" t="n">
        <f aca="false">MAX(AJ10+IF($A11=AK$4,1,-1),AK10-1,AJ11-1)</f>
        <v>-29</v>
      </c>
      <c r="AL11" s="2" t="n">
        <f aca="false">MAX(AK10+IF($A11=AL$4,1,-1),AL10-1,AK11-1)</f>
        <v>-30</v>
      </c>
      <c r="AM11" s="2" t="n">
        <f aca="false">MAX(AL10+IF($A11=AM$4,1,-1),AM10-1,AL11-1)</f>
        <v>-31</v>
      </c>
      <c r="AN11" s="2" t="n">
        <f aca="false">MAX(AM10+IF($A11=AN$4,1,-1),AN10-1,AM11-1)</f>
        <v>-32</v>
      </c>
      <c r="AO11" s="2" t="n">
        <f aca="false">MAX(AN10+IF($A11=AO$4,1,-1),AO10-1,AN11-1)</f>
        <v>-33</v>
      </c>
      <c r="AP11" s="2" t="n">
        <f aca="false">MAX(AO10+IF($A11=AP$4,1,-1),AP10-1,AO11-1)</f>
        <v>-34</v>
      </c>
      <c r="AQ11" s="2" t="n">
        <f aca="false">MAX(AP10+IF($A11=AQ$4,1,-1),AQ10-1,AP11-1)</f>
        <v>-35</v>
      </c>
      <c r="AR11" s="2" t="n">
        <f aca="false">MAX(AQ10+IF($A11=AR$4,1,-1),AR10-1,AQ11-1)</f>
        <v>-36</v>
      </c>
      <c r="AS11" s="2" t="n">
        <f aca="false">MAX(AR10+IF($A11=AS$4,1,-1),AS10-1,AR11-1)</f>
        <v>-37</v>
      </c>
      <c r="AT11" s="2" t="n">
        <f aca="false">MAX(AS10+IF($A11=AT$4,1,-1),AT10-1,AS11-1)</f>
        <v>-38</v>
      </c>
      <c r="AU11" s="2" t="n">
        <f aca="false">MAX(AT10+IF($A11=AU$4,1,-1),AU10-1,AT11-1)</f>
        <v>-39</v>
      </c>
      <c r="AV11" s="2" t="n">
        <f aca="false">MAX(AU10+IF($A11=AV$4,1,-1),AV10-1,AU11-1)</f>
        <v>-40</v>
      </c>
      <c r="AW11" s="2" t="n">
        <f aca="false">MAX(AV10+IF($A11=AW$4,1,-1),AW10-1,AV11-1)</f>
        <v>-41</v>
      </c>
      <c r="AX11" s="2" t="n">
        <f aca="false">MAX(AW10+IF($A11=AX$4,1,-1),AX10-1,AW11-1)</f>
        <v>-42</v>
      </c>
      <c r="AY11" s="2" t="n">
        <f aca="false">MAX(AX10+IF($A11=AY$4,1,-1),AY10-1,AX11-1)</f>
        <v>-43</v>
      </c>
      <c r="AZ11" s="2" t="n">
        <f aca="false">MAX(AY10+IF($A11=AZ$4,1,-1),AZ10-1,AY11-1)</f>
        <v>-44</v>
      </c>
      <c r="BA11" s="2" t="n">
        <f aca="false">MAX(AZ10+IF($A11=BA$4,1,-1),BA10-1,AZ11-1)</f>
        <v>-45</v>
      </c>
      <c r="BB11" s="2" t="n">
        <f aca="false">MAX(BA10+IF($A11=BB$4,1,-1),BB10-1,BA11-1)</f>
        <v>-46</v>
      </c>
      <c r="BC11" s="2" t="n">
        <f aca="false">MAX(BB10+IF($A11=BC$4,1,-1),BC10-1,BB11-1)</f>
        <v>-45</v>
      </c>
      <c r="BD11" s="2" t="n">
        <f aca="false">MAX(BC10+IF($A11=BD$4,1,-1),BD10-1,BC11-1)</f>
        <v>-46</v>
      </c>
      <c r="BE11" s="2" t="n">
        <f aca="false">MAX(BD10+IF($A11=BE$4,1,-1),BE10-1,BD11-1)</f>
        <v>-47</v>
      </c>
      <c r="BF11" s="2" t="n">
        <f aca="false">MAX(BE10+IF($A11=BF$4,1,-1),BF10-1,BE11-1)</f>
        <v>-48</v>
      </c>
      <c r="BG11" s="2" t="n">
        <f aca="false">MAX(BF10+IF($A11=BG$4,1,-1),BG10-1,BF11-1)</f>
        <v>-49</v>
      </c>
      <c r="BH11" s="2" t="n">
        <f aca="false">MAX(BG10+IF($A11=BH$4,1,-1),BH10-1,BG11-1)</f>
        <v>-50</v>
      </c>
      <c r="BI11" s="2" t="n">
        <f aca="false">MAX(BH10+IF($A11=BI$4,1,-1),BI10-1,BH11-1)</f>
        <v>-51</v>
      </c>
      <c r="BJ11" s="2" t="n">
        <f aca="false">MAX(BI10+IF($A11=BJ$4,1,-1),BJ10-1,BI11-1)</f>
        <v>-52</v>
      </c>
      <c r="BK11" s="2" t="n">
        <f aca="false">MAX(BJ10+IF($A11=BK$4,1,-1),BK10-1,BJ11-1)</f>
        <v>-53</v>
      </c>
      <c r="BL11" s="2" t="n">
        <f aca="false">MAX(BK10+IF($A11=BL$4,1,-1),BL10-1,BK11-1)</f>
        <v>-54</v>
      </c>
      <c r="BM11" s="2" t="n">
        <f aca="false">MAX(BL10+IF($A11=BM$4,1,-1),BM10-1,BL11-1)</f>
        <v>-55</v>
      </c>
      <c r="BN11" s="2" t="n">
        <f aca="false">MAX(BM10+IF($A11=BN$4,1,-1),BN10-1,BM11-1)</f>
        <v>-56</v>
      </c>
      <c r="BO11" s="2" t="n">
        <f aca="false">MAX(BN10+IF($A11=BO$4,1,-1),BO10-1,BN11-1)</f>
        <v>-57</v>
      </c>
      <c r="BP11" s="2" t="n">
        <f aca="false">MAX(BO10+IF($A11=BP$4,1,-1),BP10-1,BO11-1)</f>
        <v>-58</v>
      </c>
      <c r="BQ11" s="2" t="n">
        <f aca="false">MAX(BP10+IF($A11=BQ$4,1,-1),BQ10-1,BP11-1)</f>
        <v>-59</v>
      </c>
      <c r="BR11" s="2" t="n">
        <f aca="false">MAX(BQ10+IF($A11=BR$4,1,-1),BR10-1,BQ11-1)</f>
        <v>-60</v>
      </c>
      <c r="BS11" s="2" t="n">
        <f aca="false">MAX(BR10+IF($A11=BS$4,1,-1),BS10-1,BR11-1)</f>
        <v>-61</v>
      </c>
      <c r="BT11" s="2" t="n">
        <f aca="false">MAX(BS10+IF($A11=BT$4,1,-1),BT10-1,BS11-1)</f>
        <v>-62</v>
      </c>
      <c r="BU11" s="2" t="n">
        <f aca="false">MAX(BT10+IF($A11=BU$4,1,-1),BU10-1,BT11-1)</f>
        <v>-63</v>
      </c>
      <c r="BV11" s="2" t="n">
        <f aca="false">MAX(BU10+IF($A11=BV$4,1,-1),BV10-1,BU11-1)</f>
        <v>-64</v>
      </c>
      <c r="BW11" s="2" t="n">
        <f aca="false">MAX(BV10+IF($A11=BW$4,1,-1),BW10-1,BV11-1)</f>
        <v>-65</v>
      </c>
      <c r="BX11" s="2" t="n">
        <f aca="false">MAX(BW10+IF($A11=BX$4,1,-1),BX10-1,BW11-1)</f>
        <v>-66</v>
      </c>
      <c r="BY11" s="2" t="n">
        <f aca="false">MAX(BX10+IF($A11=BY$4,1,-1),BY10-1,BX11-1)</f>
        <v>-67</v>
      </c>
      <c r="BZ11" s="2" t="n">
        <f aca="false">MAX(BY10+IF($A11=BZ$4,1,-1),BZ10-1,BY11-1)</f>
        <v>-68</v>
      </c>
      <c r="CA11" s="2" t="n">
        <f aca="false">MAX(BZ10+IF($A11=CA$4,1,-1),CA10-1,BZ11-1)</f>
        <v>-69</v>
      </c>
      <c r="CB11" s="2" t="n">
        <f aca="false">MAX(CA10+IF($A11=CB$4,1,-1),CB10-1,CA11-1)</f>
        <v>-70</v>
      </c>
      <c r="CC11" s="2" t="n">
        <f aca="false">MAX(CB10+IF($A11=CC$4,1,-1),CC10-1,CB11-1)</f>
        <v>-71</v>
      </c>
      <c r="CD11" s="2" t="n">
        <f aca="false">MAX(CC10+IF($A11=CD$4,1,-1),CD10-1,CC11-1)</f>
        <v>-72</v>
      </c>
      <c r="CE11" s="2" t="n">
        <f aca="false">MAX(CD10+IF($A11=CE$4,1,-1),CE10-1,CD11-1)</f>
        <v>-73</v>
      </c>
      <c r="CF11" s="2" t="n">
        <f aca="false">MAX(CE10+IF($A11=CF$4,1,-1),CF10-1,CE11-1)</f>
        <v>-74</v>
      </c>
      <c r="CG11" s="2" t="n">
        <f aca="false">MAX(CF10+IF($A11=CG$4,1,-1),CG10-1,CF11-1)</f>
        <v>-75</v>
      </c>
      <c r="CH11" s="2" t="n">
        <f aca="false">MAX(CG10+IF($A11=CH$4,1,-1),CH10-1,CG11-1)</f>
        <v>-76</v>
      </c>
      <c r="CI11" s="2" t="n">
        <f aca="false">MAX(CH10+IF($A11=CI$4,1,-1),CI10-1,CH11-1)</f>
        <v>-77</v>
      </c>
      <c r="CJ11" s="2" t="n">
        <f aca="false">MAX(CI10+IF($A11=CJ$4,1,-1),CJ10-1,CI11-1)</f>
        <v>-78</v>
      </c>
      <c r="CK11" s="2" t="n">
        <f aca="false">MAX(CJ10+IF($A11=CK$4,1,-1),CK10-1,CJ11-1)</f>
        <v>-79</v>
      </c>
      <c r="CL11" s="2" t="n">
        <f aca="false">MAX(CK10+IF($A11=CL$4,1,-1),CL10-1,CK11-1)</f>
        <v>-80</v>
      </c>
      <c r="CM11" s="2" t="n">
        <f aca="false">MAX(CL10+IF($A11=CM$4,1,-1),CM10-1,CL11-1)</f>
        <v>-81</v>
      </c>
      <c r="CN11" s="2" t="n">
        <f aca="false">MAX(CM10+IF($A11=CN$4,1,-1),CN10-1,CM11-1)</f>
        <v>-82</v>
      </c>
      <c r="CO11" s="2" t="n">
        <f aca="false">MAX(CN10+IF($A11=CO$4,1,-1),CO10-1,CN11-1)</f>
        <v>-83</v>
      </c>
      <c r="CP11" s="2" t="n">
        <f aca="false">MAX(CO10+IF($A11=CP$4,1,-1),CP10-1,CO11-1)</f>
        <v>-84</v>
      </c>
      <c r="CQ11" s="2" t="n">
        <f aca="false">MAX(CP10+IF($A11=CQ$4,1,-1),CQ10-1,CP11-1)</f>
        <v>-85</v>
      </c>
    </row>
    <row r="12" customFormat="false" ht="15" hidden="false" customHeight="false" outlineLevel="0" collapsed="false">
      <c r="A12" s="4" t="s">
        <v>67</v>
      </c>
      <c r="B12" s="12" t="n">
        <v>-7</v>
      </c>
      <c r="C12" s="2" t="n">
        <f aca="false">MAX(B11+IF($A12=C$4,1,-1),C11-1,B12-1)</f>
        <v>-7</v>
      </c>
      <c r="D12" s="2" t="n">
        <f aca="false">MAX(C11+IF($A12=D$4,1,-1),D11-1,C12-1)</f>
        <v>-6</v>
      </c>
      <c r="E12" s="2" t="n">
        <f aca="false">MAX(D11+IF($A12=E$4,1,-1),E11-1,D12-1)</f>
        <v>-4</v>
      </c>
      <c r="F12" s="2" t="n">
        <f aca="false">MAX(E11+IF($A12=F$4,1,-1),F11-1,E12-1)</f>
        <v>-2</v>
      </c>
      <c r="G12" s="2" t="n">
        <f aca="false">MAX(F11+IF($A12=G$4,1,-1),G11-1,F12-1)</f>
        <v>-2</v>
      </c>
      <c r="H12" s="2" t="n">
        <f aca="false">MAX(G11+IF($A12=H$4,1,-1),H11-1,G12-1)</f>
        <v>-2</v>
      </c>
      <c r="I12" s="2" t="n">
        <f aca="false">MAX(H11+IF($A12=I$4,1,-1),I11-1,H12-1)</f>
        <v>-2</v>
      </c>
      <c r="J12" s="2" t="n">
        <f aca="false">MAX(I11+IF($A12=J$4,1,-1),J11-1,I12-1)</f>
        <v>-2</v>
      </c>
      <c r="K12" s="2" t="n">
        <f aca="false">MAX(J11+IF($A12=K$4,1,-1),K11-1,J12-1)</f>
        <v>-3</v>
      </c>
      <c r="L12" s="2" t="n">
        <f aca="false">MAX(K11+IF($A12=L$4,1,-1),L11-1,K12-1)</f>
        <v>-4</v>
      </c>
      <c r="M12" s="2" t="n">
        <f aca="false">MAX(L11+IF($A12=M$4,1,-1),M11-1,L12-1)</f>
        <v>-5</v>
      </c>
      <c r="N12" s="2" t="n">
        <f aca="false">MAX(M11+IF($A12=N$4,1,-1),N11-1,M12-1)</f>
        <v>-6</v>
      </c>
      <c r="O12" s="2" t="n">
        <f aca="false">MAX(N11+IF($A12=O$4,1,-1),O11-1,N12-1)</f>
        <v>-7</v>
      </c>
      <c r="P12" s="2" t="n">
        <f aca="false">MAX(O11+IF($A12=P$4,1,-1),P11-1,O12-1)</f>
        <v>-8</v>
      </c>
      <c r="Q12" s="2" t="n">
        <f aca="false">MAX(P11+IF($A12=Q$4,1,-1),Q11-1,P12-1)</f>
        <v>-9</v>
      </c>
      <c r="R12" s="2" t="n">
        <f aca="false">MAX(Q11+IF($A12=R$4,1,-1),R11-1,Q12-1)</f>
        <v>-10</v>
      </c>
      <c r="S12" s="2" t="n">
        <f aca="false">MAX(R11+IF($A12=S$4,1,-1),S11-1,R12-1)</f>
        <v>-11</v>
      </c>
      <c r="T12" s="2" t="n">
        <f aca="false">MAX(S11+IF($A12=T$4,1,-1),T11-1,S12-1)</f>
        <v>-12</v>
      </c>
      <c r="U12" s="2" t="n">
        <f aca="false">MAX(T11+IF($A12=U$4,1,-1),U11-1,T12-1)</f>
        <v>-13</v>
      </c>
      <c r="V12" s="2" t="n">
        <f aca="false">MAX(U11+IF($A12=V$4,1,-1),V11-1,U12-1)</f>
        <v>-14</v>
      </c>
      <c r="W12" s="2" t="n">
        <f aca="false">MAX(V11+IF($A12=W$4,1,-1),W11-1,V12-1)</f>
        <v>-15</v>
      </c>
      <c r="X12" s="2" t="n">
        <f aca="false">MAX(W11+IF($A12=X$4,1,-1),X11-1,W12-1)</f>
        <v>-16</v>
      </c>
      <c r="Y12" s="2" t="n">
        <f aca="false">MAX(X11+IF($A12=Y$4,1,-1),Y11-1,X12-1)</f>
        <v>-17</v>
      </c>
      <c r="Z12" s="2" t="n">
        <f aca="false">MAX(Y11+IF($A12=Z$4,1,-1),Z11-1,Y12-1)</f>
        <v>-18</v>
      </c>
      <c r="AA12" s="2" t="n">
        <f aca="false">MAX(Z11+IF($A12=AA$4,1,-1),AA11-1,Z12-1)</f>
        <v>-19</v>
      </c>
      <c r="AB12" s="2" t="n">
        <f aca="false">MAX(AA11+IF($A12=AB$4,1,-1),AB11-1,AA12-1)</f>
        <v>-20</v>
      </c>
      <c r="AC12" s="2" t="n">
        <f aca="false">MAX(AB11+IF($A12=AC$4,1,-1),AC11-1,AB12-1)</f>
        <v>-21</v>
      </c>
      <c r="AD12" s="2" t="n">
        <f aca="false">MAX(AC11+IF($A12=AD$4,1,-1),AD11-1,AC12-1)</f>
        <v>-22</v>
      </c>
      <c r="AE12" s="2" t="n">
        <f aca="false">MAX(AD11+IF($A12=AE$4,1,-1),AE11-1,AD12-1)</f>
        <v>-23</v>
      </c>
      <c r="AF12" s="2" t="n">
        <f aca="false">MAX(AE11+IF($A12=AF$4,1,-1),AF11-1,AE12-1)</f>
        <v>-24</v>
      </c>
      <c r="AG12" s="2" t="n">
        <f aca="false">MAX(AF11+IF($A12=AG$4,1,-1),AG11-1,AF12-1)</f>
        <v>-25</v>
      </c>
      <c r="AH12" s="2" t="n">
        <f aca="false">MAX(AG11+IF($A12=AH$4,1,-1),AH11-1,AG12-1)</f>
        <v>-26</v>
      </c>
      <c r="AI12" s="2" t="n">
        <f aca="false">MAX(AH11+IF($A12=AI$4,1,-1),AI11-1,AH12-1)</f>
        <v>-27</v>
      </c>
      <c r="AJ12" s="2" t="n">
        <f aca="false">MAX(AI11+IF($A12=AJ$4,1,-1),AJ11-1,AI12-1)</f>
        <v>-28</v>
      </c>
      <c r="AK12" s="2" t="n">
        <f aca="false">MAX(AJ11+IF($A12=AK$4,1,-1),AK11-1,AJ12-1)</f>
        <v>-29</v>
      </c>
      <c r="AL12" s="2" t="n">
        <f aca="false">MAX(AK11+IF($A12=AL$4,1,-1),AL11-1,AK12-1)</f>
        <v>-30</v>
      </c>
      <c r="AM12" s="2" t="n">
        <f aca="false">MAX(AL11+IF($A12=AM$4,1,-1),AM11-1,AL12-1)</f>
        <v>-31</v>
      </c>
      <c r="AN12" s="2" t="n">
        <f aca="false">MAX(AM11+IF($A12=AN$4,1,-1),AN11-1,AM12-1)</f>
        <v>-32</v>
      </c>
      <c r="AO12" s="2" t="n">
        <f aca="false">MAX(AN11+IF($A12=AO$4,1,-1),AO11-1,AN12-1)</f>
        <v>-33</v>
      </c>
      <c r="AP12" s="2" t="n">
        <f aca="false">MAX(AO11+IF($A12=AP$4,1,-1),AP11-1,AO12-1)</f>
        <v>-34</v>
      </c>
      <c r="AQ12" s="2" t="n">
        <f aca="false">MAX(AP11+IF($A12=AQ$4,1,-1),AQ11-1,AP12-1)</f>
        <v>-35</v>
      </c>
      <c r="AR12" s="2" t="n">
        <f aca="false">MAX(AQ11+IF($A12=AR$4,1,-1),AR11-1,AQ12-1)</f>
        <v>-36</v>
      </c>
      <c r="AS12" s="2" t="n">
        <f aca="false">MAX(AR11+IF($A12=AS$4,1,-1),AS11-1,AR12-1)</f>
        <v>-37</v>
      </c>
      <c r="AT12" s="2" t="n">
        <f aca="false">MAX(AS11+IF($A12=AT$4,1,-1),AT11-1,AS12-1)</f>
        <v>-38</v>
      </c>
      <c r="AU12" s="2" t="n">
        <f aca="false">MAX(AT11+IF($A12=AU$4,1,-1),AU11-1,AT12-1)</f>
        <v>-39</v>
      </c>
      <c r="AV12" s="2" t="n">
        <f aca="false">MAX(AU11+IF($A12=AV$4,1,-1),AV11-1,AU12-1)</f>
        <v>-40</v>
      </c>
      <c r="AW12" s="2" t="n">
        <f aca="false">MAX(AV11+IF($A12=AW$4,1,-1),AW11-1,AV12-1)</f>
        <v>-41</v>
      </c>
      <c r="AX12" s="2" t="n">
        <f aca="false">MAX(AW11+IF($A12=AX$4,1,-1),AX11-1,AW12-1)</f>
        <v>-42</v>
      </c>
      <c r="AY12" s="2" t="n">
        <f aca="false">MAX(AX11+IF($A12=AY$4,1,-1),AY11-1,AX12-1)</f>
        <v>-43</v>
      </c>
      <c r="AZ12" s="2" t="n">
        <f aca="false">MAX(AY11+IF($A12=AZ$4,1,-1),AZ11-1,AY12-1)</f>
        <v>-44</v>
      </c>
      <c r="BA12" s="2" t="n">
        <f aca="false">MAX(AZ11+IF($A12=BA$4,1,-1),BA11-1,AZ12-1)</f>
        <v>-45</v>
      </c>
      <c r="BB12" s="2" t="n">
        <f aca="false">MAX(BA11+IF($A12=BB$4,1,-1),BB11-1,BA12-1)</f>
        <v>-46</v>
      </c>
      <c r="BC12" s="2" t="n">
        <f aca="false">MAX(BB11+IF($A12=BC$4,1,-1),BC11-1,BB12-1)</f>
        <v>-46</v>
      </c>
      <c r="BD12" s="2" t="n">
        <f aca="false">MAX(BC11+IF($A12=BD$4,1,-1),BD11-1,BC12-1)</f>
        <v>-46</v>
      </c>
      <c r="BE12" s="2" t="n">
        <f aca="false">MAX(BD11+IF($A12=BE$4,1,-1),BE11-1,BD12-1)</f>
        <v>-47</v>
      </c>
      <c r="BF12" s="2" t="n">
        <f aca="false">MAX(BE11+IF($A12=BF$4,1,-1),BF11-1,BE12-1)</f>
        <v>-48</v>
      </c>
      <c r="BG12" s="2" t="n">
        <f aca="false">MAX(BF11+IF($A12=BG$4,1,-1),BG11-1,BF12-1)</f>
        <v>-49</v>
      </c>
      <c r="BH12" s="2" t="n">
        <f aca="false">MAX(BG11+IF($A12=BH$4,1,-1),BH11-1,BG12-1)</f>
        <v>-50</v>
      </c>
      <c r="BI12" s="2" t="n">
        <f aca="false">MAX(BH11+IF($A12=BI$4,1,-1),BI11-1,BH12-1)</f>
        <v>-51</v>
      </c>
      <c r="BJ12" s="2" t="n">
        <f aca="false">MAX(BI11+IF($A12=BJ$4,1,-1),BJ11-1,BI12-1)</f>
        <v>-52</v>
      </c>
      <c r="BK12" s="2" t="n">
        <f aca="false">MAX(BJ11+IF($A12=BK$4,1,-1),BK11-1,BJ12-1)</f>
        <v>-53</v>
      </c>
      <c r="BL12" s="2" t="n">
        <f aca="false">MAX(BK11+IF($A12=BL$4,1,-1),BL11-1,BK12-1)</f>
        <v>-54</v>
      </c>
      <c r="BM12" s="2" t="n">
        <f aca="false">MAX(BL11+IF($A12=BM$4,1,-1),BM11-1,BL12-1)</f>
        <v>-55</v>
      </c>
      <c r="BN12" s="2" t="n">
        <f aca="false">MAX(BM11+IF($A12=BN$4,1,-1),BN11-1,BM12-1)</f>
        <v>-56</v>
      </c>
      <c r="BO12" s="2" t="n">
        <f aca="false">MAX(BN11+IF($A12=BO$4,1,-1),BO11-1,BN12-1)</f>
        <v>-57</v>
      </c>
      <c r="BP12" s="2" t="n">
        <f aca="false">MAX(BO11+IF($A12=BP$4,1,-1),BP11-1,BO12-1)</f>
        <v>-58</v>
      </c>
      <c r="BQ12" s="2" t="n">
        <f aca="false">MAX(BP11+IF($A12=BQ$4,1,-1),BQ11-1,BP12-1)</f>
        <v>-59</v>
      </c>
      <c r="BR12" s="2" t="n">
        <f aca="false">MAX(BQ11+IF($A12=BR$4,1,-1),BR11-1,BQ12-1)</f>
        <v>-60</v>
      </c>
      <c r="BS12" s="2" t="n">
        <f aca="false">MAX(BR11+IF($A12=BS$4,1,-1),BS11-1,BR12-1)</f>
        <v>-61</v>
      </c>
      <c r="BT12" s="2" t="n">
        <f aca="false">MAX(BS11+IF($A12=BT$4,1,-1),BT11-1,BS12-1)</f>
        <v>-62</v>
      </c>
      <c r="BU12" s="2" t="n">
        <f aca="false">MAX(BT11+IF($A12=BU$4,1,-1),BU11-1,BT12-1)</f>
        <v>-63</v>
      </c>
      <c r="BV12" s="2" t="n">
        <f aca="false">MAX(BU11+IF($A12=BV$4,1,-1),BV11-1,BU12-1)</f>
        <v>-64</v>
      </c>
      <c r="BW12" s="2" t="n">
        <f aca="false">MAX(BV11+IF($A12=BW$4,1,-1),BW11-1,BV12-1)</f>
        <v>-65</v>
      </c>
      <c r="BX12" s="2" t="n">
        <f aca="false">MAX(BW11+IF($A12=BX$4,1,-1),BX11-1,BW12-1)</f>
        <v>-66</v>
      </c>
      <c r="BY12" s="2" t="n">
        <f aca="false">MAX(BX11+IF($A12=BY$4,1,-1),BY11-1,BX12-1)</f>
        <v>-67</v>
      </c>
      <c r="BZ12" s="2" t="n">
        <f aca="false">MAX(BY11+IF($A12=BZ$4,1,-1),BZ11-1,BY12-1)</f>
        <v>-68</v>
      </c>
      <c r="CA12" s="2" t="n">
        <f aca="false">MAX(BZ11+IF($A12=CA$4,1,-1),CA11-1,BZ12-1)</f>
        <v>-69</v>
      </c>
      <c r="CB12" s="2" t="n">
        <f aca="false">MAX(CA11+IF($A12=CB$4,1,-1),CB11-1,CA12-1)</f>
        <v>-70</v>
      </c>
      <c r="CC12" s="2" t="n">
        <f aca="false">MAX(CB11+IF($A12=CC$4,1,-1),CC11-1,CB12-1)</f>
        <v>-71</v>
      </c>
      <c r="CD12" s="2" t="n">
        <f aca="false">MAX(CC11+IF($A12=CD$4,1,-1),CD11-1,CC12-1)</f>
        <v>-72</v>
      </c>
      <c r="CE12" s="2" t="n">
        <f aca="false">MAX(CD11+IF($A12=CE$4,1,-1),CE11-1,CD12-1)</f>
        <v>-73</v>
      </c>
      <c r="CF12" s="2" t="n">
        <f aca="false">MAX(CE11+IF($A12=CF$4,1,-1),CF11-1,CE12-1)</f>
        <v>-74</v>
      </c>
      <c r="CG12" s="2" t="n">
        <f aca="false">MAX(CF11+IF($A12=CG$4,1,-1),CG11-1,CF12-1)</f>
        <v>-75</v>
      </c>
      <c r="CH12" s="2" t="n">
        <f aca="false">MAX(CG11+IF($A12=CH$4,1,-1),CH11-1,CG12-1)</f>
        <v>-76</v>
      </c>
      <c r="CI12" s="2" t="n">
        <f aca="false">MAX(CH11+IF($A12=CI$4,1,-1),CI11-1,CH12-1)</f>
        <v>-77</v>
      </c>
      <c r="CJ12" s="2" t="n">
        <f aca="false">MAX(CI11+IF($A12=CJ$4,1,-1),CJ11-1,CI12-1)</f>
        <v>-78</v>
      </c>
      <c r="CK12" s="2" t="n">
        <f aca="false">MAX(CJ11+IF($A12=CK$4,1,-1),CK11-1,CJ12-1)</f>
        <v>-79</v>
      </c>
      <c r="CL12" s="2" t="n">
        <f aca="false">MAX(CK11+IF($A12=CL$4,1,-1),CL11-1,CK12-1)</f>
        <v>-80</v>
      </c>
      <c r="CM12" s="2" t="n">
        <f aca="false">MAX(CL11+IF($A12=CM$4,1,-1),CM11-1,CL12-1)</f>
        <v>-81</v>
      </c>
      <c r="CN12" s="2" t="n">
        <f aca="false">MAX(CM11+IF($A12=CN$4,1,-1),CN11-1,CM12-1)</f>
        <v>-82</v>
      </c>
      <c r="CO12" s="2" t="n">
        <f aca="false">MAX(CN11+IF($A12=CO$4,1,-1),CO11-1,CN12-1)</f>
        <v>-83</v>
      </c>
      <c r="CP12" s="2" t="n">
        <f aca="false">MAX(CO11+IF($A12=CP$4,1,-1),CP11-1,CO12-1)</f>
        <v>-84</v>
      </c>
      <c r="CQ12" s="2" t="n">
        <f aca="false">MAX(CP11+IF($A12=CQ$4,1,-1),CQ11-1,CP12-1)</f>
        <v>-85</v>
      </c>
    </row>
    <row r="13" customFormat="false" ht="15" hidden="false" customHeight="false" outlineLevel="0" collapsed="false">
      <c r="A13" s="4" t="s">
        <v>92</v>
      </c>
      <c r="B13" s="12" t="n">
        <v>-8</v>
      </c>
      <c r="C13" s="2" t="n">
        <f aca="false">MAX(B12+IF($A13=C$4,1,-1),C12-1,B13-1)</f>
        <v>-8</v>
      </c>
      <c r="D13" s="2" t="n">
        <f aca="false">MAX(C12+IF($A13=D$4,1,-1),D12-1,C13-1)</f>
        <v>-7</v>
      </c>
      <c r="E13" s="2" t="n">
        <f aca="false">MAX(D12+IF($A13=E$4,1,-1),E12-1,D13-1)</f>
        <v>-5</v>
      </c>
      <c r="F13" s="2" t="n">
        <f aca="false">MAX(E12+IF($A13=F$4,1,-1),F12-1,E13-1)</f>
        <v>-3</v>
      </c>
      <c r="G13" s="2" t="n">
        <f aca="false">MAX(F12+IF($A13=G$4,1,-1),G12-1,F13-1)</f>
        <v>-3</v>
      </c>
      <c r="H13" s="2" t="n">
        <f aca="false">MAX(G12+IF($A13=H$4,1,-1),H12-1,G13-1)</f>
        <v>-3</v>
      </c>
      <c r="I13" s="2" t="n">
        <f aca="false">MAX(H12+IF($A13=I$4,1,-1),I12-1,H13-1)</f>
        <v>-3</v>
      </c>
      <c r="J13" s="2" t="n">
        <f aca="false">MAX(I12+IF($A13=J$4,1,-1),J12-1,I13-1)</f>
        <v>-3</v>
      </c>
      <c r="K13" s="2" t="n">
        <f aca="false">MAX(J12+IF($A13=K$4,1,-1),K12-1,J13-1)</f>
        <v>-3</v>
      </c>
      <c r="L13" s="2" t="n">
        <f aca="false">MAX(K12+IF($A13=L$4,1,-1),L12-1,K13-1)</f>
        <v>-4</v>
      </c>
      <c r="M13" s="2" t="n">
        <f aca="false">MAX(L12+IF($A13=M$4,1,-1),M12-1,L13-1)</f>
        <v>-5</v>
      </c>
      <c r="N13" s="2" t="n">
        <f aca="false">MAX(M12+IF($A13=N$4,1,-1),N12-1,M13-1)</f>
        <v>-4</v>
      </c>
      <c r="O13" s="2" t="n">
        <f aca="false">MAX(N12+IF($A13=O$4,1,-1),O12-1,N13-1)</f>
        <v>-5</v>
      </c>
      <c r="P13" s="2" t="n">
        <f aca="false">MAX(O12+IF($A13=P$4,1,-1),P12-1,O13-1)</f>
        <v>-6</v>
      </c>
      <c r="Q13" s="2" t="n">
        <f aca="false">MAX(P12+IF($A13=Q$4,1,-1),Q12-1,P13-1)</f>
        <v>-7</v>
      </c>
      <c r="R13" s="2" t="n">
        <f aca="false">MAX(Q12+IF($A13=R$4,1,-1),R12-1,Q13-1)</f>
        <v>-8</v>
      </c>
      <c r="S13" s="2" t="n">
        <f aca="false">MAX(R12+IF($A13=S$4,1,-1),S12-1,R13-1)</f>
        <v>-9</v>
      </c>
      <c r="T13" s="2" t="n">
        <f aca="false">MAX(S12+IF($A13=T$4,1,-1),T12-1,S13-1)</f>
        <v>-10</v>
      </c>
      <c r="U13" s="2" t="n">
        <f aca="false">MAX(T12+IF($A13=U$4,1,-1),U12-1,T13-1)</f>
        <v>-11</v>
      </c>
      <c r="V13" s="2" t="n">
        <f aca="false">MAX(U12+IF($A13=V$4,1,-1),V12-1,U13-1)</f>
        <v>-12</v>
      </c>
      <c r="W13" s="2" t="n">
        <f aca="false">MAX(V12+IF($A13=W$4,1,-1),W12-1,V13-1)</f>
        <v>-13</v>
      </c>
      <c r="X13" s="2" t="n">
        <f aca="false">MAX(W12+IF($A13=X$4,1,-1),X12-1,W13-1)</f>
        <v>-14</v>
      </c>
      <c r="Y13" s="2" t="n">
        <f aca="false">MAX(X12+IF($A13=Y$4,1,-1),Y12-1,X13-1)</f>
        <v>-15</v>
      </c>
      <c r="Z13" s="2" t="n">
        <f aca="false">MAX(Y12+IF($A13=Z$4,1,-1),Z12-1,Y13-1)</f>
        <v>-16</v>
      </c>
      <c r="AA13" s="2" t="n">
        <f aca="false">MAX(Z12+IF($A13=AA$4,1,-1),AA12-1,Z13-1)</f>
        <v>-17</v>
      </c>
      <c r="AB13" s="2" t="n">
        <f aca="false">MAX(AA12+IF($A13=AB$4,1,-1),AB12-1,AA13-1)</f>
        <v>-18</v>
      </c>
      <c r="AC13" s="2" t="n">
        <f aca="false">MAX(AB12+IF($A13=AC$4,1,-1),AC12-1,AB13-1)</f>
        <v>-19</v>
      </c>
      <c r="AD13" s="2" t="n">
        <f aca="false">MAX(AC12+IF($A13=AD$4,1,-1),AD12-1,AC13-1)</f>
        <v>-20</v>
      </c>
      <c r="AE13" s="2" t="n">
        <f aca="false">MAX(AD12+IF($A13=AE$4,1,-1),AE12-1,AD13-1)</f>
        <v>-21</v>
      </c>
      <c r="AF13" s="2" t="n">
        <f aca="false">MAX(AE12+IF($A13=AF$4,1,-1),AF12-1,AE13-1)</f>
        <v>-22</v>
      </c>
      <c r="AG13" s="2" t="n">
        <f aca="false">MAX(AF12+IF($A13=AG$4,1,-1),AG12-1,AF13-1)</f>
        <v>-23</v>
      </c>
      <c r="AH13" s="2" t="n">
        <f aca="false">MAX(AG12+IF($A13=AH$4,1,-1),AH12-1,AG13-1)</f>
        <v>-24</v>
      </c>
      <c r="AI13" s="2" t="n">
        <f aca="false">MAX(AH12+IF($A13=AI$4,1,-1),AI12-1,AH13-1)</f>
        <v>-25</v>
      </c>
      <c r="AJ13" s="2" t="n">
        <f aca="false">MAX(AI12+IF($A13=AJ$4,1,-1),AJ12-1,AI13-1)</f>
        <v>-26</v>
      </c>
      <c r="AK13" s="2" t="n">
        <f aca="false">MAX(AJ12+IF($A13=AK$4,1,-1),AK12-1,AJ13-1)</f>
        <v>-27</v>
      </c>
      <c r="AL13" s="2" t="n">
        <f aca="false">MAX(AK12+IF($A13=AL$4,1,-1),AL12-1,AK13-1)</f>
        <v>-28</v>
      </c>
      <c r="AM13" s="2" t="n">
        <f aca="false">MAX(AL12+IF($A13=AM$4,1,-1),AM12-1,AL13-1)</f>
        <v>-29</v>
      </c>
      <c r="AN13" s="2" t="n">
        <f aca="false">MAX(AM12+IF($A13=AN$4,1,-1),AN12-1,AM13-1)</f>
        <v>-30</v>
      </c>
      <c r="AO13" s="2" t="n">
        <f aca="false">MAX(AN12+IF($A13=AO$4,1,-1),AO12-1,AN13-1)</f>
        <v>-31</v>
      </c>
      <c r="AP13" s="2" t="n">
        <f aca="false">MAX(AO12+IF($A13=AP$4,1,-1),AP12-1,AO13-1)</f>
        <v>-32</v>
      </c>
      <c r="AQ13" s="2" t="n">
        <f aca="false">MAX(AP12+IF($A13=AQ$4,1,-1),AQ12-1,AP13-1)</f>
        <v>-33</v>
      </c>
      <c r="AR13" s="2" t="n">
        <f aca="false">MAX(AQ12+IF($A13=AR$4,1,-1),AR12-1,AQ13-1)</f>
        <v>-34</v>
      </c>
      <c r="AS13" s="2" t="n">
        <f aca="false">MAX(AR12+IF($A13=AS$4,1,-1),AS12-1,AR13-1)</f>
        <v>-35</v>
      </c>
      <c r="AT13" s="2" t="n">
        <f aca="false">MAX(AS12+IF($A13=AT$4,1,-1),AT12-1,AS13-1)</f>
        <v>-36</v>
      </c>
      <c r="AU13" s="2" t="n">
        <f aca="false">MAX(AT12+IF($A13=AU$4,1,-1),AU12-1,AT13-1)</f>
        <v>-37</v>
      </c>
      <c r="AV13" s="2" t="n">
        <f aca="false">MAX(AU12+IF($A13=AV$4,1,-1),AV12-1,AU13-1)</f>
        <v>-38</v>
      </c>
      <c r="AW13" s="2" t="n">
        <f aca="false">MAX(AV12+IF($A13=AW$4,1,-1),AW12-1,AV13-1)</f>
        <v>-39</v>
      </c>
      <c r="AX13" s="2" t="n">
        <f aca="false">MAX(AW12+IF($A13=AX$4,1,-1),AX12-1,AW13-1)</f>
        <v>-40</v>
      </c>
      <c r="AY13" s="2" t="n">
        <f aca="false">MAX(AX12+IF($A13=AY$4,1,-1),AY12-1,AX13-1)</f>
        <v>-41</v>
      </c>
      <c r="AZ13" s="2" t="n">
        <f aca="false">MAX(AY12+IF($A13=AZ$4,1,-1),AZ12-1,AY13-1)</f>
        <v>-42</v>
      </c>
      <c r="BA13" s="2" t="n">
        <f aca="false">MAX(AZ12+IF($A13=BA$4,1,-1),BA12-1,AZ13-1)</f>
        <v>-43</v>
      </c>
      <c r="BB13" s="2" t="n">
        <f aca="false">MAX(BA12+IF($A13=BB$4,1,-1),BB12-1,BA13-1)</f>
        <v>-44</v>
      </c>
      <c r="BC13" s="2" t="n">
        <f aca="false">MAX(BB12+IF($A13=BC$4,1,-1),BC12-1,BB13-1)</f>
        <v>-45</v>
      </c>
      <c r="BD13" s="2" t="n">
        <f aca="false">MAX(BC12+IF($A13=BD$4,1,-1),BD12-1,BC13-1)</f>
        <v>-46</v>
      </c>
      <c r="BE13" s="2" t="n">
        <f aca="false">MAX(BD12+IF($A13=BE$4,1,-1),BE12-1,BD13-1)</f>
        <v>-47</v>
      </c>
      <c r="BF13" s="2" t="n">
        <f aca="false">MAX(BE12+IF($A13=BF$4,1,-1),BF12-1,BE13-1)</f>
        <v>-48</v>
      </c>
      <c r="BG13" s="2" t="n">
        <f aca="false">MAX(BF12+IF($A13=BG$4,1,-1),BG12-1,BF13-1)</f>
        <v>-49</v>
      </c>
      <c r="BH13" s="2" t="n">
        <f aca="false">MAX(BG12+IF($A13=BH$4,1,-1),BH12-1,BG13-1)</f>
        <v>-50</v>
      </c>
      <c r="BI13" s="2" t="n">
        <f aca="false">MAX(BH12+IF($A13=BI$4,1,-1),BI12-1,BH13-1)</f>
        <v>-49</v>
      </c>
      <c r="BJ13" s="2" t="n">
        <f aca="false">MAX(BI12+IF($A13=BJ$4,1,-1),BJ12-1,BI13-1)</f>
        <v>-50</v>
      </c>
      <c r="BK13" s="2" t="n">
        <f aca="false">MAX(BJ12+IF($A13=BK$4,1,-1),BK12-1,BJ13-1)</f>
        <v>-51</v>
      </c>
      <c r="BL13" s="2" t="n">
        <f aca="false">MAX(BK12+IF($A13=BL$4,1,-1),BL12-1,BK13-1)</f>
        <v>-52</v>
      </c>
      <c r="BM13" s="2" t="n">
        <f aca="false">MAX(BL12+IF($A13=BM$4,1,-1),BM12-1,BL13-1)</f>
        <v>-53</v>
      </c>
      <c r="BN13" s="2" t="n">
        <f aca="false">MAX(BM12+IF($A13=BN$4,1,-1),BN12-1,BM13-1)</f>
        <v>-54</v>
      </c>
      <c r="BO13" s="2" t="n">
        <f aca="false">MAX(BN12+IF($A13=BO$4,1,-1),BO12-1,BN13-1)</f>
        <v>-55</v>
      </c>
      <c r="BP13" s="2" t="n">
        <f aca="false">MAX(BO12+IF($A13=BP$4,1,-1),BP12-1,BO13-1)</f>
        <v>-56</v>
      </c>
      <c r="BQ13" s="2" t="n">
        <f aca="false">MAX(BP12+IF($A13=BQ$4,1,-1),BQ12-1,BP13-1)</f>
        <v>-57</v>
      </c>
      <c r="BR13" s="2" t="n">
        <f aca="false">MAX(BQ12+IF($A13=BR$4,1,-1),BR12-1,BQ13-1)</f>
        <v>-58</v>
      </c>
      <c r="BS13" s="2" t="n">
        <f aca="false">MAX(BR12+IF($A13=BS$4,1,-1),BS12-1,BR13-1)</f>
        <v>-59</v>
      </c>
      <c r="BT13" s="2" t="n">
        <f aca="false">MAX(BS12+IF($A13=BT$4,1,-1),BT12-1,BS13-1)</f>
        <v>-60</v>
      </c>
      <c r="BU13" s="2" t="n">
        <f aca="false">MAX(BT12+IF($A13=BU$4,1,-1),BU12-1,BT13-1)</f>
        <v>-61</v>
      </c>
      <c r="BV13" s="2" t="n">
        <f aca="false">MAX(BU12+IF($A13=BV$4,1,-1),BV12-1,BU13-1)</f>
        <v>-62</v>
      </c>
      <c r="BW13" s="2" t="n">
        <f aca="false">MAX(BV12+IF($A13=BW$4,1,-1),BW12-1,BV13-1)</f>
        <v>-63</v>
      </c>
      <c r="BX13" s="2" t="n">
        <f aca="false">MAX(BW12+IF($A13=BX$4,1,-1),BX12-1,BW13-1)</f>
        <v>-64</v>
      </c>
      <c r="BY13" s="2" t="n">
        <f aca="false">MAX(BX12+IF($A13=BY$4,1,-1),BY12-1,BX13-1)</f>
        <v>-65</v>
      </c>
      <c r="BZ13" s="2" t="n">
        <f aca="false">MAX(BY12+IF($A13=BZ$4,1,-1),BZ12-1,BY13-1)</f>
        <v>-66</v>
      </c>
      <c r="CA13" s="2" t="n">
        <f aca="false">MAX(BZ12+IF($A13=CA$4,1,-1),CA12-1,BZ13-1)</f>
        <v>-67</v>
      </c>
      <c r="CB13" s="2" t="n">
        <f aca="false">MAX(CA12+IF($A13=CB$4,1,-1),CB12-1,CA13-1)</f>
        <v>-68</v>
      </c>
      <c r="CC13" s="2" t="n">
        <f aca="false">MAX(CB12+IF($A13=CC$4,1,-1),CC12-1,CB13-1)</f>
        <v>-69</v>
      </c>
      <c r="CD13" s="2" t="n">
        <f aca="false">MAX(CC12+IF($A13=CD$4,1,-1),CD12-1,CC13-1)</f>
        <v>-70</v>
      </c>
      <c r="CE13" s="2" t="n">
        <f aca="false">MAX(CD12+IF($A13=CE$4,1,-1),CE12-1,CD13-1)</f>
        <v>-71</v>
      </c>
      <c r="CF13" s="2" t="n">
        <f aca="false">MAX(CE12+IF($A13=CF$4,1,-1),CF12-1,CE13-1)</f>
        <v>-72</v>
      </c>
      <c r="CG13" s="2" t="n">
        <f aca="false">MAX(CF12+IF($A13=CG$4,1,-1),CG12-1,CF13-1)</f>
        <v>-73</v>
      </c>
      <c r="CH13" s="2" t="n">
        <f aca="false">MAX(CG12+IF($A13=CH$4,1,-1),CH12-1,CG13-1)</f>
        <v>-74</v>
      </c>
      <c r="CI13" s="2" t="n">
        <f aca="false">MAX(CH12+IF($A13=CI$4,1,-1),CI12-1,CH13-1)</f>
        <v>-75</v>
      </c>
      <c r="CJ13" s="2" t="n">
        <f aca="false">MAX(CI12+IF($A13=CJ$4,1,-1),CJ12-1,CI13-1)</f>
        <v>-76</v>
      </c>
      <c r="CK13" s="2" t="n">
        <f aca="false">MAX(CJ12+IF($A13=CK$4,1,-1),CK12-1,CJ13-1)</f>
        <v>-77</v>
      </c>
      <c r="CL13" s="2" t="n">
        <f aca="false">MAX(CK12+IF($A13=CL$4,1,-1),CL12-1,CK13-1)</f>
        <v>-78</v>
      </c>
      <c r="CM13" s="2" t="n">
        <f aca="false">MAX(CL12+IF($A13=CM$4,1,-1),CM12-1,CL13-1)</f>
        <v>-79</v>
      </c>
      <c r="CN13" s="2" t="n">
        <f aca="false">MAX(CM12+IF($A13=CN$4,1,-1),CN12-1,CM13-1)</f>
        <v>-80</v>
      </c>
      <c r="CO13" s="2" t="n">
        <f aca="false">MAX(CN12+IF($A13=CO$4,1,-1),CO12-1,CN13-1)</f>
        <v>-81</v>
      </c>
      <c r="CP13" s="2" t="n">
        <f aca="false">MAX(CO12+IF($A13=CP$4,1,-1),CP12-1,CO13-1)</f>
        <v>-82</v>
      </c>
      <c r="CQ13" s="2" t="n">
        <f aca="false">MAX(CP12+IF($A13=CQ$4,1,-1),CQ12-1,CP13-1)</f>
        <v>-83</v>
      </c>
    </row>
    <row r="14" customFormat="false" ht="15" hidden="false" customHeight="false" outlineLevel="0" collapsed="false">
      <c r="A14" s="4" t="s">
        <v>149</v>
      </c>
      <c r="B14" s="12" t="n">
        <v>-9</v>
      </c>
      <c r="C14" s="2" t="n">
        <f aca="false">MAX(B13+IF($A14=C$4,1,-1),C13-1,B14-1)</f>
        <v>-9</v>
      </c>
      <c r="D14" s="2" t="n">
        <f aca="false">MAX(C13+IF($A14=D$4,1,-1),D13-1,C14-1)</f>
        <v>-8</v>
      </c>
      <c r="E14" s="2" t="n">
        <f aca="false">MAX(D13+IF($A14=E$4,1,-1),E13-1,D14-1)</f>
        <v>-6</v>
      </c>
      <c r="F14" s="2" t="n">
        <f aca="false">MAX(E13+IF($A14=F$4,1,-1),F13-1,E14-1)</f>
        <v>-4</v>
      </c>
      <c r="G14" s="2" t="n">
        <f aca="false">MAX(F13+IF($A14=G$4,1,-1),G13-1,F14-1)</f>
        <v>-4</v>
      </c>
      <c r="H14" s="2" t="n">
        <f aca="false">MAX(G13+IF($A14=H$4,1,-1),H13-1,G14-1)</f>
        <v>-4</v>
      </c>
      <c r="I14" s="2" t="n">
        <f aca="false">MAX(H13+IF($A14=I$4,1,-1),I13-1,H14-1)</f>
        <v>-4</v>
      </c>
      <c r="J14" s="2" t="n">
        <f aca="false">MAX(I13+IF($A14=J$4,1,-1),J13-1,I14-1)</f>
        <v>-4</v>
      </c>
      <c r="K14" s="2" t="n">
        <f aca="false">MAX(J13+IF($A14=K$4,1,-1),K13-1,J14-1)</f>
        <v>-4</v>
      </c>
      <c r="L14" s="2" t="n">
        <f aca="false">MAX(K13+IF($A14=L$4,1,-1),L13-1,K14-1)</f>
        <v>-4</v>
      </c>
      <c r="M14" s="2" t="n">
        <f aca="false">MAX(L13+IF($A14=M$4,1,-1),M13-1,L14-1)</f>
        <v>-5</v>
      </c>
      <c r="N14" s="2" t="n">
        <f aca="false">MAX(M13+IF($A14=N$4,1,-1),N13-1,M14-1)</f>
        <v>-5</v>
      </c>
      <c r="O14" s="2" t="n">
        <f aca="false">MAX(N13+IF($A14=O$4,1,-1),O13-1,N14-1)</f>
        <v>-5</v>
      </c>
      <c r="P14" s="2" t="n">
        <f aca="false">MAX(O13+IF($A14=P$4,1,-1),P13-1,O14-1)</f>
        <v>-6</v>
      </c>
      <c r="Q14" s="2" t="n">
        <f aca="false">MAX(P13+IF($A14=Q$4,1,-1),Q13-1,P14-1)</f>
        <v>-7</v>
      </c>
      <c r="R14" s="2" t="n">
        <f aca="false">MAX(Q13+IF($A14=R$4,1,-1),R13-1,Q14-1)</f>
        <v>-8</v>
      </c>
      <c r="S14" s="2" t="n">
        <f aca="false">MAX(R13+IF($A14=S$4,1,-1),S13-1,R14-1)</f>
        <v>-9</v>
      </c>
      <c r="T14" s="2" t="n">
        <f aca="false">MAX(S13+IF($A14=T$4,1,-1),T13-1,S14-1)</f>
        <v>-10</v>
      </c>
      <c r="U14" s="2" t="n">
        <f aca="false">MAX(T13+IF($A14=U$4,1,-1),U13-1,T14-1)</f>
        <v>-11</v>
      </c>
      <c r="V14" s="2" t="n">
        <f aca="false">MAX(U13+IF($A14=V$4,1,-1),V13-1,U14-1)</f>
        <v>-12</v>
      </c>
      <c r="W14" s="2" t="n">
        <f aca="false">MAX(V13+IF($A14=W$4,1,-1),W13-1,V14-1)</f>
        <v>-13</v>
      </c>
      <c r="X14" s="2" t="n">
        <f aca="false">MAX(W13+IF($A14=X$4,1,-1),X13-1,W14-1)</f>
        <v>-14</v>
      </c>
      <c r="Y14" s="2" t="n">
        <f aca="false">MAX(X13+IF($A14=Y$4,1,-1),Y13-1,X14-1)</f>
        <v>-15</v>
      </c>
      <c r="Z14" s="2" t="n">
        <f aca="false">MAX(Y13+IF($A14=Z$4,1,-1),Z13-1,Y14-1)</f>
        <v>-16</v>
      </c>
      <c r="AA14" s="2" t="n">
        <f aca="false">MAX(Z13+IF($A14=AA$4,1,-1),AA13-1,Z14-1)</f>
        <v>-17</v>
      </c>
      <c r="AB14" s="2" t="n">
        <f aca="false">MAX(AA13+IF($A14=AB$4,1,-1),AB13-1,AA14-1)</f>
        <v>-18</v>
      </c>
      <c r="AC14" s="2" t="n">
        <f aca="false">MAX(AB13+IF($A14=AC$4,1,-1),AC13-1,AB14-1)</f>
        <v>-19</v>
      </c>
      <c r="AD14" s="2" t="n">
        <f aca="false">MAX(AC13+IF($A14=AD$4,1,-1),AD13-1,AC14-1)</f>
        <v>-20</v>
      </c>
      <c r="AE14" s="2" t="n">
        <f aca="false">MAX(AD13+IF($A14=AE$4,1,-1),AE13-1,AD14-1)</f>
        <v>-21</v>
      </c>
      <c r="AF14" s="2" t="n">
        <f aca="false">MAX(AE13+IF($A14=AF$4,1,-1),AF13-1,AE14-1)</f>
        <v>-22</v>
      </c>
      <c r="AG14" s="2" t="n">
        <f aca="false">MAX(AF13+IF($A14=AG$4,1,-1),AG13-1,AF14-1)</f>
        <v>-23</v>
      </c>
      <c r="AH14" s="2" t="n">
        <f aca="false">MAX(AG13+IF($A14=AH$4,1,-1),AH13-1,AG14-1)</f>
        <v>-24</v>
      </c>
      <c r="AI14" s="2" t="n">
        <f aca="false">MAX(AH13+IF($A14=AI$4,1,-1),AI13-1,AH14-1)</f>
        <v>-25</v>
      </c>
      <c r="AJ14" s="2" t="n">
        <f aca="false">MAX(AI13+IF($A14=AJ$4,1,-1),AJ13-1,AI14-1)</f>
        <v>-26</v>
      </c>
      <c r="AK14" s="2" t="n">
        <f aca="false">MAX(AJ13+IF($A14=AK$4,1,-1),AK13-1,AJ14-1)</f>
        <v>-27</v>
      </c>
      <c r="AL14" s="2" t="n">
        <f aca="false">MAX(AK13+IF($A14=AL$4,1,-1),AL13-1,AK14-1)</f>
        <v>-28</v>
      </c>
      <c r="AM14" s="2" t="n">
        <f aca="false">MAX(AL13+IF($A14=AM$4,1,-1),AM13-1,AL14-1)</f>
        <v>-29</v>
      </c>
      <c r="AN14" s="2" t="n">
        <f aca="false">MAX(AM13+IF($A14=AN$4,1,-1),AN13-1,AM14-1)</f>
        <v>-30</v>
      </c>
      <c r="AO14" s="2" t="n">
        <f aca="false">MAX(AN13+IF($A14=AO$4,1,-1),AO13-1,AN14-1)</f>
        <v>-31</v>
      </c>
      <c r="AP14" s="2" t="n">
        <f aca="false">MAX(AO13+IF($A14=AP$4,1,-1),AP13-1,AO14-1)</f>
        <v>-32</v>
      </c>
      <c r="AQ14" s="2" t="n">
        <f aca="false">MAX(AP13+IF($A14=AQ$4,1,-1),AQ13-1,AP14-1)</f>
        <v>-33</v>
      </c>
      <c r="AR14" s="2" t="n">
        <f aca="false">MAX(AQ13+IF($A14=AR$4,1,-1),AR13-1,AQ14-1)</f>
        <v>-34</v>
      </c>
      <c r="AS14" s="2" t="n">
        <f aca="false">MAX(AR13+IF($A14=AS$4,1,-1),AS13-1,AR14-1)</f>
        <v>-35</v>
      </c>
      <c r="AT14" s="2" t="n">
        <f aca="false">MAX(AS13+IF($A14=AT$4,1,-1),AT13-1,AS14-1)</f>
        <v>-36</v>
      </c>
      <c r="AU14" s="2" t="n">
        <f aca="false">MAX(AT13+IF($A14=AU$4,1,-1),AU13-1,AT14-1)</f>
        <v>-37</v>
      </c>
      <c r="AV14" s="2" t="n">
        <f aca="false">MAX(AU13+IF($A14=AV$4,1,-1),AV13-1,AU14-1)</f>
        <v>-38</v>
      </c>
      <c r="AW14" s="2" t="n">
        <f aca="false">MAX(AV13+IF($A14=AW$4,1,-1),AW13-1,AV14-1)</f>
        <v>-39</v>
      </c>
      <c r="AX14" s="2" t="n">
        <f aca="false">MAX(AW13+IF($A14=AX$4,1,-1),AX13-1,AW14-1)</f>
        <v>-40</v>
      </c>
      <c r="AY14" s="2" t="n">
        <f aca="false">MAX(AX13+IF($A14=AY$4,1,-1),AY13-1,AX14-1)</f>
        <v>-41</v>
      </c>
      <c r="AZ14" s="2" t="n">
        <f aca="false">MAX(AY13+IF($A14=AZ$4,1,-1),AZ13-1,AY14-1)</f>
        <v>-42</v>
      </c>
      <c r="BA14" s="2" t="n">
        <f aca="false">MAX(AZ13+IF($A14=BA$4,1,-1),BA13-1,AZ14-1)</f>
        <v>-43</v>
      </c>
      <c r="BB14" s="2" t="n">
        <f aca="false">MAX(BA13+IF($A14=BB$4,1,-1),BB13-1,BA14-1)</f>
        <v>-44</v>
      </c>
      <c r="BC14" s="2" t="n">
        <f aca="false">MAX(BB13+IF($A14=BC$4,1,-1),BC13-1,BB14-1)</f>
        <v>-45</v>
      </c>
      <c r="BD14" s="2" t="n">
        <f aca="false">MAX(BC13+IF($A14=BD$4,1,-1),BD13-1,BC14-1)</f>
        <v>-46</v>
      </c>
      <c r="BE14" s="2" t="n">
        <f aca="false">MAX(BD13+IF($A14=BE$4,1,-1),BE13-1,BD14-1)</f>
        <v>-47</v>
      </c>
      <c r="BF14" s="2" t="n">
        <f aca="false">MAX(BE13+IF($A14=BF$4,1,-1),BF13-1,BE14-1)</f>
        <v>-48</v>
      </c>
      <c r="BG14" s="2" t="n">
        <f aca="false">MAX(BF13+IF($A14=BG$4,1,-1),BG13-1,BF14-1)</f>
        <v>-49</v>
      </c>
      <c r="BH14" s="2" t="n">
        <f aca="false">MAX(BG13+IF($A14=BH$4,1,-1),BH13-1,BG14-1)</f>
        <v>-50</v>
      </c>
      <c r="BI14" s="2" t="n">
        <f aca="false">MAX(BH13+IF($A14=BI$4,1,-1),BI13-1,BH14-1)</f>
        <v>-50</v>
      </c>
      <c r="BJ14" s="2" t="n">
        <f aca="false">MAX(BI13+IF($A14=BJ$4,1,-1),BJ13-1,BI14-1)</f>
        <v>-50</v>
      </c>
      <c r="BK14" s="2" t="n">
        <f aca="false">MAX(BJ13+IF($A14=BK$4,1,-1),BK13-1,BJ14-1)</f>
        <v>-51</v>
      </c>
      <c r="BL14" s="2" t="n">
        <f aca="false">MAX(BK13+IF($A14=BL$4,1,-1),BL13-1,BK14-1)</f>
        <v>-52</v>
      </c>
      <c r="BM14" s="2" t="n">
        <f aca="false">MAX(BL13+IF($A14=BM$4,1,-1),BM13-1,BL14-1)</f>
        <v>-53</v>
      </c>
      <c r="BN14" s="2" t="n">
        <f aca="false">MAX(BM13+IF($A14=BN$4,1,-1),BN13-1,BM14-1)</f>
        <v>-54</v>
      </c>
      <c r="BO14" s="2" t="n">
        <f aca="false">MAX(BN13+IF($A14=BO$4,1,-1),BO13-1,BN14-1)</f>
        <v>-55</v>
      </c>
      <c r="BP14" s="2" t="n">
        <f aca="false">MAX(BO13+IF($A14=BP$4,1,-1),BP13-1,BO14-1)</f>
        <v>-56</v>
      </c>
      <c r="BQ14" s="2" t="n">
        <f aca="false">MAX(BP13+IF($A14=BQ$4,1,-1),BQ13-1,BP14-1)</f>
        <v>-57</v>
      </c>
      <c r="BR14" s="2" t="n">
        <f aca="false">MAX(BQ13+IF($A14=BR$4,1,-1),BR13-1,BQ14-1)</f>
        <v>-58</v>
      </c>
      <c r="BS14" s="2" t="n">
        <f aca="false">MAX(BR13+IF($A14=BS$4,1,-1),BS13-1,BR14-1)</f>
        <v>-59</v>
      </c>
      <c r="BT14" s="2" t="n">
        <f aca="false">MAX(BS13+IF($A14=BT$4,1,-1),BT13-1,BS14-1)</f>
        <v>-60</v>
      </c>
      <c r="BU14" s="2" t="n">
        <f aca="false">MAX(BT13+IF($A14=BU$4,1,-1),BU13-1,BT14-1)</f>
        <v>-61</v>
      </c>
      <c r="BV14" s="2" t="n">
        <f aca="false">MAX(BU13+IF($A14=BV$4,1,-1),BV13-1,BU14-1)</f>
        <v>-62</v>
      </c>
      <c r="BW14" s="2" t="n">
        <f aca="false">MAX(BV13+IF($A14=BW$4,1,-1),BW13-1,BV14-1)</f>
        <v>-63</v>
      </c>
      <c r="BX14" s="2" t="n">
        <f aca="false">MAX(BW13+IF($A14=BX$4,1,-1),BX13-1,BW14-1)</f>
        <v>-64</v>
      </c>
      <c r="BY14" s="2" t="n">
        <f aca="false">MAX(BX13+IF($A14=BY$4,1,-1),BY13-1,BX14-1)</f>
        <v>-65</v>
      </c>
      <c r="BZ14" s="2" t="n">
        <f aca="false">MAX(BY13+IF($A14=BZ$4,1,-1),BZ13-1,BY14-1)</f>
        <v>-66</v>
      </c>
      <c r="CA14" s="2" t="n">
        <f aca="false">MAX(BZ13+IF($A14=CA$4,1,-1),CA13-1,BZ14-1)</f>
        <v>-67</v>
      </c>
      <c r="CB14" s="2" t="n">
        <f aca="false">MAX(CA13+IF($A14=CB$4,1,-1),CB13-1,CA14-1)</f>
        <v>-68</v>
      </c>
      <c r="CC14" s="2" t="n">
        <f aca="false">MAX(CB13+IF($A14=CC$4,1,-1),CC13-1,CB14-1)</f>
        <v>-69</v>
      </c>
      <c r="CD14" s="2" t="n">
        <f aca="false">MAX(CC13+IF($A14=CD$4,1,-1),CD13-1,CC14-1)</f>
        <v>-70</v>
      </c>
      <c r="CE14" s="2" t="n">
        <f aca="false">MAX(CD13+IF($A14=CE$4,1,-1),CE13-1,CD14-1)</f>
        <v>-71</v>
      </c>
      <c r="CF14" s="2" t="n">
        <f aca="false">MAX(CE13+IF($A14=CF$4,1,-1),CF13-1,CE14-1)</f>
        <v>-72</v>
      </c>
      <c r="CG14" s="2" t="n">
        <f aca="false">MAX(CF13+IF($A14=CG$4,1,-1),CG13-1,CF14-1)</f>
        <v>-73</v>
      </c>
      <c r="CH14" s="2" t="n">
        <f aca="false">MAX(CG13+IF($A14=CH$4,1,-1),CH13-1,CG14-1)</f>
        <v>-74</v>
      </c>
      <c r="CI14" s="2" t="n">
        <f aca="false">MAX(CH13+IF($A14=CI$4,1,-1),CI13-1,CH14-1)</f>
        <v>-75</v>
      </c>
      <c r="CJ14" s="2" t="n">
        <f aca="false">MAX(CI13+IF($A14=CJ$4,1,-1),CJ13-1,CI14-1)</f>
        <v>-76</v>
      </c>
      <c r="CK14" s="2" t="n">
        <f aca="false">MAX(CJ13+IF($A14=CK$4,1,-1),CK13-1,CJ14-1)</f>
        <v>-77</v>
      </c>
      <c r="CL14" s="2" t="n">
        <f aca="false">MAX(CK13+IF($A14=CL$4,1,-1),CL13-1,CK14-1)</f>
        <v>-78</v>
      </c>
      <c r="CM14" s="2" t="n">
        <f aca="false">MAX(CL13+IF($A14=CM$4,1,-1),CM13-1,CL14-1)</f>
        <v>-79</v>
      </c>
      <c r="CN14" s="2" t="n">
        <f aca="false">MAX(CM13+IF($A14=CN$4,1,-1),CN13-1,CM14-1)</f>
        <v>-80</v>
      </c>
      <c r="CO14" s="2" t="n">
        <f aca="false">MAX(CN13+IF($A14=CO$4,1,-1),CO13-1,CN14-1)</f>
        <v>-81</v>
      </c>
      <c r="CP14" s="2" t="n">
        <f aca="false">MAX(CO13+IF($A14=CP$4,1,-1),CP13-1,CO14-1)</f>
        <v>-82</v>
      </c>
      <c r="CQ14" s="2" t="n">
        <f aca="false">MAX(CP13+IF($A14=CQ$4,1,-1),CQ13-1,CP14-1)</f>
        <v>-83</v>
      </c>
    </row>
    <row r="15" customFormat="false" ht="15" hidden="false" customHeight="false" outlineLevel="0" collapsed="false">
      <c r="A15" s="4" t="s">
        <v>150</v>
      </c>
      <c r="B15" s="12" t="n">
        <v>-10</v>
      </c>
      <c r="C15" s="2" t="n">
        <f aca="false">MAX(B14+IF($A15=C$4,1,-1),C14-1,B15-1)</f>
        <v>-10</v>
      </c>
      <c r="D15" s="2" t="n">
        <f aca="false">MAX(C14+IF($A15=D$4,1,-1),D14-1,C15-1)</f>
        <v>-9</v>
      </c>
      <c r="E15" s="2" t="n">
        <f aca="false">MAX(D14+IF($A15=E$4,1,-1),E14-1,D15-1)</f>
        <v>-7</v>
      </c>
      <c r="F15" s="2" t="n">
        <f aca="false">MAX(E14+IF($A15=F$4,1,-1),F14-1,E15-1)</f>
        <v>-5</v>
      </c>
      <c r="G15" s="2" t="n">
        <f aca="false">MAX(F14+IF($A15=G$4,1,-1),G14-1,F15-1)</f>
        <v>-5</v>
      </c>
      <c r="H15" s="2" t="n">
        <f aca="false">MAX(G14+IF($A15=H$4,1,-1),H14-1,G15-1)</f>
        <v>-5</v>
      </c>
      <c r="I15" s="2" t="n">
        <f aca="false">MAX(H14+IF($A15=I$4,1,-1),I14-1,H15-1)</f>
        <v>-5</v>
      </c>
      <c r="J15" s="2" t="n">
        <f aca="false">MAX(I14+IF($A15=J$4,1,-1),J14-1,I15-1)</f>
        <v>-5</v>
      </c>
      <c r="K15" s="2" t="n">
        <f aca="false">MAX(J14+IF($A15=K$4,1,-1),K14-1,J15-1)</f>
        <v>-5</v>
      </c>
      <c r="L15" s="2" t="n">
        <f aca="false">MAX(K14+IF($A15=L$4,1,-1),L14-1,K15-1)</f>
        <v>-5</v>
      </c>
      <c r="M15" s="2" t="n">
        <f aca="false">MAX(L14+IF($A15=M$4,1,-1),M14-1,L15-1)</f>
        <v>-5</v>
      </c>
      <c r="N15" s="2" t="n">
        <f aca="false">MAX(M14+IF($A15=N$4,1,-1),N14-1,M15-1)</f>
        <v>-6</v>
      </c>
      <c r="O15" s="2" t="n">
        <f aca="false">MAX(N14+IF($A15=O$4,1,-1),O14-1,N15-1)</f>
        <v>-6</v>
      </c>
      <c r="P15" s="2" t="n">
        <f aca="false">MAX(O14+IF($A15=P$4,1,-1),P14-1,O15-1)</f>
        <v>-6</v>
      </c>
      <c r="Q15" s="2" t="n">
        <f aca="false">MAX(P14+IF($A15=Q$4,1,-1),Q14-1,P15-1)</f>
        <v>-7</v>
      </c>
      <c r="R15" s="2" t="n">
        <f aca="false">MAX(Q14+IF($A15=R$4,1,-1),R14-1,Q15-1)</f>
        <v>-8</v>
      </c>
      <c r="S15" s="2" t="n">
        <f aca="false">MAX(R14+IF($A15=S$4,1,-1),S14-1,R15-1)</f>
        <v>-9</v>
      </c>
      <c r="T15" s="2" t="n">
        <f aca="false">MAX(S14+IF($A15=T$4,1,-1),T14-1,S15-1)</f>
        <v>-10</v>
      </c>
      <c r="U15" s="2" t="n">
        <f aca="false">MAX(T14+IF($A15=U$4,1,-1),U14-1,T15-1)</f>
        <v>-11</v>
      </c>
      <c r="V15" s="2" t="n">
        <f aca="false">MAX(U14+IF($A15=V$4,1,-1),V14-1,U15-1)</f>
        <v>-12</v>
      </c>
      <c r="W15" s="2" t="n">
        <f aca="false">MAX(V14+IF($A15=W$4,1,-1),W14-1,V15-1)</f>
        <v>-13</v>
      </c>
      <c r="X15" s="2" t="n">
        <f aca="false">MAX(W14+IF($A15=X$4,1,-1),X14-1,W15-1)</f>
        <v>-14</v>
      </c>
      <c r="Y15" s="2" t="n">
        <f aca="false">MAX(X14+IF($A15=Y$4,1,-1),Y14-1,X15-1)</f>
        <v>-15</v>
      </c>
      <c r="Z15" s="2" t="n">
        <f aca="false">MAX(Y14+IF($A15=Z$4,1,-1),Z14-1,Y15-1)</f>
        <v>-16</v>
      </c>
      <c r="AA15" s="2" t="n">
        <f aca="false">MAX(Z14+IF($A15=AA$4,1,-1),AA14-1,Z15-1)</f>
        <v>-17</v>
      </c>
      <c r="AB15" s="2" t="n">
        <f aca="false">MAX(AA14+IF($A15=AB$4,1,-1),AB14-1,AA15-1)</f>
        <v>-18</v>
      </c>
      <c r="AC15" s="2" t="n">
        <f aca="false">MAX(AB14+IF($A15=AC$4,1,-1),AC14-1,AB15-1)</f>
        <v>-19</v>
      </c>
      <c r="AD15" s="2" t="n">
        <f aca="false">MAX(AC14+IF($A15=AD$4,1,-1),AD14-1,AC15-1)</f>
        <v>-20</v>
      </c>
      <c r="AE15" s="2" t="n">
        <f aca="false">MAX(AD14+IF($A15=AE$4,1,-1),AE14-1,AD15-1)</f>
        <v>-21</v>
      </c>
      <c r="AF15" s="2" t="n">
        <f aca="false">MAX(AE14+IF($A15=AF$4,1,-1),AF14-1,AE15-1)</f>
        <v>-22</v>
      </c>
      <c r="AG15" s="2" t="n">
        <f aca="false">MAX(AF14+IF($A15=AG$4,1,-1),AG14-1,AF15-1)</f>
        <v>-23</v>
      </c>
      <c r="AH15" s="2" t="n">
        <f aca="false">MAX(AG14+IF($A15=AH$4,1,-1),AH14-1,AG15-1)</f>
        <v>-24</v>
      </c>
      <c r="AI15" s="2" t="n">
        <f aca="false">MAX(AH14+IF($A15=AI$4,1,-1),AI14-1,AH15-1)</f>
        <v>-25</v>
      </c>
      <c r="AJ15" s="2" t="n">
        <f aca="false">MAX(AI14+IF($A15=AJ$4,1,-1),AJ14-1,AI15-1)</f>
        <v>-26</v>
      </c>
      <c r="AK15" s="2" t="n">
        <f aca="false">MAX(AJ14+IF($A15=AK$4,1,-1),AK14-1,AJ15-1)</f>
        <v>-27</v>
      </c>
      <c r="AL15" s="2" t="n">
        <f aca="false">MAX(AK14+IF($A15=AL$4,1,-1),AL14-1,AK15-1)</f>
        <v>-28</v>
      </c>
      <c r="AM15" s="2" t="n">
        <f aca="false">MAX(AL14+IF($A15=AM$4,1,-1),AM14-1,AL15-1)</f>
        <v>-29</v>
      </c>
      <c r="AN15" s="2" t="n">
        <f aca="false">MAX(AM14+IF($A15=AN$4,1,-1),AN14-1,AM15-1)</f>
        <v>-30</v>
      </c>
      <c r="AO15" s="2" t="n">
        <f aca="false">MAX(AN14+IF($A15=AO$4,1,-1),AO14-1,AN15-1)</f>
        <v>-31</v>
      </c>
      <c r="AP15" s="2" t="n">
        <f aca="false">MAX(AO14+IF($A15=AP$4,1,-1),AP14-1,AO15-1)</f>
        <v>-32</v>
      </c>
      <c r="AQ15" s="2" t="n">
        <f aca="false">MAX(AP14+IF($A15=AQ$4,1,-1),AQ14-1,AP15-1)</f>
        <v>-33</v>
      </c>
      <c r="AR15" s="2" t="n">
        <f aca="false">MAX(AQ14+IF($A15=AR$4,1,-1),AR14-1,AQ15-1)</f>
        <v>-34</v>
      </c>
      <c r="AS15" s="2" t="n">
        <f aca="false">MAX(AR14+IF($A15=AS$4,1,-1),AS14-1,AR15-1)</f>
        <v>-35</v>
      </c>
      <c r="AT15" s="2" t="n">
        <f aca="false">MAX(AS14+IF($A15=AT$4,1,-1),AT14-1,AS15-1)</f>
        <v>-36</v>
      </c>
      <c r="AU15" s="2" t="n">
        <f aca="false">MAX(AT14+IF($A15=AU$4,1,-1),AU14-1,AT15-1)</f>
        <v>-37</v>
      </c>
      <c r="AV15" s="2" t="n">
        <f aca="false">MAX(AU14+IF($A15=AV$4,1,-1),AV14-1,AU15-1)</f>
        <v>-38</v>
      </c>
      <c r="AW15" s="2" t="n">
        <f aca="false">MAX(AV14+IF($A15=AW$4,1,-1),AW14-1,AV15-1)</f>
        <v>-39</v>
      </c>
      <c r="AX15" s="2" t="n">
        <f aca="false">MAX(AW14+IF($A15=AX$4,1,-1),AX14-1,AW15-1)</f>
        <v>-40</v>
      </c>
      <c r="AY15" s="2" t="n">
        <f aca="false">MAX(AX14+IF($A15=AY$4,1,-1),AY14-1,AX15-1)</f>
        <v>-41</v>
      </c>
      <c r="AZ15" s="2" t="n">
        <f aca="false">MAX(AY14+IF($A15=AZ$4,1,-1),AZ14-1,AY15-1)</f>
        <v>-42</v>
      </c>
      <c r="BA15" s="2" t="n">
        <f aca="false">MAX(AZ14+IF($A15=BA$4,1,-1),BA14-1,AZ15-1)</f>
        <v>-43</v>
      </c>
      <c r="BB15" s="2" t="n">
        <f aca="false">MAX(BA14+IF($A15=BB$4,1,-1),BB14-1,BA15-1)</f>
        <v>-44</v>
      </c>
      <c r="BC15" s="2" t="n">
        <f aca="false">MAX(BB14+IF($A15=BC$4,1,-1),BC14-1,BB15-1)</f>
        <v>-45</v>
      </c>
      <c r="BD15" s="2" t="n">
        <f aca="false">MAX(BC14+IF($A15=BD$4,1,-1),BD14-1,BC15-1)</f>
        <v>-46</v>
      </c>
      <c r="BE15" s="2" t="n">
        <f aca="false">MAX(BD14+IF($A15=BE$4,1,-1),BE14-1,BD15-1)</f>
        <v>-47</v>
      </c>
      <c r="BF15" s="2" t="n">
        <f aca="false">MAX(BE14+IF($A15=BF$4,1,-1),BF14-1,BE15-1)</f>
        <v>-48</v>
      </c>
      <c r="BG15" s="2" t="n">
        <f aca="false">MAX(BF14+IF($A15=BG$4,1,-1),BG14-1,BF15-1)</f>
        <v>-49</v>
      </c>
      <c r="BH15" s="2" t="n">
        <f aca="false">MAX(BG14+IF($A15=BH$4,1,-1),BH14-1,BG15-1)</f>
        <v>-50</v>
      </c>
      <c r="BI15" s="2" t="n">
        <f aca="false">MAX(BH14+IF($A15=BI$4,1,-1),BI14-1,BH15-1)</f>
        <v>-51</v>
      </c>
      <c r="BJ15" s="2" t="n">
        <f aca="false">MAX(BI14+IF($A15=BJ$4,1,-1),BJ14-1,BI15-1)</f>
        <v>-51</v>
      </c>
      <c r="BK15" s="2" t="n">
        <f aca="false">MAX(BJ14+IF($A15=BK$4,1,-1),BK14-1,BJ15-1)</f>
        <v>-51</v>
      </c>
      <c r="BL15" s="2" t="n">
        <f aca="false">MAX(BK14+IF($A15=BL$4,1,-1),BL14-1,BK15-1)</f>
        <v>-52</v>
      </c>
      <c r="BM15" s="2" t="n">
        <f aca="false">MAX(BL14+IF($A15=BM$4,1,-1),BM14-1,BL15-1)</f>
        <v>-53</v>
      </c>
      <c r="BN15" s="2" t="n">
        <f aca="false">MAX(BM14+IF($A15=BN$4,1,-1),BN14-1,BM15-1)</f>
        <v>-54</v>
      </c>
      <c r="BO15" s="2" t="n">
        <f aca="false">MAX(BN14+IF($A15=BO$4,1,-1),BO14-1,BN15-1)</f>
        <v>-55</v>
      </c>
      <c r="BP15" s="2" t="n">
        <f aca="false">MAX(BO14+IF($A15=BP$4,1,-1),BP14-1,BO15-1)</f>
        <v>-56</v>
      </c>
      <c r="BQ15" s="2" t="n">
        <f aca="false">MAX(BP14+IF($A15=BQ$4,1,-1),BQ14-1,BP15-1)</f>
        <v>-57</v>
      </c>
      <c r="BR15" s="2" t="n">
        <f aca="false">MAX(BQ14+IF($A15=BR$4,1,-1),BR14-1,BQ15-1)</f>
        <v>-58</v>
      </c>
      <c r="BS15" s="2" t="n">
        <f aca="false">MAX(BR14+IF($A15=BS$4,1,-1),BS14-1,BR15-1)</f>
        <v>-59</v>
      </c>
      <c r="BT15" s="2" t="n">
        <f aca="false">MAX(BS14+IF($A15=BT$4,1,-1),BT14-1,BS15-1)</f>
        <v>-60</v>
      </c>
      <c r="BU15" s="2" t="n">
        <f aca="false">MAX(BT14+IF($A15=BU$4,1,-1),BU14-1,BT15-1)</f>
        <v>-61</v>
      </c>
      <c r="BV15" s="2" t="n">
        <f aca="false">MAX(BU14+IF($A15=BV$4,1,-1),BV14-1,BU15-1)</f>
        <v>-62</v>
      </c>
      <c r="BW15" s="2" t="n">
        <f aca="false">MAX(BV14+IF($A15=BW$4,1,-1),BW14-1,BV15-1)</f>
        <v>-63</v>
      </c>
      <c r="BX15" s="2" t="n">
        <f aca="false">MAX(BW14+IF($A15=BX$4,1,-1),BX14-1,BW15-1)</f>
        <v>-64</v>
      </c>
      <c r="BY15" s="2" t="n">
        <f aca="false">MAX(BX14+IF($A15=BY$4,1,-1),BY14-1,BX15-1)</f>
        <v>-65</v>
      </c>
      <c r="BZ15" s="2" t="n">
        <f aca="false">MAX(BY14+IF($A15=BZ$4,1,-1),BZ14-1,BY15-1)</f>
        <v>-66</v>
      </c>
      <c r="CA15" s="2" t="n">
        <f aca="false">MAX(BZ14+IF($A15=CA$4,1,-1),CA14-1,BZ15-1)</f>
        <v>-67</v>
      </c>
      <c r="CB15" s="2" t="n">
        <f aca="false">MAX(CA14+IF($A15=CB$4,1,-1),CB14-1,CA15-1)</f>
        <v>-68</v>
      </c>
      <c r="CC15" s="2" t="n">
        <f aca="false">MAX(CB14+IF($A15=CC$4,1,-1),CC14-1,CB15-1)</f>
        <v>-69</v>
      </c>
      <c r="CD15" s="2" t="n">
        <f aca="false">MAX(CC14+IF($A15=CD$4,1,-1),CD14-1,CC15-1)</f>
        <v>-70</v>
      </c>
      <c r="CE15" s="2" t="n">
        <f aca="false">MAX(CD14+IF($A15=CE$4,1,-1),CE14-1,CD15-1)</f>
        <v>-71</v>
      </c>
      <c r="CF15" s="2" t="n">
        <f aca="false">MAX(CE14+IF($A15=CF$4,1,-1),CF14-1,CE15-1)</f>
        <v>-72</v>
      </c>
      <c r="CG15" s="2" t="n">
        <f aca="false">MAX(CF14+IF($A15=CG$4,1,-1),CG14-1,CF15-1)</f>
        <v>-73</v>
      </c>
      <c r="CH15" s="2" t="n">
        <f aca="false">MAX(CG14+IF($A15=CH$4,1,-1),CH14-1,CG15-1)</f>
        <v>-74</v>
      </c>
      <c r="CI15" s="2" t="n">
        <f aca="false">MAX(CH14+IF($A15=CI$4,1,-1),CI14-1,CH15-1)</f>
        <v>-75</v>
      </c>
      <c r="CJ15" s="2" t="n">
        <f aca="false">MAX(CI14+IF($A15=CJ$4,1,-1),CJ14-1,CI15-1)</f>
        <v>-76</v>
      </c>
      <c r="CK15" s="2" t="n">
        <f aca="false">MAX(CJ14+IF($A15=CK$4,1,-1),CK14-1,CJ15-1)</f>
        <v>-77</v>
      </c>
      <c r="CL15" s="2" t="n">
        <f aca="false">MAX(CK14+IF($A15=CL$4,1,-1),CL14-1,CK15-1)</f>
        <v>-78</v>
      </c>
      <c r="CM15" s="2" t="n">
        <f aca="false">MAX(CL14+IF($A15=CM$4,1,-1),CM14-1,CL15-1)</f>
        <v>-79</v>
      </c>
      <c r="CN15" s="2" t="n">
        <f aca="false">MAX(CM14+IF($A15=CN$4,1,-1),CN14-1,CM15-1)</f>
        <v>-80</v>
      </c>
      <c r="CO15" s="2" t="n">
        <f aca="false">MAX(CN14+IF($A15=CO$4,1,-1),CO14-1,CN15-1)</f>
        <v>-81</v>
      </c>
      <c r="CP15" s="2" t="n">
        <f aca="false">MAX(CO14+IF($A15=CP$4,1,-1),CP14-1,CO15-1)</f>
        <v>-82</v>
      </c>
      <c r="CQ15" s="2" t="n">
        <f aca="false">MAX(CP14+IF($A15=CQ$4,1,-1),CQ14-1,CP15-1)</f>
        <v>-83</v>
      </c>
    </row>
    <row r="16" customFormat="false" ht="15" hidden="false" customHeight="false" outlineLevel="0" collapsed="false">
      <c r="A16" s="4" t="s">
        <v>151</v>
      </c>
      <c r="B16" s="12" t="n">
        <v>-11</v>
      </c>
      <c r="C16" s="2" t="n">
        <f aca="false">MAX(B15+IF($A16=C$4,1,-1),C15-1,B16-1)</f>
        <v>-11</v>
      </c>
      <c r="D16" s="2" t="n">
        <f aca="false">MAX(C15+IF($A16=D$4,1,-1),D15-1,C16-1)</f>
        <v>-10</v>
      </c>
      <c r="E16" s="2" t="n">
        <f aca="false">MAX(D15+IF($A16=E$4,1,-1),E15-1,D16-1)</f>
        <v>-8</v>
      </c>
      <c r="F16" s="2" t="n">
        <f aca="false">MAX(E15+IF($A16=F$4,1,-1),F15-1,E16-1)</f>
        <v>-6</v>
      </c>
      <c r="G16" s="2" t="n">
        <f aca="false">MAX(F15+IF($A16=G$4,1,-1),G15-1,F16-1)</f>
        <v>-6</v>
      </c>
      <c r="H16" s="2" t="n">
        <f aca="false">MAX(G15+IF($A16=H$4,1,-1),H15-1,G16-1)</f>
        <v>-6</v>
      </c>
      <c r="I16" s="2" t="n">
        <f aca="false">MAX(H15+IF($A16=I$4,1,-1),I15-1,H16-1)</f>
        <v>-6</v>
      </c>
      <c r="J16" s="2" t="n">
        <f aca="false">MAX(I15+IF($A16=J$4,1,-1),J15-1,I16-1)</f>
        <v>-6</v>
      </c>
      <c r="K16" s="2" t="n">
        <f aca="false">MAX(J15+IF($A16=K$4,1,-1),K15-1,J16-1)</f>
        <v>-6</v>
      </c>
      <c r="L16" s="2" t="n">
        <f aca="false">MAX(K15+IF($A16=L$4,1,-1),L15-1,K16-1)</f>
        <v>-6</v>
      </c>
      <c r="M16" s="2" t="n">
        <f aca="false">MAX(L15+IF($A16=M$4,1,-1),M15-1,L16-1)</f>
        <v>-6</v>
      </c>
      <c r="N16" s="2" t="n">
        <f aca="false">MAX(M15+IF($A16=N$4,1,-1),N15-1,M16-1)</f>
        <v>-6</v>
      </c>
      <c r="O16" s="2" t="n">
        <f aca="false">MAX(N15+IF($A16=O$4,1,-1),O15-1,N16-1)</f>
        <v>-7</v>
      </c>
      <c r="P16" s="2" t="n">
        <f aca="false">MAX(O15+IF($A16=P$4,1,-1),P15-1,O16-1)</f>
        <v>-7</v>
      </c>
      <c r="Q16" s="2" t="n">
        <f aca="false">MAX(P15+IF($A16=Q$4,1,-1),Q15-1,P16-1)</f>
        <v>-7</v>
      </c>
      <c r="R16" s="2" t="n">
        <f aca="false">MAX(Q15+IF($A16=R$4,1,-1),R15-1,Q16-1)</f>
        <v>-8</v>
      </c>
      <c r="S16" s="2" t="n">
        <f aca="false">MAX(R15+IF($A16=S$4,1,-1),S15-1,R16-1)</f>
        <v>-9</v>
      </c>
      <c r="T16" s="2" t="n">
        <f aca="false">MAX(S15+IF($A16=T$4,1,-1),T15-1,S16-1)</f>
        <v>-10</v>
      </c>
      <c r="U16" s="2" t="n">
        <f aca="false">MAX(T15+IF($A16=U$4,1,-1),U15-1,T16-1)</f>
        <v>-11</v>
      </c>
      <c r="V16" s="2" t="n">
        <f aca="false">MAX(U15+IF($A16=V$4,1,-1),V15-1,U16-1)</f>
        <v>-12</v>
      </c>
      <c r="W16" s="2" t="n">
        <f aca="false">MAX(V15+IF($A16=W$4,1,-1),W15-1,V16-1)</f>
        <v>-13</v>
      </c>
      <c r="X16" s="2" t="n">
        <f aca="false">MAX(W15+IF($A16=X$4,1,-1),X15-1,W16-1)</f>
        <v>-14</v>
      </c>
      <c r="Y16" s="2" t="n">
        <f aca="false">MAX(X15+IF($A16=Y$4,1,-1),Y15-1,X16-1)</f>
        <v>-15</v>
      </c>
      <c r="Z16" s="2" t="n">
        <f aca="false">MAX(Y15+IF($A16=Z$4,1,-1),Z15-1,Y16-1)</f>
        <v>-16</v>
      </c>
      <c r="AA16" s="2" t="n">
        <f aca="false">MAX(Z15+IF($A16=AA$4,1,-1),AA15-1,Z16-1)</f>
        <v>-17</v>
      </c>
      <c r="AB16" s="2" t="n">
        <f aca="false">MAX(AA15+IF($A16=AB$4,1,-1),AB15-1,AA16-1)</f>
        <v>-18</v>
      </c>
      <c r="AC16" s="2" t="n">
        <f aca="false">MAX(AB15+IF($A16=AC$4,1,-1),AC15-1,AB16-1)</f>
        <v>-19</v>
      </c>
      <c r="AD16" s="2" t="n">
        <f aca="false">MAX(AC15+IF($A16=AD$4,1,-1),AD15-1,AC16-1)</f>
        <v>-20</v>
      </c>
      <c r="AE16" s="2" t="n">
        <f aca="false">MAX(AD15+IF($A16=AE$4,1,-1),AE15-1,AD16-1)</f>
        <v>-21</v>
      </c>
      <c r="AF16" s="2" t="n">
        <f aca="false">MAX(AE15+IF($A16=AF$4,1,-1),AF15-1,AE16-1)</f>
        <v>-22</v>
      </c>
      <c r="AG16" s="2" t="n">
        <f aca="false">MAX(AF15+IF($A16=AG$4,1,-1),AG15-1,AF16-1)</f>
        <v>-23</v>
      </c>
      <c r="AH16" s="2" t="n">
        <f aca="false">MAX(AG15+IF($A16=AH$4,1,-1),AH15-1,AG16-1)</f>
        <v>-24</v>
      </c>
      <c r="AI16" s="2" t="n">
        <f aca="false">MAX(AH15+IF($A16=AI$4,1,-1),AI15-1,AH16-1)</f>
        <v>-25</v>
      </c>
      <c r="AJ16" s="2" t="n">
        <f aca="false">MAX(AI15+IF($A16=AJ$4,1,-1),AJ15-1,AI16-1)</f>
        <v>-26</v>
      </c>
      <c r="AK16" s="2" t="n">
        <f aca="false">MAX(AJ15+IF($A16=AK$4,1,-1),AK15-1,AJ16-1)</f>
        <v>-27</v>
      </c>
      <c r="AL16" s="2" t="n">
        <f aca="false">MAX(AK15+IF($A16=AL$4,1,-1),AL15-1,AK16-1)</f>
        <v>-28</v>
      </c>
      <c r="AM16" s="2" t="n">
        <f aca="false">MAX(AL15+IF($A16=AM$4,1,-1),AM15-1,AL16-1)</f>
        <v>-29</v>
      </c>
      <c r="AN16" s="2" t="n">
        <f aca="false">MAX(AM15+IF($A16=AN$4,1,-1),AN15-1,AM16-1)</f>
        <v>-30</v>
      </c>
      <c r="AO16" s="2" t="n">
        <f aca="false">MAX(AN15+IF($A16=AO$4,1,-1),AO15-1,AN16-1)</f>
        <v>-31</v>
      </c>
      <c r="AP16" s="2" t="n">
        <f aca="false">MAX(AO15+IF($A16=AP$4,1,-1),AP15-1,AO16-1)</f>
        <v>-32</v>
      </c>
      <c r="AQ16" s="2" t="n">
        <f aca="false">MAX(AP15+IF($A16=AQ$4,1,-1),AQ15-1,AP16-1)</f>
        <v>-33</v>
      </c>
      <c r="AR16" s="2" t="n">
        <f aca="false">MAX(AQ15+IF($A16=AR$4,1,-1),AR15-1,AQ16-1)</f>
        <v>-34</v>
      </c>
      <c r="AS16" s="2" t="n">
        <f aca="false">MAX(AR15+IF($A16=AS$4,1,-1),AS15-1,AR16-1)</f>
        <v>-35</v>
      </c>
      <c r="AT16" s="2" t="n">
        <f aca="false">MAX(AS15+IF($A16=AT$4,1,-1),AT15-1,AS16-1)</f>
        <v>-36</v>
      </c>
      <c r="AU16" s="2" t="n">
        <f aca="false">MAX(AT15+IF($A16=AU$4,1,-1),AU15-1,AT16-1)</f>
        <v>-37</v>
      </c>
      <c r="AV16" s="2" t="n">
        <f aca="false">MAX(AU15+IF($A16=AV$4,1,-1),AV15-1,AU16-1)</f>
        <v>-38</v>
      </c>
      <c r="AW16" s="2" t="n">
        <f aca="false">MAX(AV15+IF($A16=AW$4,1,-1),AW15-1,AV16-1)</f>
        <v>-39</v>
      </c>
      <c r="AX16" s="2" t="n">
        <f aca="false">MAX(AW15+IF($A16=AX$4,1,-1),AX15-1,AW16-1)</f>
        <v>-40</v>
      </c>
      <c r="AY16" s="2" t="n">
        <f aca="false">MAX(AX15+IF($A16=AY$4,1,-1),AY15-1,AX16-1)</f>
        <v>-41</v>
      </c>
      <c r="AZ16" s="2" t="n">
        <f aca="false">MAX(AY15+IF($A16=AZ$4,1,-1),AZ15-1,AY16-1)</f>
        <v>-42</v>
      </c>
      <c r="BA16" s="2" t="n">
        <f aca="false">MAX(AZ15+IF($A16=BA$4,1,-1),BA15-1,AZ16-1)</f>
        <v>-43</v>
      </c>
      <c r="BB16" s="2" t="n">
        <f aca="false">MAX(BA15+IF($A16=BB$4,1,-1),BB15-1,BA16-1)</f>
        <v>-44</v>
      </c>
      <c r="BC16" s="2" t="n">
        <f aca="false">MAX(BB15+IF($A16=BC$4,1,-1),BC15-1,BB16-1)</f>
        <v>-45</v>
      </c>
      <c r="BD16" s="2" t="n">
        <f aca="false">MAX(BC15+IF($A16=BD$4,1,-1),BD15-1,BC16-1)</f>
        <v>-46</v>
      </c>
      <c r="BE16" s="2" t="n">
        <f aca="false">MAX(BD15+IF($A16=BE$4,1,-1),BE15-1,BD16-1)</f>
        <v>-47</v>
      </c>
      <c r="BF16" s="2" t="n">
        <f aca="false">MAX(BE15+IF($A16=BF$4,1,-1),BF15-1,BE16-1)</f>
        <v>-48</v>
      </c>
      <c r="BG16" s="2" t="n">
        <f aca="false">MAX(BF15+IF($A16=BG$4,1,-1),BG15-1,BF16-1)</f>
        <v>-49</v>
      </c>
      <c r="BH16" s="2" t="n">
        <f aca="false">MAX(BG15+IF($A16=BH$4,1,-1),BH15-1,BG16-1)</f>
        <v>-50</v>
      </c>
      <c r="BI16" s="2" t="n">
        <f aca="false">MAX(BH15+IF($A16=BI$4,1,-1),BI15-1,BH16-1)</f>
        <v>-51</v>
      </c>
      <c r="BJ16" s="2" t="n">
        <f aca="false">MAX(BI15+IF($A16=BJ$4,1,-1),BJ15-1,BI16-1)</f>
        <v>-52</v>
      </c>
      <c r="BK16" s="2" t="n">
        <f aca="false">MAX(BJ15+IF($A16=BK$4,1,-1),BK15-1,BJ16-1)</f>
        <v>-52</v>
      </c>
      <c r="BL16" s="2" t="n">
        <f aca="false">MAX(BK15+IF($A16=BL$4,1,-1),BL15-1,BK16-1)</f>
        <v>-52</v>
      </c>
      <c r="BM16" s="2" t="n">
        <f aca="false">MAX(BL15+IF($A16=BM$4,1,-1),BM15-1,BL16-1)</f>
        <v>-53</v>
      </c>
      <c r="BN16" s="2" t="n">
        <f aca="false">MAX(BM15+IF($A16=BN$4,1,-1),BN15-1,BM16-1)</f>
        <v>-54</v>
      </c>
      <c r="BO16" s="2" t="n">
        <f aca="false">MAX(BN15+IF($A16=BO$4,1,-1),BO15-1,BN16-1)</f>
        <v>-55</v>
      </c>
      <c r="BP16" s="2" t="n">
        <f aca="false">MAX(BO15+IF($A16=BP$4,1,-1),BP15-1,BO16-1)</f>
        <v>-56</v>
      </c>
      <c r="BQ16" s="2" t="n">
        <f aca="false">MAX(BP15+IF($A16=BQ$4,1,-1),BQ15-1,BP16-1)</f>
        <v>-57</v>
      </c>
      <c r="BR16" s="2" t="n">
        <f aca="false">MAX(BQ15+IF($A16=BR$4,1,-1),BR15-1,BQ16-1)</f>
        <v>-58</v>
      </c>
      <c r="BS16" s="2" t="n">
        <f aca="false">MAX(BR15+IF($A16=BS$4,1,-1),BS15-1,BR16-1)</f>
        <v>-59</v>
      </c>
      <c r="BT16" s="2" t="n">
        <f aca="false">MAX(BS15+IF($A16=BT$4,1,-1),BT15-1,BS16-1)</f>
        <v>-60</v>
      </c>
      <c r="BU16" s="2" t="n">
        <f aca="false">MAX(BT15+IF($A16=BU$4,1,-1),BU15-1,BT16-1)</f>
        <v>-61</v>
      </c>
      <c r="BV16" s="2" t="n">
        <f aca="false">MAX(BU15+IF($A16=BV$4,1,-1),BV15-1,BU16-1)</f>
        <v>-62</v>
      </c>
      <c r="BW16" s="2" t="n">
        <f aca="false">MAX(BV15+IF($A16=BW$4,1,-1),BW15-1,BV16-1)</f>
        <v>-63</v>
      </c>
      <c r="BX16" s="2" t="n">
        <f aca="false">MAX(BW15+IF($A16=BX$4,1,-1),BX15-1,BW16-1)</f>
        <v>-64</v>
      </c>
      <c r="BY16" s="2" t="n">
        <f aca="false">MAX(BX15+IF($A16=BY$4,1,-1),BY15-1,BX16-1)</f>
        <v>-65</v>
      </c>
      <c r="BZ16" s="2" t="n">
        <f aca="false">MAX(BY15+IF($A16=BZ$4,1,-1),BZ15-1,BY16-1)</f>
        <v>-66</v>
      </c>
      <c r="CA16" s="2" t="n">
        <f aca="false">MAX(BZ15+IF($A16=CA$4,1,-1),CA15-1,BZ16-1)</f>
        <v>-67</v>
      </c>
      <c r="CB16" s="2" t="n">
        <f aca="false">MAX(CA15+IF($A16=CB$4,1,-1),CB15-1,CA16-1)</f>
        <v>-68</v>
      </c>
      <c r="CC16" s="2" t="n">
        <f aca="false">MAX(CB15+IF($A16=CC$4,1,-1),CC15-1,CB16-1)</f>
        <v>-69</v>
      </c>
      <c r="CD16" s="2" t="n">
        <f aca="false">MAX(CC15+IF($A16=CD$4,1,-1),CD15-1,CC16-1)</f>
        <v>-70</v>
      </c>
      <c r="CE16" s="2" t="n">
        <f aca="false">MAX(CD15+IF($A16=CE$4,1,-1),CE15-1,CD16-1)</f>
        <v>-71</v>
      </c>
      <c r="CF16" s="2" t="n">
        <f aca="false">MAX(CE15+IF($A16=CF$4,1,-1),CF15-1,CE16-1)</f>
        <v>-72</v>
      </c>
      <c r="CG16" s="2" t="n">
        <f aca="false">MAX(CF15+IF($A16=CG$4,1,-1),CG15-1,CF16-1)</f>
        <v>-73</v>
      </c>
      <c r="CH16" s="2" t="n">
        <f aca="false">MAX(CG15+IF($A16=CH$4,1,-1),CH15-1,CG16-1)</f>
        <v>-74</v>
      </c>
      <c r="CI16" s="2" t="n">
        <f aca="false">MAX(CH15+IF($A16=CI$4,1,-1),CI15-1,CH16-1)</f>
        <v>-75</v>
      </c>
      <c r="CJ16" s="2" t="n">
        <f aca="false">MAX(CI15+IF($A16=CJ$4,1,-1),CJ15-1,CI16-1)</f>
        <v>-76</v>
      </c>
      <c r="CK16" s="2" t="n">
        <f aca="false">MAX(CJ15+IF($A16=CK$4,1,-1),CK15-1,CJ16-1)</f>
        <v>-77</v>
      </c>
      <c r="CL16" s="2" t="n">
        <f aca="false">MAX(CK15+IF($A16=CL$4,1,-1),CL15-1,CK16-1)</f>
        <v>-78</v>
      </c>
      <c r="CM16" s="2" t="n">
        <f aca="false">MAX(CL15+IF($A16=CM$4,1,-1),CM15-1,CL16-1)</f>
        <v>-79</v>
      </c>
      <c r="CN16" s="2" t="n">
        <f aca="false">MAX(CM15+IF($A16=CN$4,1,-1),CN15-1,CM16-1)</f>
        <v>-80</v>
      </c>
      <c r="CO16" s="2" t="n">
        <f aca="false">MAX(CN15+IF($A16=CO$4,1,-1),CO15-1,CN16-1)</f>
        <v>-81</v>
      </c>
      <c r="CP16" s="2" t="n">
        <f aca="false">MAX(CO15+IF($A16=CP$4,1,-1),CP15-1,CO16-1)</f>
        <v>-82</v>
      </c>
      <c r="CQ16" s="2" t="n">
        <f aca="false">MAX(CP15+IF($A16=CQ$4,1,-1),CQ15-1,CP16-1)</f>
        <v>-83</v>
      </c>
    </row>
    <row r="17" customFormat="false" ht="15" hidden="false" customHeight="false" outlineLevel="0" collapsed="false">
      <c r="A17" s="4" t="s">
        <v>152</v>
      </c>
      <c r="B17" s="12" t="n">
        <v>-12</v>
      </c>
      <c r="C17" s="2" t="n">
        <f aca="false">MAX(B16+IF($A17=C$4,1,-1),C16-1,B17-1)</f>
        <v>-12</v>
      </c>
      <c r="D17" s="2" t="n">
        <f aca="false">MAX(C16+IF($A17=D$4,1,-1),D16-1,C17-1)</f>
        <v>-11</v>
      </c>
      <c r="E17" s="2" t="n">
        <f aca="false">MAX(D16+IF($A17=E$4,1,-1),E16-1,D17-1)</f>
        <v>-9</v>
      </c>
      <c r="F17" s="2" t="n">
        <f aca="false">MAX(E16+IF($A17=F$4,1,-1),F16-1,E17-1)</f>
        <v>-7</v>
      </c>
      <c r="G17" s="2" t="n">
        <f aca="false">MAX(F16+IF($A17=G$4,1,-1),G16-1,F17-1)</f>
        <v>-7</v>
      </c>
      <c r="H17" s="2" t="n">
        <f aca="false">MAX(G16+IF($A17=H$4,1,-1),H16-1,G17-1)</f>
        <v>-7</v>
      </c>
      <c r="I17" s="2" t="n">
        <f aca="false">MAX(H16+IF($A17=I$4,1,-1),I16-1,H17-1)</f>
        <v>-7</v>
      </c>
      <c r="J17" s="2" t="n">
        <f aca="false">MAX(I16+IF($A17=J$4,1,-1),J16-1,I17-1)</f>
        <v>-7</v>
      </c>
      <c r="K17" s="2" t="n">
        <f aca="false">MAX(J16+IF($A17=K$4,1,-1),K16-1,J17-1)</f>
        <v>-7</v>
      </c>
      <c r="L17" s="2" t="n">
        <f aca="false">MAX(K16+IF($A17=L$4,1,-1),L16-1,K17-1)</f>
        <v>-7</v>
      </c>
      <c r="M17" s="2" t="n">
        <f aca="false">MAX(L16+IF($A17=M$4,1,-1),M16-1,L17-1)</f>
        <v>-7</v>
      </c>
      <c r="N17" s="2" t="n">
        <f aca="false">MAX(M16+IF($A17=N$4,1,-1),N16-1,M17-1)</f>
        <v>-7</v>
      </c>
      <c r="O17" s="2" t="n">
        <f aca="false">MAX(N16+IF($A17=O$4,1,-1),O16-1,N17-1)</f>
        <v>-7</v>
      </c>
      <c r="P17" s="2" t="n">
        <f aca="false">MAX(O16+IF($A17=P$4,1,-1),P16-1,O17-1)</f>
        <v>-8</v>
      </c>
      <c r="Q17" s="2" t="n">
        <f aca="false">MAX(P16+IF($A17=Q$4,1,-1),Q16-1,P17-1)</f>
        <v>-8</v>
      </c>
      <c r="R17" s="2" t="n">
        <f aca="false">MAX(Q16+IF($A17=R$4,1,-1),R16-1,Q17-1)</f>
        <v>-8</v>
      </c>
      <c r="S17" s="2" t="n">
        <f aca="false">MAX(R16+IF($A17=S$4,1,-1),S16-1,R17-1)</f>
        <v>-9</v>
      </c>
      <c r="T17" s="2" t="n">
        <f aca="false">MAX(S16+IF($A17=T$4,1,-1),T16-1,S17-1)</f>
        <v>-10</v>
      </c>
      <c r="U17" s="2" t="n">
        <f aca="false">MAX(T16+IF($A17=U$4,1,-1),U16-1,T17-1)</f>
        <v>-11</v>
      </c>
      <c r="V17" s="2" t="n">
        <f aca="false">MAX(U16+IF($A17=V$4,1,-1),V16-1,U17-1)</f>
        <v>-12</v>
      </c>
      <c r="W17" s="2" t="n">
        <f aca="false">MAX(V16+IF($A17=W$4,1,-1),W16-1,V17-1)</f>
        <v>-13</v>
      </c>
      <c r="X17" s="2" t="n">
        <f aca="false">MAX(W16+IF($A17=X$4,1,-1),X16-1,W17-1)</f>
        <v>-14</v>
      </c>
      <c r="Y17" s="2" t="n">
        <f aca="false">MAX(X16+IF($A17=Y$4,1,-1),Y16-1,X17-1)</f>
        <v>-15</v>
      </c>
      <c r="Z17" s="2" t="n">
        <f aca="false">MAX(Y16+IF($A17=Z$4,1,-1),Z16-1,Y17-1)</f>
        <v>-16</v>
      </c>
      <c r="AA17" s="2" t="n">
        <f aca="false">MAX(Z16+IF($A17=AA$4,1,-1),AA16-1,Z17-1)</f>
        <v>-17</v>
      </c>
      <c r="AB17" s="2" t="n">
        <f aca="false">MAX(AA16+IF($A17=AB$4,1,-1),AB16-1,AA17-1)</f>
        <v>-18</v>
      </c>
      <c r="AC17" s="2" t="n">
        <f aca="false">MAX(AB16+IF($A17=AC$4,1,-1),AC16-1,AB17-1)</f>
        <v>-19</v>
      </c>
      <c r="AD17" s="2" t="n">
        <f aca="false">MAX(AC16+IF($A17=AD$4,1,-1),AD16-1,AC17-1)</f>
        <v>-20</v>
      </c>
      <c r="AE17" s="2" t="n">
        <f aca="false">MAX(AD16+IF($A17=AE$4,1,-1),AE16-1,AD17-1)</f>
        <v>-21</v>
      </c>
      <c r="AF17" s="2" t="n">
        <f aca="false">MAX(AE16+IF($A17=AF$4,1,-1),AF16-1,AE17-1)</f>
        <v>-22</v>
      </c>
      <c r="AG17" s="2" t="n">
        <f aca="false">MAX(AF16+IF($A17=AG$4,1,-1),AG16-1,AF17-1)</f>
        <v>-23</v>
      </c>
      <c r="AH17" s="2" t="n">
        <f aca="false">MAX(AG16+IF($A17=AH$4,1,-1),AH16-1,AG17-1)</f>
        <v>-24</v>
      </c>
      <c r="AI17" s="2" t="n">
        <f aca="false">MAX(AH16+IF($A17=AI$4,1,-1),AI16-1,AH17-1)</f>
        <v>-25</v>
      </c>
      <c r="AJ17" s="2" t="n">
        <f aca="false">MAX(AI16+IF($A17=AJ$4,1,-1),AJ16-1,AI17-1)</f>
        <v>-26</v>
      </c>
      <c r="AK17" s="2" t="n">
        <f aca="false">MAX(AJ16+IF($A17=AK$4,1,-1),AK16-1,AJ17-1)</f>
        <v>-27</v>
      </c>
      <c r="AL17" s="2" t="n">
        <f aca="false">MAX(AK16+IF($A17=AL$4,1,-1),AL16-1,AK17-1)</f>
        <v>-28</v>
      </c>
      <c r="AM17" s="2" t="n">
        <f aca="false">MAX(AL16+IF($A17=AM$4,1,-1),AM16-1,AL17-1)</f>
        <v>-29</v>
      </c>
      <c r="AN17" s="2" t="n">
        <f aca="false">MAX(AM16+IF($A17=AN$4,1,-1),AN16-1,AM17-1)</f>
        <v>-30</v>
      </c>
      <c r="AO17" s="2" t="n">
        <f aca="false">MAX(AN16+IF($A17=AO$4,1,-1),AO16-1,AN17-1)</f>
        <v>-31</v>
      </c>
      <c r="AP17" s="2" t="n">
        <f aca="false">MAX(AO16+IF($A17=AP$4,1,-1),AP16-1,AO17-1)</f>
        <v>-32</v>
      </c>
      <c r="AQ17" s="2" t="n">
        <f aca="false">MAX(AP16+IF($A17=AQ$4,1,-1),AQ16-1,AP17-1)</f>
        <v>-33</v>
      </c>
      <c r="AR17" s="2" t="n">
        <f aca="false">MAX(AQ16+IF($A17=AR$4,1,-1),AR16-1,AQ17-1)</f>
        <v>-34</v>
      </c>
      <c r="AS17" s="2" t="n">
        <f aca="false">MAX(AR16+IF($A17=AS$4,1,-1),AS16-1,AR17-1)</f>
        <v>-35</v>
      </c>
      <c r="AT17" s="2" t="n">
        <f aca="false">MAX(AS16+IF($A17=AT$4,1,-1),AT16-1,AS17-1)</f>
        <v>-36</v>
      </c>
      <c r="AU17" s="2" t="n">
        <f aca="false">MAX(AT16+IF($A17=AU$4,1,-1),AU16-1,AT17-1)</f>
        <v>-37</v>
      </c>
      <c r="AV17" s="2" t="n">
        <f aca="false">MAX(AU16+IF($A17=AV$4,1,-1),AV16-1,AU17-1)</f>
        <v>-38</v>
      </c>
      <c r="AW17" s="2" t="n">
        <f aca="false">MAX(AV16+IF($A17=AW$4,1,-1),AW16-1,AV17-1)</f>
        <v>-39</v>
      </c>
      <c r="AX17" s="2" t="n">
        <f aca="false">MAX(AW16+IF($A17=AX$4,1,-1),AX16-1,AW17-1)</f>
        <v>-40</v>
      </c>
      <c r="AY17" s="2" t="n">
        <f aca="false">MAX(AX16+IF($A17=AY$4,1,-1),AY16-1,AX17-1)</f>
        <v>-41</v>
      </c>
      <c r="AZ17" s="2" t="n">
        <f aca="false">MAX(AY16+IF($A17=AZ$4,1,-1),AZ16-1,AY17-1)</f>
        <v>-42</v>
      </c>
      <c r="BA17" s="2" t="n">
        <f aca="false">MAX(AZ16+IF($A17=BA$4,1,-1),BA16-1,AZ17-1)</f>
        <v>-43</v>
      </c>
      <c r="BB17" s="2" t="n">
        <f aca="false">MAX(BA16+IF($A17=BB$4,1,-1),BB16-1,BA17-1)</f>
        <v>-44</v>
      </c>
      <c r="BC17" s="2" t="n">
        <f aca="false">MAX(BB16+IF($A17=BC$4,1,-1),BC16-1,BB17-1)</f>
        <v>-45</v>
      </c>
      <c r="BD17" s="2" t="n">
        <f aca="false">MAX(BC16+IF($A17=BD$4,1,-1),BD16-1,BC17-1)</f>
        <v>-46</v>
      </c>
      <c r="BE17" s="2" t="n">
        <f aca="false">MAX(BD16+IF($A17=BE$4,1,-1),BE16-1,BD17-1)</f>
        <v>-47</v>
      </c>
      <c r="BF17" s="2" t="n">
        <f aca="false">MAX(BE16+IF($A17=BF$4,1,-1),BF16-1,BE17-1)</f>
        <v>-48</v>
      </c>
      <c r="BG17" s="2" t="n">
        <f aca="false">MAX(BF16+IF($A17=BG$4,1,-1),BG16-1,BF17-1)</f>
        <v>-49</v>
      </c>
      <c r="BH17" s="2" t="n">
        <f aca="false">MAX(BG16+IF($A17=BH$4,1,-1),BH16-1,BG17-1)</f>
        <v>-50</v>
      </c>
      <c r="BI17" s="2" t="n">
        <f aca="false">MAX(BH16+IF($A17=BI$4,1,-1),BI16-1,BH17-1)</f>
        <v>-51</v>
      </c>
      <c r="BJ17" s="2" t="n">
        <f aca="false">MAX(BI16+IF($A17=BJ$4,1,-1),BJ16-1,BI17-1)</f>
        <v>-52</v>
      </c>
      <c r="BK17" s="2" t="n">
        <f aca="false">MAX(BJ16+IF($A17=BK$4,1,-1),BK16-1,BJ17-1)</f>
        <v>-53</v>
      </c>
      <c r="BL17" s="2" t="n">
        <f aca="false">MAX(BK16+IF($A17=BL$4,1,-1),BL16-1,BK17-1)</f>
        <v>-53</v>
      </c>
      <c r="BM17" s="2" t="n">
        <f aca="false">MAX(BL16+IF($A17=BM$4,1,-1),BM16-1,BL17-1)</f>
        <v>-53</v>
      </c>
      <c r="BN17" s="2" t="n">
        <f aca="false">MAX(BM16+IF($A17=BN$4,1,-1),BN16-1,BM17-1)</f>
        <v>-54</v>
      </c>
      <c r="BO17" s="2" t="n">
        <f aca="false">MAX(BN16+IF($A17=BO$4,1,-1),BO16-1,BN17-1)</f>
        <v>-55</v>
      </c>
      <c r="BP17" s="2" t="n">
        <f aca="false">MAX(BO16+IF($A17=BP$4,1,-1),BP16-1,BO17-1)</f>
        <v>-56</v>
      </c>
      <c r="BQ17" s="2" t="n">
        <f aca="false">MAX(BP16+IF($A17=BQ$4,1,-1),BQ16-1,BP17-1)</f>
        <v>-57</v>
      </c>
      <c r="BR17" s="2" t="n">
        <f aca="false">MAX(BQ16+IF($A17=BR$4,1,-1),BR16-1,BQ17-1)</f>
        <v>-58</v>
      </c>
      <c r="BS17" s="2" t="n">
        <f aca="false">MAX(BR16+IF($A17=BS$4,1,-1),BS16-1,BR17-1)</f>
        <v>-59</v>
      </c>
      <c r="BT17" s="2" t="n">
        <f aca="false">MAX(BS16+IF($A17=BT$4,1,-1),BT16-1,BS17-1)</f>
        <v>-60</v>
      </c>
      <c r="BU17" s="2" t="n">
        <f aca="false">MAX(BT16+IF($A17=BU$4,1,-1),BU16-1,BT17-1)</f>
        <v>-61</v>
      </c>
      <c r="BV17" s="2" t="n">
        <f aca="false">MAX(BU16+IF($A17=BV$4,1,-1),BV16-1,BU17-1)</f>
        <v>-62</v>
      </c>
      <c r="BW17" s="2" t="n">
        <f aca="false">MAX(BV16+IF($A17=BW$4,1,-1),BW16-1,BV17-1)</f>
        <v>-63</v>
      </c>
      <c r="BX17" s="2" t="n">
        <f aca="false">MAX(BW16+IF($A17=BX$4,1,-1),BX16-1,BW17-1)</f>
        <v>-64</v>
      </c>
      <c r="BY17" s="2" t="n">
        <f aca="false">MAX(BX16+IF($A17=BY$4,1,-1),BY16-1,BX17-1)</f>
        <v>-65</v>
      </c>
      <c r="BZ17" s="2" t="n">
        <f aca="false">MAX(BY16+IF($A17=BZ$4,1,-1),BZ16-1,BY17-1)</f>
        <v>-66</v>
      </c>
      <c r="CA17" s="2" t="n">
        <f aca="false">MAX(BZ16+IF($A17=CA$4,1,-1),CA16-1,BZ17-1)</f>
        <v>-67</v>
      </c>
      <c r="CB17" s="2" t="n">
        <f aca="false">MAX(CA16+IF($A17=CB$4,1,-1),CB16-1,CA17-1)</f>
        <v>-68</v>
      </c>
      <c r="CC17" s="2" t="n">
        <f aca="false">MAX(CB16+IF($A17=CC$4,1,-1),CC16-1,CB17-1)</f>
        <v>-69</v>
      </c>
      <c r="CD17" s="2" t="n">
        <f aca="false">MAX(CC16+IF($A17=CD$4,1,-1),CD16-1,CC17-1)</f>
        <v>-70</v>
      </c>
      <c r="CE17" s="2" t="n">
        <f aca="false">MAX(CD16+IF($A17=CE$4,1,-1),CE16-1,CD17-1)</f>
        <v>-71</v>
      </c>
      <c r="CF17" s="2" t="n">
        <f aca="false">MAX(CE16+IF($A17=CF$4,1,-1),CF16-1,CE17-1)</f>
        <v>-72</v>
      </c>
      <c r="CG17" s="2" t="n">
        <f aca="false">MAX(CF16+IF($A17=CG$4,1,-1),CG16-1,CF17-1)</f>
        <v>-73</v>
      </c>
      <c r="CH17" s="2" t="n">
        <f aca="false">MAX(CG16+IF($A17=CH$4,1,-1),CH16-1,CG17-1)</f>
        <v>-74</v>
      </c>
      <c r="CI17" s="2" t="n">
        <f aca="false">MAX(CH16+IF($A17=CI$4,1,-1),CI16-1,CH17-1)</f>
        <v>-75</v>
      </c>
      <c r="CJ17" s="2" t="n">
        <f aca="false">MAX(CI16+IF($A17=CJ$4,1,-1),CJ16-1,CI17-1)</f>
        <v>-76</v>
      </c>
      <c r="CK17" s="2" t="n">
        <f aca="false">MAX(CJ16+IF($A17=CK$4,1,-1),CK16-1,CJ17-1)</f>
        <v>-77</v>
      </c>
      <c r="CL17" s="2" t="n">
        <f aca="false">MAX(CK16+IF($A17=CL$4,1,-1),CL16-1,CK17-1)</f>
        <v>-78</v>
      </c>
      <c r="CM17" s="2" t="n">
        <f aca="false">MAX(CL16+IF($A17=CM$4,1,-1),CM16-1,CL17-1)</f>
        <v>-79</v>
      </c>
      <c r="CN17" s="2" t="n">
        <f aca="false">MAX(CM16+IF($A17=CN$4,1,-1),CN16-1,CM17-1)</f>
        <v>-80</v>
      </c>
      <c r="CO17" s="2" t="n">
        <f aca="false">MAX(CN16+IF($A17=CO$4,1,-1),CO16-1,CN17-1)</f>
        <v>-81</v>
      </c>
      <c r="CP17" s="2" t="n">
        <f aca="false">MAX(CO16+IF($A17=CP$4,1,-1),CP16-1,CO17-1)</f>
        <v>-82</v>
      </c>
      <c r="CQ17" s="2" t="n">
        <f aca="false">MAX(CP16+IF($A17=CQ$4,1,-1),CQ16-1,CP17-1)</f>
        <v>-83</v>
      </c>
    </row>
    <row r="18" customFormat="false" ht="15" hidden="false" customHeight="false" outlineLevel="0" collapsed="false">
      <c r="A18" s="4" t="s">
        <v>153</v>
      </c>
      <c r="B18" s="12" t="n">
        <v>-13</v>
      </c>
      <c r="C18" s="2" t="n">
        <f aca="false">MAX(B17+IF($A18=C$4,1,-1),C17-1,B18-1)</f>
        <v>-13</v>
      </c>
      <c r="D18" s="2" t="n">
        <f aca="false">MAX(C17+IF($A18=D$4,1,-1),D17-1,C18-1)</f>
        <v>-12</v>
      </c>
      <c r="E18" s="2" t="n">
        <f aca="false">MAX(D17+IF($A18=E$4,1,-1),E17-1,D18-1)</f>
        <v>-10</v>
      </c>
      <c r="F18" s="2" t="n">
        <f aca="false">MAX(E17+IF($A18=F$4,1,-1),F17-1,E18-1)</f>
        <v>-8</v>
      </c>
      <c r="G18" s="2" t="n">
        <f aca="false">MAX(F17+IF($A18=G$4,1,-1),G17-1,F18-1)</f>
        <v>-8</v>
      </c>
      <c r="H18" s="2" t="n">
        <f aca="false">MAX(G17+IF($A18=H$4,1,-1),H17-1,G18-1)</f>
        <v>-8</v>
      </c>
      <c r="I18" s="2" t="n">
        <f aca="false">MAX(H17+IF($A18=I$4,1,-1),I17-1,H18-1)</f>
        <v>-8</v>
      </c>
      <c r="J18" s="2" t="n">
        <f aca="false">MAX(I17+IF($A18=J$4,1,-1),J17-1,I18-1)</f>
        <v>-8</v>
      </c>
      <c r="K18" s="2" t="n">
        <f aca="false">MAX(J17+IF($A18=K$4,1,-1),K17-1,J18-1)</f>
        <v>-8</v>
      </c>
      <c r="L18" s="2" t="n">
        <f aca="false">MAX(K17+IF($A18=L$4,1,-1),L17-1,K18-1)</f>
        <v>-8</v>
      </c>
      <c r="M18" s="2" t="n">
        <f aca="false">MAX(L17+IF($A18=M$4,1,-1),M17-1,L18-1)</f>
        <v>-8</v>
      </c>
      <c r="N18" s="2" t="n">
        <f aca="false">MAX(M17+IF($A18=N$4,1,-1),N17-1,M18-1)</f>
        <v>-8</v>
      </c>
      <c r="O18" s="2" t="n">
        <f aca="false">MAX(N17+IF($A18=O$4,1,-1),O17-1,N18-1)</f>
        <v>-8</v>
      </c>
      <c r="P18" s="2" t="n">
        <f aca="false">MAX(O17+IF($A18=P$4,1,-1),P17-1,O18-1)</f>
        <v>-8</v>
      </c>
      <c r="Q18" s="2" t="n">
        <f aca="false">MAX(P17+IF($A18=Q$4,1,-1),Q17-1,P18-1)</f>
        <v>-9</v>
      </c>
      <c r="R18" s="2" t="n">
        <f aca="false">MAX(Q17+IF($A18=R$4,1,-1),R17-1,Q18-1)</f>
        <v>-9</v>
      </c>
      <c r="S18" s="2" t="n">
        <f aca="false">MAX(R17+IF($A18=S$4,1,-1),S17-1,R18-1)</f>
        <v>-9</v>
      </c>
      <c r="T18" s="2" t="n">
        <f aca="false">MAX(S17+IF($A18=T$4,1,-1),T17-1,S18-1)</f>
        <v>-10</v>
      </c>
      <c r="U18" s="2" t="n">
        <f aca="false">MAX(T17+IF($A18=U$4,1,-1),U17-1,T18-1)</f>
        <v>-11</v>
      </c>
      <c r="V18" s="2" t="n">
        <f aca="false">MAX(U17+IF($A18=V$4,1,-1),V17-1,U18-1)</f>
        <v>-12</v>
      </c>
      <c r="W18" s="2" t="n">
        <f aca="false">MAX(V17+IF($A18=W$4,1,-1),W17-1,V18-1)</f>
        <v>-13</v>
      </c>
      <c r="X18" s="2" t="n">
        <f aca="false">MAX(W17+IF($A18=X$4,1,-1),X17-1,W18-1)</f>
        <v>-14</v>
      </c>
      <c r="Y18" s="2" t="n">
        <f aca="false">MAX(X17+IF($A18=Y$4,1,-1),Y17-1,X18-1)</f>
        <v>-15</v>
      </c>
      <c r="Z18" s="2" t="n">
        <f aca="false">MAX(Y17+IF($A18=Z$4,1,-1),Z17-1,Y18-1)</f>
        <v>-16</v>
      </c>
      <c r="AA18" s="2" t="n">
        <f aca="false">MAX(Z17+IF($A18=AA$4,1,-1),AA17-1,Z18-1)</f>
        <v>-17</v>
      </c>
      <c r="AB18" s="2" t="n">
        <f aca="false">MAX(AA17+IF($A18=AB$4,1,-1),AB17-1,AA18-1)</f>
        <v>-18</v>
      </c>
      <c r="AC18" s="2" t="n">
        <f aca="false">MAX(AB17+IF($A18=AC$4,1,-1),AC17-1,AB18-1)</f>
        <v>-19</v>
      </c>
      <c r="AD18" s="2" t="n">
        <f aca="false">MAX(AC17+IF($A18=AD$4,1,-1),AD17-1,AC18-1)</f>
        <v>-20</v>
      </c>
      <c r="AE18" s="2" t="n">
        <f aca="false">MAX(AD17+IF($A18=AE$4,1,-1),AE17-1,AD18-1)</f>
        <v>-21</v>
      </c>
      <c r="AF18" s="2" t="n">
        <f aca="false">MAX(AE17+IF($A18=AF$4,1,-1),AF17-1,AE18-1)</f>
        <v>-22</v>
      </c>
      <c r="AG18" s="2" t="n">
        <f aca="false">MAX(AF17+IF($A18=AG$4,1,-1),AG17-1,AF18-1)</f>
        <v>-23</v>
      </c>
      <c r="AH18" s="2" t="n">
        <f aca="false">MAX(AG17+IF($A18=AH$4,1,-1),AH17-1,AG18-1)</f>
        <v>-24</v>
      </c>
      <c r="AI18" s="2" t="n">
        <f aca="false">MAX(AH17+IF($A18=AI$4,1,-1),AI17-1,AH18-1)</f>
        <v>-25</v>
      </c>
      <c r="AJ18" s="2" t="n">
        <f aca="false">MAX(AI17+IF($A18=AJ$4,1,-1),AJ17-1,AI18-1)</f>
        <v>-26</v>
      </c>
      <c r="AK18" s="2" t="n">
        <f aca="false">MAX(AJ17+IF($A18=AK$4,1,-1),AK17-1,AJ18-1)</f>
        <v>-27</v>
      </c>
      <c r="AL18" s="2" t="n">
        <f aca="false">MAX(AK17+IF($A18=AL$4,1,-1),AL17-1,AK18-1)</f>
        <v>-28</v>
      </c>
      <c r="AM18" s="2" t="n">
        <f aca="false">MAX(AL17+IF($A18=AM$4,1,-1),AM17-1,AL18-1)</f>
        <v>-29</v>
      </c>
      <c r="AN18" s="2" t="n">
        <f aca="false">MAX(AM17+IF($A18=AN$4,1,-1),AN17-1,AM18-1)</f>
        <v>-30</v>
      </c>
      <c r="AO18" s="2" t="n">
        <f aca="false">MAX(AN17+IF($A18=AO$4,1,-1),AO17-1,AN18-1)</f>
        <v>-31</v>
      </c>
      <c r="AP18" s="2" t="n">
        <f aca="false">MAX(AO17+IF($A18=AP$4,1,-1),AP17-1,AO18-1)</f>
        <v>-32</v>
      </c>
      <c r="AQ18" s="2" t="n">
        <f aca="false">MAX(AP17+IF($A18=AQ$4,1,-1),AQ17-1,AP18-1)</f>
        <v>-33</v>
      </c>
      <c r="AR18" s="2" t="n">
        <f aca="false">MAX(AQ17+IF($A18=AR$4,1,-1),AR17-1,AQ18-1)</f>
        <v>-34</v>
      </c>
      <c r="AS18" s="2" t="n">
        <f aca="false">MAX(AR17+IF($A18=AS$4,1,-1),AS17-1,AR18-1)</f>
        <v>-35</v>
      </c>
      <c r="AT18" s="2" t="n">
        <f aca="false">MAX(AS17+IF($A18=AT$4,1,-1),AT17-1,AS18-1)</f>
        <v>-36</v>
      </c>
      <c r="AU18" s="2" t="n">
        <f aca="false">MAX(AT17+IF($A18=AU$4,1,-1),AU17-1,AT18-1)</f>
        <v>-37</v>
      </c>
      <c r="AV18" s="2" t="n">
        <f aca="false">MAX(AU17+IF($A18=AV$4,1,-1),AV17-1,AU18-1)</f>
        <v>-38</v>
      </c>
      <c r="AW18" s="2" t="n">
        <f aca="false">MAX(AV17+IF($A18=AW$4,1,-1),AW17-1,AV18-1)</f>
        <v>-39</v>
      </c>
      <c r="AX18" s="2" t="n">
        <f aca="false">MAX(AW17+IF($A18=AX$4,1,-1),AX17-1,AW18-1)</f>
        <v>-40</v>
      </c>
      <c r="AY18" s="2" t="n">
        <f aca="false">MAX(AX17+IF($A18=AY$4,1,-1),AY17-1,AX18-1)</f>
        <v>-41</v>
      </c>
      <c r="AZ18" s="2" t="n">
        <f aca="false">MAX(AY17+IF($A18=AZ$4,1,-1),AZ17-1,AY18-1)</f>
        <v>-42</v>
      </c>
      <c r="BA18" s="2" t="n">
        <f aca="false">MAX(AZ17+IF($A18=BA$4,1,-1),BA17-1,AZ18-1)</f>
        <v>-43</v>
      </c>
      <c r="BB18" s="2" t="n">
        <f aca="false">MAX(BA17+IF($A18=BB$4,1,-1),BB17-1,BA18-1)</f>
        <v>-44</v>
      </c>
      <c r="BC18" s="2" t="n">
        <f aca="false">MAX(BB17+IF($A18=BC$4,1,-1),BC17-1,BB18-1)</f>
        <v>-45</v>
      </c>
      <c r="BD18" s="2" t="n">
        <f aca="false">MAX(BC17+IF($A18=BD$4,1,-1),BD17-1,BC18-1)</f>
        <v>-46</v>
      </c>
      <c r="BE18" s="2" t="n">
        <f aca="false">MAX(BD17+IF($A18=BE$4,1,-1),BE17-1,BD18-1)</f>
        <v>-47</v>
      </c>
      <c r="BF18" s="2" t="n">
        <f aca="false">MAX(BE17+IF($A18=BF$4,1,-1),BF17-1,BE18-1)</f>
        <v>-48</v>
      </c>
      <c r="BG18" s="2" t="n">
        <f aca="false">MAX(BF17+IF($A18=BG$4,1,-1),BG17-1,BF18-1)</f>
        <v>-49</v>
      </c>
      <c r="BH18" s="2" t="n">
        <f aca="false">MAX(BG17+IF($A18=BH$4,1,-1),BH17-1,BG18-1)</f>
        <v>-50</v>
      </c>
      <c r="BI18" s="2" t="n">
        <f aca="false">MAX(BH17+IF($A18=BI$4,1,-1),BI17-1,BH18-1)</f>
        <v>-51</v>
      </c>
      <c r="BJ18" s="2" t="n">
        <f aca="false">MAX(BI17+IF($A18=BJ$4,1,-1),BJ17-1,BI18-1)</f>
        <v>-52</v>
      </c>
      <c r="BK18" s="2" t="n">
        <f aca="false">MAX(BJ17+IF($A18=BK$4,1,-1),BK17-1,BJ18-1)</f>
        <v>-53</v>
      </c>
      <c r="BL18" s="2" t="n">
        <f aca="false">MAX(BK17+IF($A18=BL$4,1,-1),BL17-1,BK18-1)</f>
        <v>-54</v>
      </c>
      <c r="BM18" s="2" t="n">
        <f aca="false">MAX(BL17+IF($A18=BM$4,1,-1),BM17-1,BL18-1)</f>
        <v>-54</v>
      </c>
      <c r="BN18" s="2" t="n">
        <f aca="false">MAX(BM17+IF($A18=BN$4,1,-1),BN17-1,BM18-1)</f>
        <v>-54</v>
      </c>
      <c r="BO18" s="2" t="n">
        <f aca="false">MAX(BN17+IF($A18=BO$4,1,-1),BO17-1,BN18-1)</f>
        <v>-55</v>
      </c>
      <c r="BP18" s="2" t="n">
        <f aca="false">MAX(BO17+IF($A18=BP$4,1,-1),BP17-1,BO18-1)</f>
        <v>-56</v>
      </c>
      <c r="BQ18" s="2" t="n">
        <f aca="false">MAX(BP17+IF($A18=BQ$4,1,-1),BQ17-1,BP18-1)</f>
        <v>-57</v>
      </c>
      <c r="BR18" s="2" t="n">
        <f aca="false">MAX(BQ17+IF($A18=BR$4,1,-1),BR17-1,BQ18-1)</f>
        <v>-58</v>
      </c>
      <c r="BS18" s="2" t="n">
        <f aca="false">MAX(BR17+IF($A18=BS$4,1,-1),BS17-1,BR18-1)</f>
        <v>-59</v>
      </c>
      <c r="BT18" s="2" t="n">
        <f aca="false">MAX(BS17+IF($A18=BT$4,1,-1),BT17-1,BS18-1)</f>
        <v>-60</v>
      </c>
      <c r="BU18" s="2" t="n">
        <f aca="false">MAX(BT17+IF($A18=BU$4,1,-1),BU17-1,BT18-1)</f>
        <v>-61</v>
      </c>
      <c r="BV18" s="2" t="n">
        <f aca="false">MAX(BU17+IF($A18=BV$4,1,-1),BV17-1,BU18-1)</f>
        <v>-62</v>
      </c>
      <c r="BW18" s="2" t="n">
        <f aca="false">MAX(BV17+IF($A18=BW$4,1,-1),BW17-1,BV18-1)</f>
        <v>-63</v>
      </c>
      <c r="BX18" s="2" t="n">
        <f aca="false">MAX(BW17+IF($A18=BX$4,1,-1),BX17-1,BW18-1)</f>
        <v>-64</v>
      </c>
      <c r="BY18" s="2" t="n">
        <f aca="false">MAX(BX17+IF($A18=BY$4,1,-1),BY17-1,BX18-1)</f>
        <v>-65</v>
      </c>
      <c r="BZ18" s="2" t="n">
        <f aca="false">MAX(BY17+IF($A18=BZ$4,1,-1),BZ17-1,BY18-1)</f>
        <v>-66</v>
      </c>
      <c r="CA18" s="2" t="n">
        <f aca="false">MAX(BZ17+IF($A18=CA$4,1,-1),CA17-1,BZ18-1)</f>
        <v>-67</v>
      </c>
      <c r="CB18" s="2" t="n">
        <f aca="false">MAX(CA17+IF($A18=CB$4,1,-1),CB17-1,CA18-1)</f>
        <v>-68</v>
      </c>
      <c r="CC18" s="2" t="n">
        <f aca="false">MAX(CB17+IF($A18=CC$4,1,-1),CC17-1,CB18-1)</f>
        <v>-69</v>
      </c>
      <c r="CD18" s="2" t="n">
        <f aca="false">MAX(CC17+IF($A18=CD$4,1,-1),CD17-1,CC18-1)</f>
        <v>-70</v>
      </c>
      <c r="CE18" s="2" t="n">
        <f aca="false">MAX(CD17+IF($A18=CE$4,1,-1),CE17-1,CD18-1)</f>
        <v>-71</v>
      </c>
      <c r="CF18" s="2" t="n">
        <f aca="false">MAX(CE17+IF($A18=CF$4,1,-1),CF17-1,CE18-1)</f>
        <v>-72</v>
      </c>
      <c r="CG18" s="2" t="n">
        <f aca="false">MAX(CF17+IF($A18=CG$4,1,-1),CG17-1,CF18-1)</f>
        <v>-73</v>
      </c>
      <c r="CH18" s="2" t="n">
        <f aca="false">MAX(CG17+IF($A18=CH$4,1,-1),CH17-1,CG18-1)</f>
        <v>-74</v>
      </c>
      <c r="CI18" s="2" t="n">
        <f aca="false">MAX(CH17+IF($A18=CI$4,1,-1),CI17-1,CH18-1)</f>
        <v>-75</v>
      </c>
      <c r="CJ18" s="2" t="n">
        <f aca="false">MAX(CI17+IF($A18=CJ$4,1,-1),CJ17-1,CI18-1)</f>
        <v>-76</v>
      </c>
      <c r="CK18" s="2" t="n">
        <f aca="false">MAX(CJ17+IF($A18=CK$4,1,-1),CK17-1,CJ18-1)</f>
        <v>-77</v>
      </c>
      <c r="CL18" s="2" t="n">
        <f aca="false">MAX(CK17+IF($A18=CL$4,1,-1),CL17-1,CK18-1)</f>
        <v>-78</v>
      </c>
      <c r="CM18" s="2" t="n">
        <f aca="false">MAX(CL17+IF($A18=CM$4,1,-1),CM17-1,CL18-1)</f>
        <v>-79</v>
      </c>
      <c r="CN18" s="2" t="n">
        <f aca="false">MAX(CM17+IF($A18=CN$4,1,-1),CN17-1,CM18-1)</f>
        <v>-80</v>
      </c>
      <c r="CO18" s="2" t="n">
        <f aca="false">MAX(CN17+IF($A18=CO$4,1,-1),CO17-1,CN18-1)</f>
        <v>-81</v>
      </c>
      <c r="CP18" s="2" t="n">
        <f aca="false">MAX(CO17+IF($A18=CP$4,1,-1),CP17-1,CO18-1)</f>
        <v>-82</v>
      </c>
      <c r="CQ18" s="2" t="n">
        <f aca="false">MAX(CP17+IF($A18=CQ$4,1,-1),CQ17-1,CP18-1)</f>
        <v>-83</v>
      </c>
    </row>
    <row r="19" customFormat="false" ht="15" hidden="false" customHeight="false" outlineLevel="0" collapsed="false">
      <c r="A19" s="4" t="s">
        <v>154</v>
      </c>
      <c r="B19" s="12" t="n">
        <v>-14</v>
      </c>
      <c r="C19" s="2" t="n">
        <f aca="false">MAX(B18+IF($A19=C$4,1,-1),C18-1,B19-1)</f>
        <v>-14</v>
      </c>
      <c r="D19" s="2" t="n">
        <f aca="false">MAX(C18+IF($A19=D$4,1,-1),D18-1,C19-1)</f>
        <v>-13</v>
      </c>
      <c r="E19" s="2" t="n">
        <f aca="false">MAX(D18+IF($A19=E$4,1,-1),E18-1,D19-1)</f>
        <v>-11</v>
      </c>
      <c r="F19" s="2" t="n">
        <f aca="false">MAX(E18+IF($A19=F$4,1,-1),F18-1,E19-1)</f>
        <v>-9</v>
      </c>
      <c r="G19" s="2" t="n">
        <f aca="false">MAX(F18+IF($A19=G$4,1,-1),G18-1,F19-1)</f>
        <v>-9</v>
      </c>
      <c r="H19" s="2" t="n">
        <f aca="false">MAX(G18+IF($A19=H$4,1,-1),H18-1,G19-1)</f>
        <v>-9</v>
      </c>
      <c r="I19" s="2" t="n">
        <f aca="false">MAX(H18+IF($A19=I$4,1,-1),I18-1,H19-1)</f>
        <v>-9</v>
      </c>
      <c r="J19" s="2" t="n">
        <f aca="false">MAX(I18+IF($A19=J$4,1,-1),J18-1,I19-1)</f>
        <v>-9</v>
      </c>
      <c r="K19" s="2" t="n">
        <f aca="false">MAX(J18+IF($A19=K$4,1,-1),K18-1,J19-1)</f>
        <v>-9</v>
      </c>
      <c r="L19" s="2" t="n">
        <f aca="false">MAX(K18+IF($A19=L$4,1,-1),L18-1,K19-1)</f>
        <v>-9</v>
      </c>
      <c r="M19" s="2" t="n">
        <f aca="false">MAX(L18+IF($A19=M$4,1,-1),M18-1,L19-1)</f>
        <v>-9</v>
      </c>
      <c r="N19" s="2" t="n">
        <f aca="false">MAX(M18+IF($A19=N$4,1,-1),N18-1,M19-1)</f>
        <v>-9</v>
      </c>
      <c r="O19" s="2" t="n">
        <f aca="false">MAX(N18+IF($A19=O$4,1,-1),O18-1,N19-1)</f>
        <v>-9</v>
      </c>
      <c r="P19" s="2" t="n">
        <f aca="false">MAX(O18+IF($A19=P$4,1,-1),P18-1,O19-1)</f>
        <v>-9</v>
      </c>
      <c r="Q19" s="2" t="n">
        <f aca="false">MAX(P18+IF($A19=Q$4,1,-1),Q18-1,P19-1)</f>
        <v>-9</v>
      </c>
      <c r="R19" s="2" t="n">
        <f aca="false">MAX(Q18+IF($A19=R$4,1,-1),R18-1,Q19-1)</f>
        <v>-10</v>
      </c>
      <c r="S19" s="2" t="n">
        <f aca="false">MAX(R18+IF($A19=S$4,1,-1),S18-1,R19-1)</f>
        <v>-10</v>
      </c>
      <c r="T19" s="2" t="n">
        <f aca="false">MAX(S18+IF($A19=T$4,1,-1),T18-1,S19-1)</f>
        <v>-10</v>
      </c>
      <c r="U19" s="2" t="n">
        <f aca="false">MAX(T18+IF($A19=U$4,1,-1),U18-1,T19-1)</f>
        <v>-11</v>
      </c>
      <c r="V19" s="2" t="n">
        <f aca="false">MAX(U18+IF($A19=V$4,1,-1),V18-1,U19-1)</f>
        <v>-12</v>
      </c>
      <c r="W19" s="2" t="n">
        <f aca="false">MAX(V18+IF($A19=W$4,1,-1),W18-1,V19-1)</f>
        <v>-13</v>
      </c>
      <c r="X19" s="2" t="n">
        <f aca="false">MAX(W18+IF($A19=X$4,1,-1),X18-1,W19-1)</f>
        <v>-14</v>
      </c>
      <c r="Y19" s="2" t="n">
        <f aca="false">MAX(X18+IF($A19=Y$4,1,-1),Y18-1,X19-1)</f>
        <v>-15</v>
      </c>
      <c r="Z19" s="2" t="n">
        <f aca="false">MAX(Y18+IF($A19=Z$4,1,-1),Z18-1,Y19-1)</f>
        <v>-16</v>
      </c>
      <c r="AA19" s="2" t="n">
        <f aca="false">MAX(Z18+IF($A19=AA$4,1,-1),AA18-1,Z19-1)</f>
        <v>-17</v>
      </c>
      <c r="AB19" s="2" t="n">
        <f aca="false">MAX(AA18+IF($A19=AB$4,1,-1),AB18-1,AA19-1)</f>
        <v>-18</v>
      </c>
      <c r="AC19" s="2" t="n">
        <f aca="false">MAX(AB18+IF($A19=AC$4,1,-1),AC18-1,AB19-1)</f>
        <v>-19</v>
      </c>
      <c r="AD19" s="2" t="n">
        <f aca="false">MAX(AC18+IF($A19=AD$4,1,-1),AD18-1,AC19-1)</f>
        <v>-20</v>
      </c>
      <c r="AE19" s="2" t="n">
        <f aca="false">MAX(AD18+IF($A19=AE$4,1,-1),AE18-1,AD19-1)</f>
        <v>-21</v>
      </c>
      <c r="AF19" s="2" t="n">
        <f aca="false">MAX(AE18+IF($A19=AF$4,1,-1),AF18-1,AE19-1)</f>
        <v>-22</v>
      </c>
      <c r="AG19" s="2" t="n">
        <f aca="false">MAX(AF18+IF($A19=AG$4,1,-1),AG18-1,AF19-1)</f>
        <v>-23</v>
      </c>
      <c r="AH19" s="2" t="n">
        <f aca="false">MAX(AG18+IF($A19=AH$4,1,-1),AH18-1,AG19-1)</f>
        <v>-24</v>
      </c>
      <c r="AI19" s="2" t="n">
        <f aca="false">MAX(AH18+IF($A19=AI$4,1,-1),AI18-1,AH19-1)</f>
        <v>-25</v>
      </c>
      <c r="AJ19" s="2" t="n">
        <f aca="false">MAX(AI18+IF($A19=AJ$4,1,-1),AJ18-1,AI19-1)</f>
        <v>-26</v>
      </c>
      <c r="AK19" s="2" t="n">
        <f aca="false">MAX(AJ18+IF($A19=AK$4,1,-1),AK18-1,AJ19-1)</f>
        <v>-27</v>
      </c>
      <c r="AL19" s="2" t="n">
        <f aca="false">MAX(AK18+IF($A19=AL$4,1,-1),AL18-1,AK19-1)</f>
        <v>-28</v>
      </c>
      <c r="AM19" s="2" t="n">
        <f aca="false">MAX(AL18+IF($A19=AM$4,1,-1),AM18-1,AL19-1)</f>
        <v>-29</v>
      </c>
      <c r="AN19" s="2" t="n">
        <f aca="false">MAX(AM18+IF($A19=AN$4,1,-1),AN18-1,AM19-1)</f>
        <v>-30</v>
      </c>
      <c r="AO19" s="2" t="n">
        <f aca="false">MAX(AN18+IF($A19=AO$4,1,-1),AO18-1,AN19-1)</f>
        <v>-31</v>
      </c>
      <c r="AP19" s="2" t="n">
        <f aca="false">MAX(AO18+IF($A19=AP$4,1,-1),AP18-1,AO19-1)</f>
        <v>-32</v>
      </c>
      <c r="AQ19" s="2" t="n">
        <f aca="false">MAX(AP18+IF($A19=AQ$4,1,-1),AQ18-1,AP19-1)</f>
        <v>-33</v>
      </c>
      <c r="AR19" s="2" t="n">
        <f aca="false">MAX(AQ18+IF($A19=AR$4,1,-1),AR18-1,AQ19-1)</f>
        <v>-34</v>
      </c>
      <c r="AS19" s="2" t="n">
        <f aca="false">MAX(AR18+IF($A19=AS$4,1,-1),AS18-1,AR19-1)</f>
        <v>-35</v>
      </c>
      <c r="AT19" s="2" t="n">
        <f aca="false">MAX(AS18+IF($A19=AT$4,1,-1),AT18-1,AS19-1)</f>
        <v>-36</v>
      </c>
      <c r="AU19" s="2" t="n">
        <f aca="false">MAX(AT18+IF($A19=AU$4,1,-1),AU18-1,AT19-1)</f>
        <v>-37</v>
      </c>
      <c r="AV19" s="2" t="n">
        <f aca="false">MAX(AU18+IF($A19=AV$4,1,-1),AV18-1,AU19-1)</f>
        <v>-38</v>
      </c>
      <c r="AW19" s="2" t="n">
        <f aca="false">MAX(AV18+IF($A19=AW$4,1,-1),AW18-1,AV19-1)</f>
        <v>-39</v>
      </c>
      <c r="AX19" s="2" t="n">
        <f aca="false">MAX(AW18+IF($A19=AX$4,1,-1),AX18-1,AW19-1)</f>
        <v>-40</v>
      </c>
      <c r="AY19" s="2" t="n">
        <f aca="false">MAX(AX18+IF($A19=AY$4,1,-1),AY18-1,AX19-1)</f>
        <v>-41</v>
      </c>
      <c r="AZ19" s="2" t="n">
        <f aca="false">MAX(AY18+IF($A19=AZ$4,1,-1),AZ18-1,AY19-1)</f>
        <v>-42</v>
      </c>
      <c r="BA19" s="2" t="n">
        <f aca="false">MAX(AZ18+IF($A19=BA$4,1,-1),BA18-1,AZ19-1)</f>
        <v>-43</v>
      </c>
      <c r="BB19" s="2" t="n">
        <f aca="false">MAX(BA18+IF($A19=BB$4,1,-1),BB18-1,BA19-1)</f>
        <v>-44</v>
      </c>
      <c r="BC19" s="2" t="n">
        <f aca="false">MAX(BB18+IF($A19=BC$4,1,-1),BC18-1,BB19-1)</f>
        <v>-45</v>
      </c>
      <c r="BD19" s="2" t="n">
        <f aca="false">MAX(BC18+IF($A19=BD$4,1,-1),BD18-1,BC19-1)</f>
        <v>-46</v>
      </c>
      <c r="BE19" s="2" t="n">
        <f aca="false">MAX(BD18+IF($A19=BE$4,1,-1),BE18-1,BD19-1)</f>
        <v>-47</v>
      </c>
      <c r="BF19" s="2" t="n">
        <f aca="false">MAX(BE18+IF($A19=BF$4,1,-1),BF18-1,BE19-1)</f>
        <v>-48</v>
      </c>
      <c r="BG19" s="2" t="n">
        <f aca="false">MAX(BF18+IF($A19=BG$4,1,-1),BG18-1,BF19-1)</f>
        <v>-49</v>
      </c>
      <c r="BH19" s="2" t="n">
        <f aca="false">MAX(BG18+IF($A19=BH$4,1,-1),BH18-1,BG19-1)</f>
        <v>-50</v>
      </c>
      <c r="BI19" s="2" t="n">
        <f aca="false">MAX(BH18+IF($A19=BI$4,1,-1),BI18-1,BH19-1)</f>
        <v>-51</v>
      </c>
      <c r="BJ19" s="2" t="n">
        <f aca="false">MAX(BI18+IF($A19=BJ$4,1,-1),BJ18-1,BI19-1)</f>
        <v>-52</v>
      </c>
      <c r="BK19" s="2" t="n">
        <f aca="false">MAX(BJ18+IF($A19=BK$4,1,-1),BK18-1,BJ19-1)</f>
        <v>-53</v>
      </c>
      <c r="BL19" s="2" t="n">
        <f aca="false">MAX(BK18+IF($A19=BL$4,1,-1),BL18-1,BK19-1)</f>
        <v>-54</v>
      </c>
      <c r="BM19" s="2" t="n">
        <f aca="false">MAX(BL18+IF($A19=BM$4,1,-1),BM18-1,BL19-1)</f>
        <v>-55</v>
      </c>
      <c r="BN19" s="2" t="n">
        <f aca="false">MAX(BM18+IF($A19=BN$4,1,-1),BN18-1,BM19-1)</f>
        <v>-55</v>
      </c>
      <c r="BO19" s="2" t="n">
        <f aca="false">MAX(BN18+IF($A19=BO$4,1,-1),BO18-1,BN19-1)</f>
        <v>-55</v>
      </c>
      <c r="BP19" s="2" t="n">
        <f aca="false">MAX(BO18+IF($A19=BP$4,1,-1),BP18-1,BO19-1)</f>
        <v>-56</v>
      </c>
      <c r="BQ19" s="2" t="n">
        <f aca="false">MAX(BP18+IF($A19=BQ$4,1,-1),BQ18-1,BP19-1)</f>
        <v>-57</v>
      </c>
      <c r="BR19" s="2" t="n">
        <f aca="false">MAX(BQ18+IF($A19=BR$4,1,-1),BR18-1,BQ19-1)</f>
        <v>-58</v>
      </c>
      <c r="BS19" s="2" t="n">
        <f aca="false">MAX(BR18+IF($A19=BS$4,1,-1),BS18-1,BR19-1)</f>
        <v>-59</v>
      </c>
      <c r="BT19" s="2" t="n">
        <f aca="false">MAX(BS18+IF($A19=BT$4,1,-1),BT18-1,BS19-1)</f>
        <v>-60</v>
      </c>
      <c r="BU19" s="2" t="n">
        <f aca="false">MAX(BT18+IF($A19=BU$4,1,-1),BU18-1,BT19-1)</f>
        <v>-61</v>
      </c>
      <c r="BV19" s="2" t="n">
        <f aca="false">MAX(BU18+IF($A19=BV$4,1,-1),BV18-1,BU19-1)</f>
        <v>-62</v>
      </c>
      <c r="BW19" s="2" t="n">
        <f aca="false">MAX(BV18+IF($A19=BW$4,1,-1),BW18-1,BV19-1)</f>
        <v>-63</v>
      </c>
      <c r="BX19" s="2" t="n">
        <f aca="false">MAX(BW18+IF($A19=BX$4,1,-1),BX18-1,BW19-1)</f>
        <v>-64</v>
      </c>
      <c r="BY19" s="2" t="n">
        <f aca="false">MAX(BX18+IF($A19=BY$4,1,-1),BY18-1,BX19-1)</f>
        <v>-65</v>
      </c>
      <c r="BZ19" s="2" t="n">
        <f aca="false">MAX(BY18+IF($A19=BZ$4,1,-1),BZ18-1,BY19-1)</f>
        <v>-66</v>
      </c>
      <c r="CA19" s="2" t="n">
        <f aca="false">MAX(BZ18+IF($A19=CA$4,1,-1),CA18-1,BZ19-1)</f>
        <v>-67</v>
      </c>
      <c r="CB19" s="2" t="n">
        <f aca="false">MAX(CA18+IF($A19=CB$4,1,-1),CB18-1,CA19-1)</f>
        <v>-68</v>
      </c>
      <c r="CC19" s="2" t="n">
        <f aca="false">MAX(CB18+IF($A19=CC$4,1,-1),CC18-1,CB19-1)</f>
        <v>-69</v>
      </c>
      <c r="CD19" s="2" t="n">
        <f aca="false">MAX(CC18+IF($A19=CD$4,1,-1),CD18-1,CC19-1)</f>
        <v>-70</v>
      </c>
      <c r="CE19" s="2" t="n">
        <f aca="false">MAX(CD18+IF($A19=CE$4,1,-1),CE18-1,CD19-1)</f>
        <v>-71</v>
      </c>
      <c r="CF19" s="2" t="n">
        <f aca="false">MAX(CE18+IF($A19=CF$4,1,-1),CF18-1,CE19-1)</f>
        <v>-72</v>
      </c>
      <c r="CG19" s="2" t="n">
        <f aca="false">MAX(CF18+IF($A19=CG$4,1,-1),CG18-1,CF19-1)</f>
        <v>-73</v>
      </c>
      <c r="CH19" s="2" t="n">
        <f aca="false">MAX(CG18+IF($A19=CH$4,1,-1),CH18-1,CG19-1)</f>
        <v>-74</v>
      </c>
      <c r="CI19" s="2" t="n">
        <f aca="false">MAX(CH18+IF($A19=CI$4,1,-1),CI18-1,CH19-1)</f>
        <v>-75</v>
      </c>
      <c r="CJ19" s="2" t="n">
        <f aca="false">MAX(CI18+IF($A19=CJ$4,1,-1),CJ18-1,CI19-1)</f>
        <v>-76</v>
      </c>
      <c r="CK19" s="2" t="n">
        <f aca="false">MAX(CJ18+IF($A19=CK$4,1,-1),CK18-1,CJ19-1)</f>
        <v>-77</v>
      </c>
      <c r="CL19" s="2" t="n">
        <f aca="false">MAX(CK18+IF($A19=CL$4,1,-1),CL18-1,CK19-1)</f>
        <v>-78</v>
      </c>
      <c r="CM19" s="2" t="n">
        <f aca="false">MAX(CL18+IF($A19=CM$4,1,-1),CM18-1,CL19-1)</f>
        <v>-79</v>
      </c>
      <c r="CN19" s="2" t="n">
        <f aca="false">MAX(CM18+IF($A19=CN$4,1,-1),CN18-1,CM19-1)</f>
        <v>-80</v>
      </c>
      <c r="CO19" s="2" t="n">
        <f aca="false">MAX(CN18+IF($A19=CO$4,1,-1),CO18-1,CN19-1)</f>
        <v>-81</v>
      </c>
      <c r="CP19" s="2" t="n">
        <f aca="false">MAX(CO18+IF($A19=CP$4,1,-1),CP18-1,CO19-1)</f>
        <v>-82</v>
      </c>
      <c r="CQ19" s="2" t="n">
        <f aca="false">MAX(CP18+IF($A19=CQ$4,1,-1),CQ18-1,CP19-1)</f>
        <v>-83</v>
      </c>
    </row>
    <row r="20" customFormat="false" ht="15" hidden="false" customHeight="false" outlineLevel="0" collapsed="false">
      <c r="A20" s="4" t="s">
        <v>89</v>
      </c>
      <c r="B20" s="12" t="n">
        <v>-15</v>
      </c>
      <c r="C20" s="2" t="n">
        <f aca="false">MAX(B19+IF($A20=C$4,1,-1),C19-1,B20-1)</f>
        <v>-15</v>
      </c>
      <c r="D20" s="2" t="n">
        <f aca="false">MAX(C19+IF($A20=D$4,1,-1),D19-1,C20-1)</f>
        <v>-14</v>
      </c>
      <c r="E20" s="2" t="n">
        <f aca="false">MAX(D19+IF($A20=E$4,1,-1),E19-1,D20-1)</f>
        <v>-12</v>
      </c>
      <c r="F20" s="2" t="n">
        <f aca="false">MAX(E19+IF($A20=F$4,1,-1),F19-1,E20-1)</f>
        <v>-10</v>
      </c>
      <c r="G20" s="2" t="n">
        <f aca="false">MAX(F19+IF($A20=G$4,1,-1),G19-1,F20-1)</f>
        <v>-10</v>
      </c>
      <c r="H20" s="2" t="n">
        <f aca="false">MAX(G19+IF($A20=H$4,1,-1),H19-1,G20-1)</f>
        <v>-10</v>
      </c>
      <c r="I20" s="2" t="n">
        <f aca="false">MAX(H19+IF($A20=I$4,1,-1),I19-1,H20-1)</f>
        <v>-10</v>
      </c>
      <c r="J20" s="2" t="n">
        <f aca="false">MAX(I19+IF($A20=J$4,1,-1),J19-1,I20-1)</f>
        <v>-10</v>
      </c>
      <c r="K20" s="2" t="n">
        <f aca="false">MAX(J19+IF($A20=K$4,1,-1),K19-1,J20-1)</f>
        <v>-8</v>
      </c>
      <c r="L20" s="2" t="n">
        <f aca="false">MAX(K19+IF($A20=L$4,1,-1),L19-1,K20-1)</f>
        <v>-9</v>
      </c>
      <c r="M20" s="2" t="n">
        <f aca="false">MAX(L19+IF($A20=M$4,1,-1),M19-1,L20-1)</f>
        <v>-10</v>
      </c>
      <c r="N20" s="2" t="n">
        <f aca="false">MAX(M19+IF($A20=N$4,1,-1),N19-1,M20-1)</f>
        <v>-10</v>
      </c>
      <c r="O20" s="2" t="n">
        <f aca="false">MAX(N19+IF($A20=O$4,1,-1),O19-1,N20-1)</f>
        <v>-8</v>
      </c>
      <c r="P20" s="2" t="n">
        <f aca="false">MAX(O19+IF($A20=P$4,1,-1),P19-1,O20-1)</f>
        <v>-9</v>
      </c>
      <c r="Q20" s="2" t="n">
        <f aca="false">MAX(P19+IF($A20=Q$4,1,-1),Q19-1,P20-1)</f>
        <v>-10</v>
      </c>
      <c r="R20" s="2" t="n">
        <f aca="false">MAX(Q19+IF($A20=R$4,1,-1),R19-1,Q20-1)</f>
        <v>-10</v>
      </c>
      <c r="S20" s="2" t="n">
        <f aca="false">MAX(R19+IF($A20=S$4,1,-1),S19-1,R20-1)</f>
        <v>-11</v>
      </c>
      <c r="T20" s="2" t="n">
        <f aca="false">MAX(S19+IF($A20=T$4,1,-1),T19-1,S20-1)</f>
        <v>-11</v>
      </c>
      <c r="U20" s="2" t="n">
        <f aca="false">MAX(T19+IF($A20=U$4,1,-1),U19-1,T20-1)</f>
        <v>-11</v>
      </c>
      <c r="V20" s="2" t="n">
        <f aca="false">MAX(U19+IF($A20=V$4,1,-1),V19-1,U20-1)</f>
        <v>-12</v>
      </c>
      <c r="W20" s="2" t="n">
        <f aca="false">MAX(V19+IF($A20=W$4,1,-1),W19-1,V20-1)</f>
        <v>-13</v>
      </c>
      <c r="X20" s="2" t="n">
        <f aca="false">MAX(W19+IF($A20=X$4,1,-1),X19-1,W20-1)</f>
        <v>-14</v>
      </c>
      <c r="Y20" s="2" t="n">
        <f aca="false">MAX(X19+IF($A20=Y$4,1,-1),Y19-1,X20-1)</f>
        <v>-15</v>
      </c>
      <c r="Z20" s="2" t="n">
        <f aca="false">MAX(Y19+IF($A20=Z$4,1,-1),Z19-1,Y20-1)</f>
        <v>-16</v>
      </c>
      <c r="AA20" s="2" t="n">
        <f aca="false">MAX(Z19+IF($A20=AA$4,1,-1),AA19-1,Z20-1)</f>
        <v>-17</v>
      </c>
      <c r="AB20" s="2" t="n">
        <f aca="false">MAX(AA19+IF($A20=AB$4,1,-1),AB19-1,AA20-1)</f>
        <v>-18</v>
      </c>
      <c r="AC20" s="2" t="n">
        <f aca="false">MAX(AB19+IF($A20=AC$4,1,-1),AC19-1,AB20-1)</f>
        <v>-19</v>
      </c>
      <c r="AD20" s="2" t="n">
        <f aca="false">MAX(AC19+IF($A20=AD$4,1,-1),AD19-1,AC20-1)</f>
        <v>-20</v>
      </c>
      <c r="AE20" s="2" t="n">
        <f aca="false">MAX(AD19+IF($A20=AE$4,1,-1),AE19-1,AD20-1)</f>
        <v>-21</v>
      </c>
      <c r="AF20" s="2" t="n">
        <f aca="false">MAX(AE19+IF($A20=AF$4,1,-1),AF19-1,AE20-1)</f>
        <v>-22</v>
      </c>
      <c r="AG20" s="2" t="n">
        <f aca="false">MAX(AF19+IF($A20=AG$4,1,-1),AG19-1,AF20-1)</f>
        <v>-23</v>
      </c>
      <c r="AH20" s="2" t="n">
        <f aca="false">MAX(AG19+IF($A20=AH$4,1,-1),AH19-1,AG20-1)</f>
        <v>-24</v>
      </c>
      <c r="AI20" s="2" t="n">
        <f aca="false">MAX(AH19+IF($A20=AI$4,1,-1),AI19-1,AH20-1)</f>
        <v>-25</v>
      </c>
      <c r="AJ20" s="2" t="n">
        <f aca="false">MAX(AI19+IF($A20=AJ$4,1,-1),AJ19-1,AI20-1)</f>
        <v>-26</v>
      </c>
      <c r="AK20" s="2" t="n">
        <f aca="false">MAX(AJ19+IF($A20=AK$4,1,-1),AK19-1,AJ20-1)</f>
        <v>-27</v>
      </c>
      <c r="AL20" s="2" t="n">
        <f aca="false">MAX(AK19+IF($A20=AL$4,1,-1),AL19-1,AK20-1)</f>
        <v>-28</v>
      </c>
      <c r="AM20" s="2" t="n">
        <f aca="false">MAX(AL19+IF($A20=AM$4,1,-1),AM19-1,AL20-1)</f>
        <v>-29</v>
      </c>
      <c r="AN20" s="2" t="n">
        <f aca="false">MAX(AM19+IF($A20=AN$4,1,-1),AN19-1,AM20-1)</f>
        <v>-30</v>
      </c>
      <c r="AO20" s="2" t="n">
        <f aca="false">MAX(AN19+IF($A20=AO$4,1,-1),AO19-1,AN20-1)</f>
        <v>-31</v>
      </c>
      <c r="AP20" s="2" t="n">
        <f aca="false">MAX(AO19+IF($A20=AP$4,1,-1),AP19-1,AO20-1)</f>
        <v>-32</v>
      </c>
      <c r="AQ20" s="2" t="n">
        <f aca="false">MAX(AP19+IF($A20=AQ$4,1,-1),AQ19-1,AP20-1)</f>
        <v>-33</v>
      </c>
      <c r="AR20" s="2" t="n">
        <f aca="false">MAX(AQ19+IF($A20=AR$4,1,-1),AR19-1,AQ20-1)</f>
        <v>-34</v>
      </c>
      <c r="AS20" s="2" t="n">
        <f aca="false">MAX(AR19+IF($A20=AS$4,1,-1),AS19-1,AR20-1)</f>
        <v>-35</v>
      </c>
      <c r="AT20" s="2" t="n">
        <f aca="false">MAX(AS19+IF($A20=AT$4,1,-1),AT19-1,AS20-1)</f>
        <v>-36</v>
      </c>
      <c r="AU20" s="2" t="n">
        <f aca="false">MAX(AT19+IF($A20=AU$4,1,-1),AU19-1,AT20-1)</f>
        <v>-37</v>
      </c>
      <c r="AV20" s="2" t="n">
        <f aca="false">MAX(AU19+IF($A20=AV$4,1,-1),AV19-1,AU20-1)</f>
        <v>-38</v>
      </c>
      <c r="AW20" s="2" t="n">
        <f aca="false">MAX(AV19+IF($A20=AW$4,1,-1),AW19-1,AV20-1)</f>
        <v>-39</v>
      </c>
      <c r="AX20" s="2" t="n">
        <f aca="false">MAX(AW19+IF($A20=AX$4,1,-1),AX19-1,AW20-1)</f>
        <v>-40</v>
      </c>
      <c r="AY20" s="2" t="n">
        <f aca="false">MAX(AX19+IF($A20=AY$4,1,-1),AY19-1,AX20-1)</f>
        <v>-41</v>
      </c>
      <c r="AZ20" s="2" t="n">
        <f aca="false">MAX(AY19+IF($A20=AZ$4,1,-1),AZ19-1,AY20-1)</f>
        <v>-42</v>
      </c>
      <c r="BA20" s="2" t="n">
        <f aca="false">MAX(AZ19+IF($A20=BA$4,1,-1),BA19-1,AZ20-1)</f>
        <v>-43</v>
      </c>
      <c r="BB20" s="2" t="n">
        <f aca="false">MAX(BA19+IF($A20=BB$4,1,-1),BB19-1,BA20-1)</f>
        <v>-44</v>
      </c>
      <c r="BC20" s="2" t="n">
        <f aca="false">MAX(BB19+IF($A20=BC$4,1,-1),BC19-1,BB20-1)</f>
        <v>-45</v>
      </c>
      <c r="BD20" s="2" t="n">
        <f aca="false">MAX(BC19+IF($A20=BD$4,1,-1),BD19-1,BC20-1)</f>
        <v>-46</v>
      </c>
      <c r="BE20" s="2" t="n">
        <f aca="false">MAX(BD19+IF($A20=BE$4,1,-1),BE19-1,BD20-1)</f>
        <v>-47</v>
      </c>
      <c r="BF20" s="2" t="n">
        <f aca="false">MAX(BE19+IF($A20=BF$4,1,-1),BF19-1,BE20-1)</f>
        <v>-48</v>
      </c>
      <c r="BG20" s="2" t="n">
        <f aca="false">MAX(BF19+IF($A20=BG$4,1,-1),BG19-1,BF20-1)</f>
        <v>-49</v>
      </c>
      <c r="BH20" s="2" t="n">
        <f aca="false">MAX(BG19+IF($A20=BH$4,1,-1),BH19-1,BG20-1)</f>
        <v>-50</v>
      </c>
      <c r="BI20" s="2" t="n">
        <f aca="false">MAX(BH19+IF($A20=BI$4,1,-1),BI19-1,BH20-1)</f>
        <v>-51</v>
      </c>
      <c r="BJ20" s="2" t="n">
        <f aca="false">MAX(BI19+IF($A20=BJ$4,1,-1),BJ19-1,BI20-1)</f>
        <v>-52</v>
      </c>
      <c r="BK20" s="2" t="n">
        <f aca="false">MAX(BJ19+IF($A20=BK$4,1,-1),BK19-1,BJ20-1)</f>
        <v>-53</v>
      </c>
      <c r="BL20" s="2" t="n">
        <f aca="false">MAX(BK19+IF($A20=BL$4,1,-1),BL19-1,BK20-1)</f>
        <v>-52</v>
      </c>
      <c r="BM20" s="2" t="n">
        <f aca="false">MAX(BL19+IF($A20=BM$4,1,-1),BM19-1,BL20-1)</f>
        <v>-53</v>
      </c>
      <c r="BN20" s="2" t="n">
        <f aca="false">MAX(BM19+IF($A20=BN$4,1,-1),BN19-1,BM20-1)</f>
        <v>-54</v>
      </c>
      <c r="BO20" s="2" t="n">
        <f aca="false">MAX(BN19+IF($A20=BO$4,1,-1),BO19-1,BN20-1)</f>
        <v>-55</v>
      </c>
      <c r="BP20" s="2" t="n">
        <f aca="false">MAX(BO19+IF($A20=BP$4,1,-1),BP19-1,BO20-1)</f>
        <v>-56</v>
      </c>
      <c r="BQ20" s="2" t="n">
        <f aca="false">MAX(BP19+IF($A20=BQ$4,1,-1),BQ19-1,BP20-1)</f>
        <v>-57</v>
      </c>
      <c r="BR20" s="2" t="n">
        <f aca="false">MAX(BQ19+IF($A20=BR$4,1,-1),BR19-1,BQ20-1)</f>
        <v>-58</v>
      </c>
      <c r="BS20" s="2" t="n">
        <f aca="false">MAX(BR19+IF($A20=BS$4,1,-1),BS19-1,BR20-1)</f>
        <v>-59</v>
      </c>
      <c r="BT20" s="2" t="n">
        <f aca="false">MAX(BS19+IF($A20=BT$4,1,-1),BT19-1,BS20-1)</f>
        <v>-60</v>
      </c>
      <c r="BU20" s="2" t="n">
        <f aca="false">MAX(BT19+IF($A20=BU$4,1,-1),BU19-1,BT20-1)</f>
        <v>-61</v>
      </c>
      <c r="BV20" s="2" t="n">
        <f aca="false">MAX(BU19+IF($A20=BV$4,1,-1),BV19-1,BU20-1)</f>
        <v>-62</v>
      </c>
      <c r="BW20" s="2" t="n">
        <f aca="false">MAX(BV19+IF($A20=BW$4,1,-1),BW19-1,BV20-1)</f>
        <v>-63</v>
      </c>
      <c r="BX20" s="2" t="n">
        <f aca="false">MAX(BW19+IF($A20=BX$4,1,-1),BX19-1,BW20-1)</f>
        <v>-64</v>
      </c>
      <c r="BY20" s="2" t="n">
        <f aca="false">MAX(BX19+IF($A20=BY$4,1,-1),BY19-1,BX20-1)</f>
        <v>-65</v>
      </c>
      <c r="BZ20" s="2" t="n">
        <f aca="false">MAX(BY19+IF($A20=BZ$4,1,-1),BZ19-1,BY20-1)</f>
        <v>-66</v>
      </c>
      <c r="CA20" s="2" t="n">
        <f aca="false">MAX(BZ19+IF($A20=CA$4,1,-1),CA19-1,BZ20-1)</f>
        <v>-67</v>
      </c>
      <c r="CB20" s="2" t="n">
        <f aca="false">MAX(CA19+IF($A20=CB$4,1,-1),CB19-1,CA20-1)</f>
        <v>-68</v>
      </c>
      <c r="CC20" s="2" t="n">
        <f aca="false">MAX(CB19+IF($A20=CC$4,1,-1),CC19-1,CB20-1)</f>
        <v>-69</v>
      </c>
      <c r="CD20" s="2" t="n">
        <f aca="false">MAX(CC19+IF($A20=CD$4,1,-1),CD19-1,CC20-1)</f>
        <v>-70</v>
      </c>
      <c r="CE20" s="2" t="n">
        <f aca="false">MAX(CD19+IF($A20=CE$4,1,-1),CE19-1,CD20-1)</f>
        <v>-71</v>
      </c>
      <c r="CF20" s="2" t="n">
        <f aca="false">MAX(CE19+IF($A20=CF$4,1,-1),CF19-1,CE20-1)</f>
        <v>-72</v>
      </c>
      <c r="CG20" s="2" t="n">
        <f aca="false">MAX(CF19+IF($A20=CG$4,1,-1),CG19-1,CF20-1)</f>
        <v>-73</v>
      </c>
      <c r="CH20" s="2" t="n">
        <f aca="false">MAX(CG19+IF($A20=CH$4,1,-1),CH19-1,CG20-1)</f>
        <v>-74</v>
      </c>
      <c r="CI20" s="2" t="n">
        <f aca="false">MAX(CH19+IF($A20=CI$4,1,-1),CI19-1,CH20-1)</f>
        <v>-75</v>
      </c>
      <c r="CJ20" s="2" t="n">
        <f aca="false">MAX(CI19+IF($A20=CJ$4,1,-1),CJ19-1,CI20-1)</f>
        <v>-76</v>
      </c>
      <c r="CK20" s="2" t="n">
        <f aca="false">MAX(CJ19+IF($A20=CK$4,1,-1),CK19-1,CJ20-1)</f>
        <v>-77</v>
      </c>
      <c r="CL20" s="2" t="n">
        <f aca="false">MAX(CK19+IF($A20=CL$4,1,-1),CL19-1,CK20-1)</f>
        <v>-78</v>
      </c>
      <c r="CM20" s="2" t="n">
        <f aca="false">MAX(CL19+IF($A20=CM$4,1,-1),CM19-1,CL20-1)</f>
        <v>-79</v>
      </c>
      <c r="CN20" s="2" t="n">
        <f aca="false">MAX(CM19+IF($A20=CN$4,1,-1),CN19-1,CM20-1)</f>
        <v>-80</v>
      </c>
      <c r="CO20" s="2" t="n">
        <f aca="false">MAX(CN19+IF($A20=CO$4,1,-1),CO19-1,CN20-1)</f>
        <v>-81</v>
      </c>
      <c r="CP20" s="2" t="n">
        <f aca="false">MAX(CO19+IF($A20=CP$4,1,-1),CP19-1,CO20-1)</f>
        <v>-82</v>
      </c>
      <c r="CQ20" s="2" t="n">
        <f aca="false">MAX(CP19+IF($A20=CQ$4,1,-1),CQ19-1,CP20-1)</f>
        <v>-83</v>
      </c>
    </row>
    <row r="21" customFormat="false" ht="15" hidden="false" customHeight="false" outlineLevel="0" collapsed="false">
      <c r="A21" s="4" t="s">
        <v>67</v>
      </c>
      <c r="B21" s="12" t="n">
        <v>-16</v>
      </c>
      <c r="C21" s="2" t="n">
        <f aca="false">MAX(B20+IF($A21=C$4,1,-1),C20-1,B21-1)</f>
        <v>-16</v>
      </c>
      <c r="D21" s="2" t="n">
        <f aca="false">MAX(C20+IF($A21=D$4,1,-1),D20-1,C21-1)</f>
        <v>-15</v>
      </c>
      <c r="E21" s="2" t="n">
        <f aca="false">MAX(D20+IF($A21=E$4,1,-1),E20-1,D21-1)</f>
        <v>-13</v>
      </c>
      <c r="F21" s="2" t="n">
        <f aca="false">MAX(E20+IF($A21=F$4,1,-1),F20-1,E21-1)</f>
        <v>-11</v>
      </c>
      <c r="G21" s="2" t="n">
        <f aca="false">MAX(F20+IF($A21=G$4,1,-1),G20-1,F21-1)</f>
        <v>-11</v>
      </c>
      <c r="H21" s="2" t="n">
        <f aca="false">MAX(G20+IF($A21=H$4,1,-1),H20-1,G21-1)</f>
        <v>-11</v>
      </c>
      <c r="I21" s="2" t="n">
        <f aca="false">MAX(H20+IF($A21=I$4,1,-1),I20-1,H21-1)</f>
        <v>-11</v>
      </c>
      <c r="J21" s="2" t="n">
        <f aca="false">MAX(I20+IF($A21=J$4,1,-1),J20-1,I21-1)</f>
        <v>-11</v>
      </c>
      <c r="K21" s="2" t="n">
        <f aca="false">MAX(J20+IF($A21=K$4,1,-1),K20-1,J21-1)</f>
        <v>-9</v>
      </c>
      <c r="L21" s="2" t="n">
        <f aca="false">MAX(K20+IF($A21=L$4,1,-1),L20-1,K21-1)</f>
        <v>-9</v>
      </c>
      <c r="M21" s="2" t="n">
        <f aca="false">MAX(L20+IF($A21=M$4,1,-1),M20-1,L21-1)</f>
        <v>-10</v>
      </c>
      <c r="N21" s="2" t="n">
        <f aca="false">MAX(M20+IF($A21=N$4,1,-1),N20-1,M21-1)</f>
        <v>-11</v>
      </c>
      <c r="O21" s="2" t="n">
        <f aca="false">MAX(N20+IF($A21=O$4,1,-1),O20-1,N21-1)</f>
        <v>-9</v>
      </c>
      <c r="P21" s="2" t="n">
        <f aca="false">MAX(O20+IF($A21=P$4,1,-1),P20-1,O21-1)</f>
        <v>-9</v>
      </c>
      <c r="Q21" s="2" t="n">
        <f aca="false">MAX(P20+IF($A21=Q$4,1,-1),Q20-1,P21-1)</f>
        <v>-10</v>
      </c>
      <c r="R21" s="2" t="n">
        <f aca="false">MAX(Q20+IF($A21=R$4,1,-1),R20-1,Q21-1)</f>
        <v>-11</v>
      </c>
      <c r="S21" s="2" t="n">
        <f aca="false">MAX(R20+IF($A21=S$4,1,-1),S20-1,R21-1)</f>
        <v>-11</v>
      </c>
      <c r="T21" s="2" t="n">
        <f aca="false">MAX(S20+IF($A21=T$4,1,-1),T20-1,S21-1)</f>
        <v>-12</v>
      </c>
      <c r="U21" s="2" t="n">
        <f aca="false">MAX(T20+IF($A21=U$4,1,-1),U20-1,T21-1)</f>
        <v>-12</v>
      </c>
      <c r="V21" s="2" t="n">
        <f aca="false">MAX(U20+IF($A21=V$4,1,-1),V20-1,U21-1)</f>
        <v>-12</v>
      </c>
      <c r="W21" s="2" t="n">
        <f aca="false">MAX(V20+IF($A21=W$4,1,-1),W20-1,V21-1)</f>
        <v>-13</v>
      </c>
      <c r="X21" s="2" t="n">
        <f aca="false">MAX(W20+IF($A21=X$4,1,-1),X20-1,W21-1)</f>
        <v>-14</v>
      </c>
      <c r="Y21" s="2" t="n">
        <f aca="false">MAX(X20+IF($A21=Y$4,1,-1),Y20-1,X21-1)</f>
        <v>-15</v>
      </c>
      <c r="Z21" s="2" t="n">
        <f aca="false">MAX(Y20+IF($A21=Z$4,1,-1),Z20-1,Y21-1)</f>
        <v>-16</v>
      </c>
      <c r="AA21" s="2" t="n">
        <f aca="false">MAX(Z20+IF($A21=AA$4,1,-1),AA20-1,Z21-1)</f>
        <v>-17</v>
      </c>
      <c r="AB21" s="2" t="n">
        <f aca="false">MAX(AA20+IF($A21=AB$4,1,-1),AB20-1,AA21-1)</f>
        <v>-18</v>
      </c>
      <c r="AC21" s="2" t="n">
        <f aca="false">MAX(AB20+IF($A21=AC$4,1,-1),AC20-1,AB21-1)</f>
        <v>-19</v>
      </c>
      <c r="AD21" s="2" t="n">
        <f aca="false">MAX(AC20+IF($A21=AD$4,1,-1),AD20-1,AC21-1)</f>
        <v>-20</v>
      </c>
      <c r="AE21" s="2" t="n">
        <f aca="false">MAX(AD20+IF($A21=AE$4,1,-1),AE20-1,AD21-1)</f>
        <v>-21</v>
      </c>
      <c r="AF21" s="2" t="n">
        <f aca="false">MAX(AE20+IF($A21=AF$4,1,-1),AF20-1,AE21-1)</f>
        <v>-22</v>
      </c>
      <c r="AG21" s="2" t="n">
        <f aca="false">MAX(AF20+IF($A21=AG$4,1,-1),AG20-1,AF21-1)</f>
        <v>-23</v>
      </c>
      <c r="AH21" s="2" t="n">
        <f aca="false">MAX(AG20+IF($A21=AH$4,1,-1),AH20-1,AG21-1)</f>
        <v>-24</v>
      </c>
      <c r="AI21" s="2" t="n">
        <f aca="false">MAX(AH20+IF($A21=AI$4,1,-1),AI20-1,AH21-1)</f>
        <v>-25</v>
      </c>
      <c r="AJ21" s="2" t="n">
        <f aca="false">MAX(AI20+IF($A21=AJ$4,1,-1),AJ20-1,AI21-1)</f>
        <v>-26</v>
      </c>
      <c r="AK21" s="2" t="n">
        <f aca="false">MAX(AJ20+IF($A21=AK$4,1,-1),AK20-1,AJ21-1)</f>
        <v>-27</v>
      </c>
      <c r="AL21" s="2" t="n">
        <f aca="false">MAX(AK20+IF($A21=AL$4,1,-1),AL20-1,AK21-1)</f>
        <v>-28</v>
      </c>
      <c r="AM21" s="2" t="n">
        <f aca="false">MAX(AL20+IF($A21=AM$4,1,-1),AM20-1,AL21-1)</f>
        <v>-29</v>
      </c>
      <c r="AN21" s="2" t="n">
        <f aca="false">MAX(AM20+IF($A21=AN$4,1,-1),AN20-1,AM21-1)</f>
        <v>-30</v>
      </c>
      <c r="AO21" s="2" t="n">
        <f aca="false">MAX(AN20+IF($A21=AO$4,1,-1),AO20-1,AN21-1)</f>
        <v>-31</v>
      </c>
      <c r="AP21" s="2" t="n">
        <f aca="false">MAX(AO20+IF($A21=AP$4,1,-1),AP20-1,AO21-1)</f>
        <v>-32</v>
      </c>
      <c r="AQ21" s="2" t="n">
        <f aca="false">MAX(AP20+IF($A21=AQ$4,1,-1),AQ20-1,AP21-1)</f>
        <v>-33</v>
      </c>
      <c r="AR21" s="2" t="n">
        <f aca="false">MAX(AQ20+IF($A21=AR$4,1,-1),AR20-1,AQ21-1)</f>
        <v>-34</v>
      </c>
      <c r="AS21" s="2" t="n">
        <f aca="false">MAX(AR20+IF($A21=AS$4,1,-1),AS20-1,AR21-1)</f>
        <v>-35</v>
      </c>
      <c r="AT21" s="2" t="n">
        <f aca="false">MAX(AS20+IF($A21=AT$4,1,-1),AT20-1,AS21-1)</f>
        <v>-36</v>
      </c>
      <c r="AU21" s="2" t="n">
        <f aca="false">MAX(AT20+IF($A21=AU$4,1,-1),AU20-1,AT21-1)</f>
        <v>-37</v>
      </c>
      <c r="AV21" s="2" t="n">
        <f aca="false">MAX(AU20+IF($A21=AV$4,1,-1),AV20-1,AU21-1)</f>
        <v>-38</v>
      </c>
      <c r="AW21" s="2" t="n">
        <f aca="false">MAX(AV20+IF($A21=AW$4,1,-1),AW20-1,AV21-1)</f>
        <v>-39</v>
      </c>
      <c r="AX21" s="2" t="n">
        <f aca="false">MAX(AW20+IF($A21=AX$4,1,-1),AX20-1,AW21-1)</f>
        <v>-40</v>
      </c>
      <c r="AY21" s="2" t="n">
        <f aca="false">MAX(AX20+IF($A21=AY$4,1,-1),AY20-1,AX21-1)</f>
        <v>-41</v>
      </c>
      <c r="AZ21" s="2" t="n">
        <f aca="false">MAX(AY20+IF($A21=AZ$4,1,-1),AZ20-1,AY21-1)</f>
        <v>-42</v>
      </c>
      <c r="BA21" s="2" t="n">
        <f aca="false">MAX(AZ20+IF($A21=BA$4,1,-1),BA20-1,AZ21-1)</f>
        <v>-43</v>
      </c>
      <c r="BB21" s="2" t="n">
        <f aca="false">MAX(BA20+IF($A21=BB$4,1,-1),BB20-1,BA21-1)</f>
        <v>-44</v>
      </c>
      <c r="BC21" s="2" t="n">
        <f aca="false">MAX(BB20+IF($A21=BC$4,1,-1),BC20-1,BB21-1)</f>
        <v>-45</v>
      </c>
      <c r="BD21" s="2" t="n">
        <f aca="false">MAX(BC20+IF($A21=BD$4,1,-1),BD20-1,BC21-1)</f>
        <v>-46</v>
      </c>
      <c r="BE21" s="2" t="n">
        <f aca="false">MAX(BD20+IF($A21=BE$4,1,-1),BE20-1,BD21-1)</f>
        <v>-47</v>
      </c>
      <c r="BF21" s="2" t="n">
        <f aca="false">MAX(BE20+IF($A21=BF$4,1,-1),BF20-1,BE21-1)</f>
        <v>-48</v>
      </c>
      <c r="BG21" s="2" t="n">
        <f aca="false">MAX(BF20+IF($A21=BG$4,1,-1),BG20-1,BF21-1)</f>
        <v>-49</v>
      </c>
      <c r="BH21" s="2" t="n">
        <f aca="false">MAX(BG20+IF($A21=BH$4,1,-1),BH20-1,BG21-1)</f>
        <v>-50</v>
      </c>
      <c r="BI21" s="2" t="n">
        <f aca="false">MAX(BH20+IF($A21=BI$4,1,-1),BI20-1,BH21-1)</f>
        <v>-51</v>
      </c>
      <c r="BJ21" s="2" t="n">
        <f aca="false">MAX(BI20+IF($A21=BJ$4,1,-1),BJ20-1,BI21-1)</f>
        <v>-52</v>
      </c>
      <c r="BK21" s="2" t="n">
        <f aca="false">MAX(BJ20+IF($A21=BK$4,1,-1),BK20-1,BJ21-1)</f>
        <v>-53</v>
      </c>
      <c r="BL21" s="2" t="n">
        <f aca="false">MAX(BK20+IF($A21=BL$4,1,-1),BL20-1,BK21-1)</f>
        <v>-53</v>
      </c>
      <c r="BM21" s="2" t="n">
        <f aca="false">MAX(BL20+IF($A21=BM$4,1,-1),BM20-1,BL21-1)</f>
        <v>-53</v>
      </c>
      <c r="BN21" s="2" t="n">
        <f aca="false">MAX(BM20+IF($A21=BN$4,1,-1),BN20-1,BM21-1)</f>
        <v>-54</v>
      </c>
      <c r="BO21" s="2" t="n">
        <f aca="false">MAX(BN20+IF($A21=BO$4,1,-1),BO20-1,BN21-1)</f>
        <v>-55</v>
      </c>
      <c r="BP21" s="2" t="n">
        <f aca="false">MAX(BO20+IF($A21=BP$4,1,-1),BP20-1,BO21-1)</f>
        <v>-56</v>
      </c>
      <c r="BQ21" s="2" t="n">
        <f aca="false">MAX(BP20+IF($A21=BQ$4,1,-1),BQ20-1,BP21-1)</f>
        <v>-57</v>
      </c>
      <c r="BR21" s="2" t="n">
        <f aca="false">MAX(BQ20+IF($A21=BR$4,1,-1),BR20-1,BQ21-1)</f>
        <v>-58</v>
      </c>
      <c r="BS21" s="2" t="n">
        <f aca="false">MAX(BR20+IF($A21=BS$4,1,-1),BS20-1,BR21-1)</f>
        <v>-59</v>
      </c>
      <c r="BT21" s="2" t="n">
        <f aca="false">MAX(BS20+IF($A21=BT$4,1,-1),BT20-1,BS21-1)</f>
        <v>-60</v>
      </c>
      <c r="BU21" s="2" t="n">
        <f aca="false">MAX(BT20+IF($A21=BU$4,1,-1),BU20-1,BT21-1)</f>
        <v>-61</v>
      </c>
      <c r="BV21" s="2" t="n">
        <f aca="false">MAX(BU20+IF($A21=BV$4,1,-1),BV20-1,BU21-1)</f>
        <v>-62</v>
      </c>
      <c r="BW21" s="2" t="n">
        <f aca="false">MAX(BV20+IF($A21=BW$4,1,-1),BW20-1,BV21-1)</f>
        <v>-63</v>
      </c>
      <c r="BX21" s="2" t="n">
        <f aca="false">MAX(BW20+IF($A21=BX$4,1,-1),BX20-1,BW21-1)</f>
        <v>-64</v>
      </c>
      <c r="BY21" s="2" t="n">
        <f aca="false">MAX(BX20+IF($A21=BY$4,1,-1),BY20-1,BX21-1)</f>
        <v>-65</v>
      </c>
      <c r="BZ21" s="2" t="n">
        <f aca="false">MAX(BY20+IF($A21=BZ$4,1,-1),BZ20-1,BY21-1)</f>
        <v>-66</v>
      </c>
      <c r="CA21" s="2" t="n">
        <f aca="false">MAX(BZ20+IF($A21=CA$4,1,-1),CA20-1,BZ21-1)</f>
        <v>-67</v>
      </c>
      <c r="CB21" s="2" t="n">
        <f aca="false">MAX(CA20+IF($A21=CB$4,1,-1),CB20-1,CA21-1)</f>
        <v>-68</v>
      </c>
      <c r="CC21" s="2" t="n">
        <f aca="false">MAX(CB20+IF($A21=CC$4,1,-1),CC20-1,CB21-1)</f>
        <v>-69</v>
      </c>
      <c r="CD21" s="2" t="n">
        <f aca="false">MAX(CC20+IF($A21=CD$4,1,-1),CD20-1,CC21-1)</f>
        <v>-70</v>
      </c>
      <c r="CE21" s="2" t="n">
        <f aca="false">MAX(CD20+IF($A21=CE$4,1,-1),CE20-1,CD21-1)</f>
        <v>-71</v>
      </c>
      <c r="CF21" s="2" t="n">
        <f aca="false">MAX(CE20+IF($A21=CF$4,1,-1),CF20-1,CE21-1)</f>
        <v>-72</v>
      </c>
      <c r="CG21" s="2" t="n">
        <f aca="false">MAX(CF20+IF($A21=CG$4,1,-1),CG20-1,CF21-1)</f>
        <v>-73</v>
      </c>
      <c r="CH21" s="2" t="n">
        <f aca="false">MAX(CG20+IF($A21=CH$4,1,-1),CH20-1,CG21-1)</f>
        <v>-74</v>
      </c>
      <c r="CI21" s="2" t="n">
        <f aca="false">MAX(CH20+IF($A21=CI$4,1,-1),CI20-1,CH21-1)</f>
        <v>-75</v>
      </c>
      <c r="CJ21" s="2" t="n">
        <f aca="false">MAX(CI20+IF($A21=CJ$4,1,-1),CJ20-1,CI21-1)</f>
        <v>-76</v>
      </c>
      <c r="CK21" s="2" t="n">
        <f aca="false">MAX(CJ20+IF($A21=CK$4,1,-1),CK20-1,CJ21-1)</f>
        <v>-77</v>
      </c>
      <c r="CL21" s="2" t="n">
        <f aca="false">MAX(CK20+IF($A21=CL$4,1,-1),CL20-1,CK21-1)</f>
        <v>-78</v>
      </c>
      <c r="CM21" s="2" t="n">
        <f aca="false">MAX(CL20+IF($A21=CM$4,1,-1),CM20-1,CL21-1)</f>
        <v>-79</v>
      </c>
      <c r="CN21" s="2" t="n">
        <f aca="false">MAX(CM20+IF($A21=CN$4,1,-1),CN20-1,CM21-1)</f>
        <v>-80</v>
      </c>
      <c r="CO21" s="2" t="n">
        <f aca="false">MAX(CN20+IF($A21=CO$4,1,-1),CO20-1,CN21-1)</f>
        <v>-81</v>
      </c>
      <c r="CP21" s="2" t="n">
        <f aca="false">MAX(CO20+IF($A21=CP$4,1,-1),CP20-1,CO21-1)</f>
        <v>-82</v>
      </c>
      <c r="CQ21" s="2" t="n">
        <f aca="false">MAX(CP20+IF($A21=CQ$4,1,-1),CQ20-1,CP21-1)</f>
        <v>-83</v>
      </c>
    </row>
    <row r="22" customFormat="false" ht="15" hidden="false" customHeight="false" outlineLevel="0" collapsed="false">
      <c r="A22" s="4" t="s">
        <v>92</v>
      </c>
      <c r="B22" s="12" t="n">
        <v>-17</v>
      </c>
      <c r="C22" s="2" t="n">
        <f aca="false">MAX(B21+IF($A22=C$4,1,-1),C21-1,B22-1)</f>
        <v>-17</v>
      </c>
      <c r="D22" s="2" t="n">
        <f aca="false">MAX(C21+IF($A22=D$4,1,-1),D21-1,C22-1)</f>
        <v>-16</v>
      </c>
      <c r="E22" s="2" t="n">
        <f aca="false">MAX(D21+IF($A22=E$4,1,-1),E21-1,D22-1)</f>
        <v>-14</v>
      </c>
      <c r="F22" s="2" t="n">
        <f aca="false">MAX(E21+IF($A22=F$4,1,-1),F21-1,E22-1)</f>
        <v>-12</v>
      </c>
      <c r="G22" s="2" t="n">
        <f aca="false">MAX(F21+IF($A22=G$4,1,-1),G21-1,F22-1)</f>
        <v>-12</v>
      </c>
      <c r="H22" s="2" t="n">
        <f aca="false">MAX(G21+IF($A22=H$4,1,-1),H21-1,G22-1)</f>
        <v>-12</v>
      </c>
      <c r="I22" s="2" t="n">
        <f aca="false">MAX(H21+IF($A22=I$4,1,-1),I21-1,H22-1)</f>
        <v>-12</v>
      </c>
      <c r="J22" s="2" t="n">
        <f aca="false">MAX(I21+IF($A22=J$4,1,-1),J21-1,I22-1)</f>
        <v>-12</v>
      </c>
      <c r="K22" s="2" t="n">
        <f aca="false">MAX(J21+IF($A22=K$4,1,-1),K21-1,J22-1)</f>
        <v>-10</v>
      </c>
      <c r="L22" s="2" t="n">
        <f aca="false">MAX(K21+IF($A22=L$4,1,-1),L21-1,K22-1)</f>
        <v>-10</v>
      </c>
      <c r="M22" s="2" t="n">
        <f aca="false">MAX(L21+IF($A22=M$4,1,-1),M21-1,L22-1)</f>
        <v>-10</v>
      </c>
      <c r="N22" s="2" t="n">
        <f aca="false">MAX(M21+IF($A22=N$4,1,-1),N21-1,M22-1)</f>
        <v>-9</v>
      </c>
      <c r="O22" s="2" t="n">
        <f aca="false">MAX(N21+IF($A22=O$4,1,-1),O21-1,N22-1)</f>
        <v>-10</v>
      </c>
      <c r="P22" s="2" t="n">
        <f aca="false">MAX(O21+IF($A22=P$4,1,-1),P21-1,O22-1)</f>
        <v>-10</v>
      </c>
      <c r="Q22" s="2" t="n">
        <f aca="false">MAX(P21+IF($A22=Q$4,1,-1),Q21-1,P22-1)</f>
        <v>-10</v>
      </c>
      <c r="R22" s="2" t="n">
        <f aca="false">MAX(Q21+IF($A22=R$4,1,-1),R21-1,Q22-1)</f>
        <v>-11</v>
      </c>
      <c r="S22" s="2" t="n">
        <f aca="false">MAX(R21+IF($A22=S$4,1,-1),S21-1,R22-1)</f>
        <v>-12</v>
      </c>
      <c r="T22" s="2" t="n">
        <f aca="false">MAX(S21+IF($A22=T$4,1,-1),T21-1,S22-1)</f>
        <v>-12</v>
      </c>
      <c r="U22" s="2" t="n">
        <f aca="false">MAX(T21+IF($A22=U$4,1,-1),U21-1,T22-1)</f>
        <v>-13</v>
      </c>
      <c r="V22" s="2" t="n">
        <f aca="false">MAX(U21+IF($A22=V$4,1,-1),V21-1,U22-1)</f>
        <v>-13</v>
      </c>
      <c r="W22" s="2" t="n">
        <f aca="false">MAX(V21+IF($A22=W$4,1,-1),W21-1,V22-1)</f>
        <v>-13</v>
      </c>
      <c r="X22" s="2" t="n">
        <f aca="false">MAX(W21+IF($A22=X$4,1,-1),X21-1,W22-1)</f>
        <v>-14</v>
      </c>
      <c r="Y22" s="2" t="n">
        <f aca="false">MAX(X21+IF($A22=Y$4,1,-1),Y21-1,X22-1)</f>
        <v>-15</v>
      </c>
      <c r="Z22" s="2" t="n">
        <f aca="false">MAX(Y21+IF($A22=Z$4,1,-1),Z21-1,Y22-1)</f>
        <v>-16</v>
      </c>
      <c r="AA22" s="2" t="n">
        <f aca="false">MAX(Z21+IF($A22=AA$4,1,-1),AA21-1,Z22-1)</f>
        <v>-17</v>
      </c>
      <c r="AB22" s="2" t="n">
        <f aca="false">MAX(AA21+IF($A22=AB$4,1,-1),AB21-1,AA22-1)</f>
        <v>-18</v>
      </c>
      <c r="AC22" s="2" t="n">
        <f aca="false">MAX(AB21+IF($A22=AC$4,1,-1),AC21-1,AB22-1)</f>
        <v>-19</v>
      </c>
      <c r="AD22" s="2" t="n">
        <f aca="false">MAX(AC21+IF($A22=AD$4,1,-1),AD21-1,AC22-1)</f>
        <v>-20</v>
      </c>
      <c r="AE22" s="2" t="n">
        <f aca="false">MAX(AD21+IF($A22=AE$4,1,-1),AE21-1,AD22-1)</f>
        <v>-21</v>
      </c>
      <c r="AF22" s="2" t="n">
        <f aca="false">MAX(AE21+IF($A22=AF$4,1,-1),AF21-1,AE22-1)</f>
        <v>-22</v>
      </c>
      <c r="AG22" s="2" t="n">
        <f aca="false">MAX(AF21+IF($A22=AG$4,1,-1),AG21-1,AF22-1)</f>
        <v>-23</v>
      </c>
      <c r="AH22" s="2" t="n">
        <f aca="false">MAX(AG21+IF($A22=AH$4,1,-1),AH21-1,AG22-1)</f>
        <v>-24</v>
      </c>
      <c r="AI22" s="2" t="n">
        <f aca="false">MAX(AH21+IF($A22=AI$4,1,-1),AI21-1,AH22-1)</f>
        <v>-25</v>
      </c>
      <c r="AJ22" s="2" t="n">
        <f aca="false">MAX(AI21+IF($A22=AJ$4,1,-1),AJ21-1,AI22-1)</f>
        <v>-26</v>
      </c>
      <c r="AK22" s="2" t="n">
        <f aca="false">MAX(AJ21+IF($A22=AK$4,1,-1),AK21-1,AJ22-1)</f>
        <v>-27</v>
      </c>
      <c r="AL22" s="2" t="n">
        <f aca="false">MAX(AK21+IF($A22=AL$4,1,-1),AL21-1,AK22-1)</f>
        <v>-28</v>
      </c>
      <c r="AM22" s="2" t="n">
        <f aca="false">MAX(AL21+IF($A22=AM$4,1,-1),AM21-1,AL22-1)</f>
        <v>-29</v>
      </c>
      <c r="AN22" s="2" t="n">
        <f aca="false">MAX(AM21+IF($A22=AN$4,1,-1),AN21-1,AM22-1)</f>
        <v>-30</v>
      </c>
      <c r="AO22" s="2" t="n">
        <f aca="false">MAX(AN21+IF($A22=AO$4,1,-1),AO21-1,AN22-1)</f>
        <v>-31</v>
      </c>
      <c r="AP22" s="2" t="n">
        <f aca="false">MAX(AO21+IF($A22=AP$4,1,-1),AP21-1,AO22-1)</f>
        <v>-32</v>
      </c>
      <c r="AQ22" s="2" t="n">
        <f aca="false">MAX(AP21+IF($A22=AQ$4,1,-1),AQ21-1,AP22-1)</f>
        <v>-33</v>
      </c>
      <c r="AR22" s="2" t="n">
        <f aca="false">MAX(AQ21+IF($A22=AR$4,1,-1),AR21-1,AQ22-1)</f>
        <v>-34</v>
      </c>
      <c r="AS22" s="2" t="n">
        <f aca="false">MAX(AR21+IF($A22=AS$4,1,-1),AS21-1,AR22-1)</f>
        <v>-35</v>
      </c>
      <c r="AT22" s="2" t="n">
        <f aca="false">MAX(AS21+IF($A22=AT$4,1,-1),AT21-1,AS22-1)</f>
        <v>-36</v>
      </c>
      <c r="AU22" s="2" t="n">
        <f aca="false">MAX(AT21+IF($A22=AU$4,1,-1),AU21-1,AT22-1)</f>
        <v>-37</v>
      </c>
      <c r="AV22" s="2" t="n">
        <f aca="false">MAX(AU21+IF($A22=AV$4,1,-1),AV21-1,AU22-1)</f>
        <v>-38</v>
      </c>
      <c r="AW22" s="2" t="n">
        <f aca="false">MAX(AV21+IF($A22=AW$4,1,-1),AW21-1,AV22-1)</f>
        <v>-39</v>
      </c>
      <c r="AX22" s="2" t="n">
        <f aca="false">MAX(AW21+IF($A22=AX$4,1,-1),AX21-1,AW22-1)</f>
        <v>-40</v>
      </c>
      <c r="AY22" s="2" t="n">
        <f aca="false">MAX(AX21+IF($A22=AY$4,1,-1),AY21-1,AX22-1)</f>
        <v>-41</v>
      </c>
      <c r="AZ22" s="2" t="n">
        <f aca="false">MAX(AY21+IF($A22=AZ$4,1,-1),AZ21-1,AY22-1)</f>
        <v>-42</v>
      </c>
      <c r="BA22" s="2" t="n">
        <f aca="false">MAX(AZ21+IF($A22=BA$4,1,-1),BA21-1,AZ22-1)</f>
        <v>-43</v>
      </c>
      <c r="BB22" s="2" t="n">
        <f aca="false">MAX(BA21+IF($A22=BB$4,1,-1),BB21-1,BA22-1)</f>
        <v>-44</v>
      </c>
      <c r="BC22" s="2" t="n">
        <f aca="false">MAX(BB21+IF($A22=BC$4,1,-1),BC21-1,BB22-1)</f>
        <v>-45</v>
      </c>
      <c r="BD22" s="2" t="n">
        <f aca="false">MAX(BC21+IF($A22=BD$4,1,-1),BD21-1,BC22-1)</f>
        <v>-46</v>
      </c>
      <c r="BE22" s="2" t="n">
        <f aca="false">MAX(BD21+IF($A22=BE$4,1,-1),BE21-1,BD22-1)</f>
        <v>-47</v>
      </c>
      <c r="BF22" s="2" t="n">
        <f aca="false">MAX(BE21+IF($A22=BF$4,1,-1),BF21-1,BE22-1)</f>
        <v>-48</v>
      </c>
      <c r="BG22" s="2" t="n">
        <f aca="false">MAX(BF21+IF($A22=BG$4,1,-1),BG21-1,BF22-1)</f>
        <v>-49</v>
      </c>
      <c r="BH22" s="2" t="n">
        <f aca="false">MAX(BG21+IF($A22=BH$4,1,-1),BH21-1,BG22-1)</f>
        <v>-50</v>
      </c>
      <c r="BI22" s="2" t="n">
        <f aca="false">MAX(BH21+IF($A22=BI$4,1,-1),BI21-1,BH22-1)</f>
        <v>-49</v>
      </c>
      <c r="BJ22" s="2" t="n">
        <f aca="false">MAX(BI21+IF($A22=BJ$4,1,-1),BJ21-1,BI22-1)</f>
        <v>-50</v>
      </c>
      <c r="BK22" s="2" t="n">
        <f aca="false">MAX(BJ21+IF($A22=BK$4,1,-1),BK21-1,BJ22-1)</f>
        <v>-51</v>
      </c>
      <c r="BL22" s="2" t="n">
        <f aca="false">MAX(BK21+IF($A22=BL$4,1,-1),BL21-1,BK22-1)</f>
        <v>-52</v>
      </c>
      <c r="BM22" s="2" t="n">
        <f aca="false">MAX(BL21+IF($A22=BM$4,1,-1),BM21-1,BL22-1)</f>
        <v>-53</v>
      </c>
      <c r="BN22" s="2" t="n">
        <f aca="false">MAX(BM21+IF($A22=BN$4,1,-1),BN21-1,BM22-1)</f>
        <v>-54</v>
      </c>
      <c r="BO22" s="2" t="n">
        <f aca="false">MAX(BN21+IF($A22=BO$4,1,-1),BO21-1,BN22-1)</f>
        <v>-55</v>
      </c>
      <c r="BP22" s="2" t="n">
        <f aca="false">MAX(BO21+IF($A22=BP$4,1,-1),BP21-1,BO22-1)</f>
        <v>-56</v>
      </c>
      <c r="BQ22" s="2" t="n">
        <f aca="false">MAX(BP21+IF($A22=BQ$4,1,-1),BQ21-1,BP22-1)</f>
        <v>-57</v>
      </c>
      <c r="BR22" s="2" t="n">
        <f aca="false">MAX(BQ21+IF($A22=BR$4,1,-1),BR21-1,BQ22-1)</f>
        <v>-58</v>
      </c>
      <c r="BS22" s="2" t="n">
        <f aca="false">MAX(BR21+IF($A22=BS$4,1,-1),BS21-1,BR22-1)</f>
        <v>-59</v>
      </c>
      <c r="BT22" s="2" t="n">
        <f aca="false">MAX(BS21+IF($A22=BT$4,1,-1),BT21-1,BS22-1)</f>
        <v>-60</v>
      </c>
      <c r="BU22" s="2" t="n">
        <f aca="false">MAX(BT21+IF($A22=BU$4,1,-1),BU21-1,BT22-1)</f>
        <v>-61</v>
      </c>
      <c r="BV22" s="2" t="n">
        <f aca="false">MAX(BU21+IF($A22=BV$4,1,-1),BV21-1,BU22-1)</f>
        <v>-62</v>
      </c>
      <c r="BW22" s="2" t="n">
        <f aca="false">MAX(BV21+IF($A22=BW$4,1,-1),BW21-1,BV22-1)</f>
        <v>-63</v>
      </c>
      <c r="BX22" s="2" t="n">
        <f aca="false">MAX(BW21+IF($A22=BX$4,1,-1),BX21-1,BW22-1)</f>
        <v>-64</v>
      </c>
      <c r="BY22" s="2" t="n">
        <f aca="false">MAX(BX21+IF($A22=BY$4,1,-1),BY21-1,BX22-1)</f>
        <v>-65</v>
      </c>
      <c r="BZ22" s="2" t="n">
        <f aca="false">MAX(BY21+IF($A22=BZ$4,1,-1),BZ21-1,BY22-1)</f>
        <v>-66</v>
      </c>
      <c r="CA22" s="2" t="n">
        <f aca="false">MAX(BZ21+IF($A22=CA$4,1,-1),CA21-1,BZ22-1)</f>
        <v>-67</v>
      </c>
      <c r="CB22" s="2" t="n">
        <f aca="false">MAX(CA21+IF($A22=CB$4,1,-1),CB21-1,CA22-1)</f>
        <v>-68</v>
      </c>
      <c r="CC22" s="2" t="n">
        <f aca="false">MAX(CB21+IF($A22=CC$4,1,-1),CC21-1,CB22-1)</f>
        <v>-69</v>
      </c>
      <c r="CD22" s="2" t="n">
        <f aca="false">MAX(CC21+IF($A22=CD$4,1,-1),CD21-1,CC22-1)</f>
        <v>-70</v>
      </c>
      <c r="CE22" s="2" t="n">
        <f aca="false">MAX(CD21+IF($A22=CE$4,1,-1),CE21-1,CD22-1)</f>
        <v>-71</v>
      </c>
      <c r="CF22" s="2" t="n">
        <f aca="false">MAX(CE21+IF($A22=CF$4,1,-1),CF21-1,CE22-1)</f>
        <v>-72</v>
      </c>
      <c r="CG22" s="2" t="n">
        <f aca="false">MAX(CF21+IF($A22=CG$4,1,-1),CG21-1,CF22-1)</f>
        <v>-73</v>
      </c>
      <c r="CH22" s="2" t="n">
        <f aca="false">MAX(CG21+IF($A22=CH$4,1,-1),CH21-1,CG22-1)</f>
        <v>-74</v>
      </c>
      <c r="CI22" s="2" t="n">
        <f aca="false">MAX(CH21+IF($A22=CI$4,1,-1),CI21-1,CH22-1)</f>
        <v>-75</v>
      </c>
      <c r="CJ22" s="2" t="n">
        <f aca="false">MAX(CI21+IF($A22=CJ$4,1,-1),CJ21-1,CI22-1)</f>
        <v>-76</v>
      </c>
      <c r="CK22" s="2" t="n">
        <f aca="false">MAX(CJ21+IF($A22=CK$4,1,-1),CK21-1,CJ22-1)</f>
        <v>-77</v>
      </c>
      <c r="CL22" s="2" t="n">
        <f aca="false">MAX(CK21+IF($A22=CL$4,1,-1),CL21-1,CK22-1)</f>
        <v>-78</v>
      </c>
      <c r="CM22" s="2" t="n">
        <f aca="false">MAX(CL21+IF($A22=CM$4,1,-1),CM21-1,CL22-1)</f>
        <v>-79</v>
      </c>
      <c r="CN22" s="2" t="n">
        <f aca="false">MAX(CM21+IF($A22=CN$4,1,-1),CN21-1,CM22-1)</f>
        <v>-80</v>
      </c>
      <c r="CO22" s="2" t="n">
        <f aca="false">MAX(CN21+IF($A22=CO$4,1,-1),CO21-1,CN22-1)</f>
        <v>-81</v>
      </c>
      <c r="CP22" s="2" t="n">
        <f aca="false">MAX(CO21+IF($A22=CP$4,1,-1),CP21-1,CO22-1)</f>
        <v>-82</v>
      </c>
      <c r="CQ22" s="2" t="n">
        <f aca="false">MAX(CP21+IF($A22=CQ$4,1,-1),CQ21-1,CP22-1)</f>
        <v>-83</v>
      </c>
    </row>
    <row r="23" customFormat="false" ht="15" hidden="false" customHeight="false" outlineLevel="0" collapsed="false">
      <c r="A23" s="4" t="s">
        <v>155</v>
      </c>
      <c r="B23" s="12" t="n">
        <v>-18</v>
      </c>
      <c r="C23" s="2" t="n">
        <f aca="false">MAX(B22+IF($A23=C$4,1,-1),C22-1,B23-1)</f>
        <v>-18</v>
      </c>
      <c r="D23" s="2" t="n">
        <f aca="false">MAX(C22+IF($A23=D$4,1,-1),D22-1,C23-1)</f>
        <v>-17</v>
      </c>
      <c r="E23" s="2" t="n">
        <f aca="false">MAX(D22+IF($A23=E$4,1,-1),E22-1,D23-1)</f>
        <v>-15</v>
      </c>
      <c r="F23" s="2" t="n">
        <f aca="false">MAX(E22+IF($A23=F$4,1,-1),F22-1,E23-1)</f>
        <v>-13</v>
      </c>
      <c r="G23" s="2" t="n">
        <f aca="false">MAX(F22+IF($A23=G$4,1,-1),G22-1,F23-1)</f>
        <v>-13</v>
      </c>
      <c r="H23" s="2" t="n">
        <f aca="false">MAX(G22+IF($A23=H$4,1,-1),H22-1,G23-1)</f>
        <v>-13</v>
      </c>
      <c r="I23" s="2" t="n">
        <f aca="false">MAX(H22+IF($A23=I$4,1,-1),I22-1,H23-1)</f>
        <v>-13</v>
      </c>
      <c r="J23" s="2" t="n">
        <f aca="false">MAX(I22+IF($A23=J$4,1,-1),J22-1,I23-1)</f>
        <v>-13</v>
      </c>
      <c r="K23" s="2" t="n">
        <f aca="false">MAX(J22+IF($A23=K$4,1,-1),K22-1,J23-1)</f>
        <v>-11</v>
      </c>
      <c r="L23" s="2" t="n">
        <f aca="false">MAX(K22+IF($A23=L$4,1,-1),L22-1,K23-1)</f>
        <v>-11</v>
      </c>
      <c r="M23" s="2" t="n">
        <f aca="false">MAX(L22+IF($A23=M$4,1,-1),M22-1,L23-1)</f>
        <v>-11</v>
      </c>
      <c r="N23" s="2" t="n">
        <f aca="false">MAX(M22+IF($A23=N$4,1,-1),N22-1,M23-1)</f>
        <v>-10</v>
      </c>
      <c r="O23" s="2" t="n">
        <f aca="false">MAX(N22+IF($A23=O$4,1,-1),O22-1,N23-1)</f>
        <v>-10</v>
      </c>
      <c r="P23" s="2" t="n">
        <f aca="false">MAX(O22+IF($A23=P$4,1,-1),P22-1,O23-1)</f>
        <v>-11</v>
      </c>
      <c r="Q23" s="2" t="n">
        <f aca="false">MAX(P22+IF($A23=Q$4,1,-1),Q22-1,P23-1)</f>
        <v>-11</v>
      </c>
      <c r="R23" s="2" t="n">
        <f aca="false">MAX(Q22+IF($A23=R$4,1,-1),R22-1,Q23-1)</f>
        <v>-11</v>
      </c>
      <c r="S23" s="2" t="n">
        <f aca="false">MAX(R22+IF($A23=S$4,1,-1),S22-1,R23-1)</f>
        <v>-12</v>
      </c>
      <c r="T23" s="2" t="n">
        <f aca="false">MAX(S22+IF($A23=T$4,1,-1),T22-1,S23-1)</f>
        <v>-13</v>
      </c>
      <c r="U23" s="2" t="n">
        <f aca="false">MAX(T22+IF($A23=U$4,1,-1),U22-1,T23-1)</f>
        <v>-13</v>
      </c>
      <c r="V23" s="2" t="n">
        <f aca="false">MAX(U22+IF($A23=V$4,1,-1),V22-1,U23-1)</f>
        <v>-14</v>
      </c>
      <c r="W23" s="2" t="n">
        <f aca="false">MAX(V22+IF($A23=W$4,1,-1),W22-1,V23-1)</f>
        <v>-14</v>
      </c>
      <c r="X23" s="2" t="n">
        <f aca="false">MAX(W22+IF($A23=X$4,1,-1),X22-1,W23-1)</f>
        <v>-14</v>
      </c>
      <c r="Y23" s="2" t="n">
        <f aca="false">MAX(X22+IF($A23=Y$4,1,-1),Y22-1,X23-1)</f>
        <v>-15</v>
      </c>
      <c r="Z23" s="2" t="n">
        <f aca="false">MAX(Y22+IF($A23=Z$4,1,-1),Z22-1,Y23-1)</f>
        <v>-16</v>
      </c>
      <c r="AA23" s="2" t="n">
        <f aca="false">MAX(Z22+IF($A23=AA$4,1,-1),AA22-1,Z23-1)</f>
        <v>-17</v>
      </c>
      <c r="AB23" s="2" t="n">
        <f aca="false">MAX(AA22+IF($A23=AB$4,1,-1),AB22-1,AA23-1)</f>
        <v>-18</v>
      </c>
      <c r="AC23" s="2" t="n">
        <f aca="false">MAX(AB22+IF($A23=AC$4,1,-1),AC22-1,AB23-1)</f>
        <v>-19</v>
      </c>
      <c r="AD23" s="2" t="n">
        <f aca="false">MAX(AC22+IF($A23=AD$4,1,-1),AD22-1,AC23-1)</f>
        <v>-20</v>
      </c>
      <c r="AE23" s="2" t="n">
        <f aca="false">MAX(AD22+IF($A23=AE$4,1,-1),AE22-1,AD23-1)</f>
        <v>-21</v>
      </c>
      <c r="AF23" s="2" t="n">
        <f aca="false">MAX(AE22+IF($A23=AF$4,1,-1),AF22-1,AE23-1)</f>
        <v>-22</v>
      </c>
      <c r="AG23" s="2" t="n">
        <f aca="false">MAX(AF22+IF($A23=AG$4,1,-1),AG22-1,AF23-1)</f>
        <v>-23</v>
      </c>
      <c r="AH23" s="2" t="n">
        <f aca="false">MAX(AG22+IF($A23=AH$4,1,-1),AH22-1,AG23-1)</f>
        <v>-24</v>
      </c>
      <c r="AI23" s="2" t="n">
        <f aca="false">MAX(AH22+IF($A23=AI$4,1,-1),AI22-1,AH23-1)</f>
        <v>-25</v>
      </c>
      <c r="AJ23" s="2" t="n">
        <f aca="false">MAX(AI22+IF($A23=AJ$4,1,-1),AJ22-1,AI23-1)</f>
        <v>-26</v>
      </c>
      <c r="AK23" s="2" t="n">
        <f aca="false">MAX(AJ22+IF($A23=AK$4,1,-1),AK22-1,AJ23-1)</f>
        <v>-27</v>
      </c>
      <c r="AL23" s="2" t="n">
        <f aca="false">MAX(AK22+IF($A23=AL$4,1,-1),AL22-1,AK23-1)</f>
        <v>-28</v>
      </c>
      <c r="AM23" s="2" t="n">
        <f aca="false">MAX(AL22+IF($A23=AM$4,1,-1),AM22-1,AL23-1)</f>
        <v>-29</v>
      </c>
      <c r="AN23" s="2" t="n">
        <f aca="false">MAX(AM22+IF($A23=AN$4,1,-1),AN22-1,AM23-1)</f>
        <v>-30</v>
      </c>
      <c r="AO23" s="2" t="n">
        <f aca="false">MAX(AN22+IF($A23=AO$4,1,-1),AO22-1,AN23-1)</f>
        <v>-31</v>
      </c>
      <c r="AP23" s="2" t="n">
        <f aca="false">MAX(AO22+IF($A23=AP$4,1,-1),AP22-1,AO23-1)</f>
        <v>-32</v>
      </c>
      <c r="AQ23" s="2" t="n">
        <f aca="false">MAX(AP22+IF($A23=AQ$4,1,-1),AQ22-1,AP23-1)</f>
        <v>-33</v>
      </c>
      <c r="AR23" s="2" t="n">
        <f aca="false">MAX(AQ22+IF($A23=AR$4,1,-1),AR22-1,AQ23-1)</f>
        <v>-34</v>
      </c>
      <c r="AS23" s="2" t="n">
        <f aca="false">MAX(AR22+IF($A23=AS$4,1,-1),AS22-1,AR23-1)</f>
        <v>-35</v>
      </c>
      <c r="AT23" s="2" t="n">
        <f aca="false">MAX(AS22+IF($A23=AT$4,1,-1),AT22-1,AS23-1)</f>
        <v>-36</v>
      </c>
      <c r="AU23" s="2" t="n">
        <f aca="false">MAX(AT22+IF($A23=AU$4,1,-1),AU22-1,AT23-1)</f>
        <v>-37</v>
      </c>
      <c r="AV23" s="2" t="n">
        <f aca="false">MAX(AU22+IF($A23=AV$4,1,-1),AV22-1,AU23-1)</f>
        <v>-38</v>
      </c>
      <c r="AW23" s="2" t="n">
        <f aca="false">MAX(AV22+IF($A23=AW$4,1,-1),AW22-1,AV23-1)</f>
        <v>-39</v>
      </c>
      <c r="AX23" s="2" t="n">
        <f aca="false">MAX(AW22+IF($A23=AX$4,1,-1),AX22-1,AW23-1)</f>
        <v>-40</v>
      </c>
      <c r="AY23" s="2" t="n">
        <f aca="false">MAX(AX22+IF($A23=AY$4,1,-1),AY22-1,AX23-1)</f>
        <v>-41</v>
      </c>
      <c r="AZ23" s="2" t="n">
        <f aca="false">MAX(AY22+IF($A23=AZ$4,1,-1),AZ22-1,AY23-1)</f>
        <v>-42</v>
      </c>
      <c r="BA23" s="2" t="n">
        <f aca="false">MAX(AZ22+IF($A23=BA$4,1,-1),BA22-1,AZ23-1)</f>
        <v>-43</v>
      </c>
      <c r="BB23" s="2" t="n">
        <f aca="false">MAX(BA22+IF($A23=BB$4,1,-1),BB22-1,BA23-1)</f>
        <v>-44</v>
      </c>
      <c r="BC23" s="2" t="n">
        <f aca="false">MAX(BB22+IF($A23=BC$4,1,-1),BC22-1,BB23-1)</f>
        <v>-45</v>
      </c>
      <c r="BD23" s="2" t="n">
        <f aca="false">MAX(BC22+IF($A23=BD$4,1,-1),BD22-1,BC23-1)</f>
        <v>-46</v>
      </c>
      <c r="BE23" s="2" t="n">
        <f aca="false">MAX(BD22+IF($A23=BE$4,1,-1),BE22-1,BD23-1)</f>
        <v>-47</v>
      </c>
      <c r="BF23" s="2" t="n">
        <f aca="false">MAX(BE22+IF($A23=BF$4,1,-1),BF22-1,BE23-1)</f>
        <v>-48</v>
      </c>
      <c r="BG23" s="2" t="n">
        <f aca="false">MAX(BF22+IF($A23=BG$4,1,-1),BG22-1,BF23-1)</f>
        <v>-49</v>
      </c>
      <c r="BH23" s="2" t="n">
        <f aca="false">MAX(BG22+IF($A23=BH$4,1,-1),BH22-1,BG23-1)</f>
        <v>-50</v>
      </c>
      <c r="BI23" s="2" t="n">
        <f aca="false">MAX(BH22+IF($A23=BI$4,1,-1),BI22-1,BH23-1)</f>
        <v>-50</v>
      </c>
      <c r="BJ23" s="2" t="n">
        <f aca="false">MAX(BI22+IF($A23=BJ$4,1,-1),BJ22-1,BI23-1)</f>
        <v>-50</v>
      </c>
      <c r="BK23" s="2" t="n">
        <f aca="false">MAX(BJ22+IF($A23=BK$4,1,-1),BK22-1,BJ23-1)</f>
        <v>-51</v>
      </c>
      <c r="BL23" s="2" t="n">
        <f aca="false">MAX(BK22+IF($A23=BL$4,1,-1),BL22-1,BK23-1)</f>
        <v>-52</v>
      </c>
      <c r="BM23" s="2" t="n">
        <f aca="false">MAX(BL22+IF($A23=BM$4,1,-1),BM22-1,BL23-1)</f>
        <v>-53</v>
      </c>
      <c r="BN23" s="2" t="n">
        <f aca="false">MAX(BM22+IF($A23=BN$4,1,-1),BN22-1,BM23-1)</f>
        <v>-54</v>
      </c>
      <c r="BO23" s="2" t="n">
        <f aca="false">MAX(BN22+IF($A23=BO$4,1,-1),BO22-1,BN23-1)</f>
        <v>-55</v>
      </c>
      <c r="BP23" s="2" t="n">
        <f aca="false">MAX(BO22+IF($A23=BP$4,1,-1),BP22-1,BO23-1)</f>
        <v>-56</v>
      </c>
      <c r="BQ23" s="2" t="n">
        <f aca="false">MAX(BP22+IF($A23=BQ$4,1,-1),BQ22-1,BP23-1)</f>
        <v>-57</v>
      </c>
      <c r="BR23" s="2" t="n">
        <f aca="false">MAX(BQ22+IF($A23=BR$4,1,-1),BR22-1,BQ23-1)</f>
        <v>-58</v>
      </c>
      <c r="BS23" s="2" t="n">
        <f aca="false">MAX(BR22+IF($A23=BS$4,1,-1),BS22-1,BR23-1)</f>
        <v>-59</v>
      </c>
      <c r="BT23" s="2" t="n">
        <f aca="false">MAX(BS22+IF($A23=BT$4,1,-1),BT22-1,BS23-1)</f>
        <v>-60</v>
      </c>
      <c r="BU23" s="2" t="n">
        <f aca="false">MAX(BT22+IF($A23=BU$4,1,-1),BU22-1,BT23-1)</f>
        <v>-61</v>
      </c>
      <c r="BV23" s="2" t="n">
        <f aca="false">MAX(BU22+IF($A23=BV$4,1,-1),BV22-1,BU23-1)</f>
        <v>-62</v>
      </c>
      <c r="BW23" s="2" t="n">
        <f aca="false">MAX(BV22+IF($A23=BW$4,1,-1),BW22-1,BV23-1)</f>
        <v>-63</v>
      </c>
      <c r="BX23" s="2" t="n">
        <f aca="false">MAX(BW22+IF($A23=BX$4,1,-1),BX22-1,BW23-1)</f>
        <v>-64</v>
      </c>
      <c r="BY23" s="2" t="n">
        <f aca="false">MAX(BX22+IF($A23=BY$4,1,-1),BY22-1,BX23-1)</f>
        <v>-65</v>
      </c>
      <c r="BZ23" s="2" t="n">
        <f aca="false">MAX(BY22+IF($A23=BZ$4,1,-1),BZ22-1,BY23-1)</f>
        <v>-66</v>
      </c>
      <c r="CA23" s="2" t="n">
        <f aca="false">MAX(BZ22+IF($A23=CA$4,1,-1),CA22-1,BZ23-1)</f>
        <v>-67</v>
      </c>
      <c r="CB23" s="2" t="n">
        <f aca="false">MAX(CA22+IF($A23=CB$4,1,-1),CB22-1,CA23-1)</f>
        <v>-68</v>
      </c>
      <c r="CC23" s="2" t="n">
        <f aca="false">MAX(CB22+IF($A23=CC$4,1,-1),CC22-1,CB23-1)</f>
        <v>-69</v>
      </c>
      <c r="CD23" s="2" t="n">
        <f aca="false">MAX(CC22+IF($A23=CD$4,1,-1),CD22-1,CC23-1)</f>
        <v>-70</v>
      </c>
      <c r="CE23" s="2" t="n">
        <f aca="false">MAX(CD22+IF($A23=CE$4,1,-1),CE22-1,CD23-1)</f>
        <v>-71</v>
      </c>
      <c r="CF23" s="2" t="n">
        <f aca="false">MAX(CE22+IF($A23=CF$4,1,-1),CF22-1,CE23-1)</f>
        <v>-72</v>
      </c>
      <c r="CG23" s="2" t="n">
        <f aca="false">MAX(CF22+IF($A23=CG$4,1,-1),CG22-1,CF23-1)</f>
        <v>-73</v>
      </c>
      <c r="CH23" s="2" t="n">
        <f aca="false">MAX(CG22+IF($A23=CH$4,1,-1),CH22-1,CG23-1)</f>
        <v>-74</v>
      </c>
      <c r="CI23" s="2" t="n">
        <f aca="false">MAX(CH22+IF($A23=CI$4,1,-1),CI22-1,CH23-1)</f>
        <v>-75</v>
      </c>
      <c r="CJ23" s="2" t="n">
        <f aca="false">MAX(CI22+IF($A23=CJ$4,1,-1),CJ22-1,CI23-1)</f>
        <v>-76</v>
      </c>
      <c r="CK23" s="2" t="n">
        <f aca="false">MAX(CJ22+IF($A23=CK$4,1,-1),CK22-1,CJ23-1)</f>
        <v>-77</v>
      </c>
      <c r="CL23" s="2" t="n">
        <f aca="false">MAX(CK22+IF($A23=CL$4,1,-1),CL22-1,CK23-1)</f>
        <v>-78</v>
      </c>
      <c r="CM23" s="2" t="n">
        <f aca="false">MAX(CL22+IF($A23=CM$4,1,-1),CM22-1,CL23-1)</f>
        <v>-79</v>
      </c>
      <c r="CN23" s="2" t="n">
        <f aca="false">MAX(CM22+IF($A23=CN$4,1,-1),CN22-1,CM23-1)</f>
        <v>-80</v>
      </c>
      <c r="CO23" s="2" t="n">
        <f aca="false">MAX(CN22+IF($A23=CO$4,1,-1),CO22-1,CN23-1)</f>
        <v>-81</v>
      </c>
      <c r="CP23" s="2" t="n">
        <f aca="false">MAX(CO22+IF($A23=CP$4,1,-1),CP22-1,CO23-1)</f>
        <v>-82</v>
      </c>
      <c r="CQ23" s="2" t="n">
        <f aca="false">MAX(CP22+IF($A23=CQ$4,1,-1),CQ22-1,CP23-1)</f>
        <v>-83</v>
      </c>
    </row>
    <row r="24" customFormat="false" ht="15" hidden="false" customHeight="false" outlineLevel="0" collapsed="false">
      <c r="A24" s="4" t="s">
        <v>156</v>
      </c>
      <c r="B24" s="12" t="n">
        <v>-19</v>
      </c>
      <c r="C24" s="2" t="n">
        <f aca="false">MAX(B23+IF($A24=C$4,1,-1),C23-1,B24-1)</f>
        <v>-19</v>
      </c>
      <c r="D24" s="2" t="n">
        <f aca="false">MAX(C23+IF($A24=D$4,1,-1),D23-1,C24-1)</f>
        <v>-18</v>
      </c>
      <c r="E24" s="2" t="n">
        <f aca="false">MAX(D23+IF($A24=E$4,1,-1),E23-1,D24-1)</f>
        <v>-16</v>
      </c>
      <c r="F24" s="2" t="n">
        <f aca="false">MAX(E23+IF($A24=F$4,1,-1),F23-1,E24-1)</f>
        <v>-14</v>
      </c>
      <c r="G24" s="2" t="n">
        <f aca="false">MAX(F23+IF($A24=G$4,1,-1),G23-1,F24-1)</f>
        <v>-14</v>
      </c>
      <c r="H24" s="2" t="n">
        <f aca="false">MAX(G23+IF($A24=H$4,1,-1),H23-1,G24-1)</f>
        <v>-14</v>
      </c>
      <c r="I24" s="2" t="n">
        <f aca="false">MAX(H23+IF($A24=I$4,1,-1),I23-1,H24-1)</f>
        <v>-14</v>
      </c>
      <c r="J24" s="2" t="n">
        <f aca="false">MAX(I23+IF($A24=J$4,1,-1),J23-1,I24-1)</f>
        <v>-14</v>
      </c>
      <c r="K24" s="2" t="n">
        <f aca="false">MAX(J23+IF($A24=K$4,1,-1),K23-1,J24-1)</f>
        <v>-12</v>
      </c>
      <c r="L24" s="2" t="n">
        <f aca="false">MAX(K23+IF($A24=L$4,1,-1),L23-1,K24-1)</f>
        <v>-12</v>
      </c>
      <c r="M24" s="2" t="n">
        <f aca="false">MAX(L23+IF($A24=M$4,1,-1),M23-1,L24-1)</f>
        <v>-12</v>
      </c>
      <c r="N24" s="2" t="n">
        <f aca="false">MAX(M23+IF($A24=N$4,1,-1),N23-1,M24-1)</f>
        <v>-11</v>
      </c>
      <c r="O24" s="2" t="n">
        <f aca="false">MAX(N23+IF($A24=O$4,1,-1),O23-1,N24-1)</f>
        <v>-11</v>
      </c>
      <c r="P24" s="2" t="n">
        <f aca="false">MAX(O23+IF($A24=P$4,1,-1),P23-1,O24-1)</f>
        <v>-11</v>
      </c>
      <c r="Q24" s="2" t="n">
        <f aca="false">MAX(P23+IF($A24=Q$4,1,-1),Q23-1,P24-1)</f>
        <v>-12</v>
      </c>
      <c r="R24" s="2" t="n">
        <f aca="false">MAX(Q23+IF($A24=R$4,1,-1),R23-1,Q24-1)</f>
        <v>-12</v>
      </c>
      <c r="S24" s="2" t="n">
        <f aca="false">MAX(R23+IF($A24=S$4,1,-1),S23-1,R24-1)</f>
        <v>-12</v>
      </c>
      <c r="T24" s="2" t="n">
        <f aca="false">MAX(S23+IF($A24=T$4,1,-1),T23-1,S24-1)</f>
        <v>-13</v>
      </c>
      <c r="U24" s="2" t="n">
        <f aca="false">MAX(T23+IF($A24=U$4,1,-1),U23-1,T24-1)</f>
        <v>-14</v>
      </c>
      <c r="V24" s="2" t="n">
        <f aca="false">MAX(U23+IF($A24=V$4,1,-1),V23-1,U24-1)</f>
        <v>-14</v>
      </c>
      <c r="W24" s="2" t="n">
        <f aca="false">MAX(V23+IF($A24=W$4,1,-1),W23-1,V24-1)</f>
        <v>-15</v>
      </c>
      <c r="X24" s="2" t="n">
        <f aca="false">MAX(W23+IF($A24=X$4,1,-1),X23-1,W24-1)</f>
        <v>-15</v>
      </c>
      <c r="Y24" s="2" t="n">
        <f aca="false">MAX(X23+IF($A24=Y$4,1,-1),Y23-1,X24-1)</f>
        <v>-15</v>
      </c>
      <c r="Z24" s="2" t="n">
        <f aca="false">MAX(Y23+IF($A24=Z$4,1,-1),Z23-1,Y24-1)</f>
        <v>-16</v>
      </c>
      <c r="AA24" s="2" t="n">
        <f aca="false">MAX(Z23+IF($A24=AA$4,1,-1),AA23-1,Z24-1)</f>
        <v>-17</v>
      </c>
      <c r="AB24" s="2" t="n">
        <f aca="false">MAX(AA23+IF($A24=AB$4,1,-1),AB23-1,AA24-1)</f>
        <v>-18</v>
      </c>
      <c r="AC24" s="2" t="n">
        <f aca="false">MAX(AB23+IF($A24=AC$4,1,-1),AC23-1,AB24-1)</f>
        <v>-19</v>
      </c>
      <c r="AD24" s="2" t="n">
        <f aca="false">MAX(AC23+IF($A24=AD$4,1,-1),AD23-1,AC24-1)</f>
        <v>-20</v>
      </c>
      <c r="AE24" s="2" t="n">
        <f aca="false">MAX(AD23+IF($A24=AE$4,1,-1),AE23-1,AD24-1)</f>
        <v>-21</v>
      </c>
      <c r="AF24" s="2" t="n">
        <f aca="false">MAX(AE23+IF($A24=AF$4,1,-1),AF23-1,AE24-1)</f>
        <v>-22</v>
      </c>
      <c r="AG24" s="2" t="n">
        <f aca="false">MAX(AF23+IF($A24=AG$4,1,-1),AG23-1,AF24-1)</f>
        <v>-23</v>
      </c>
      <c r="AH24" s="2" t="n">
        <f aca="false">MAX(AG23+IF($A24=AH$4,1,-1),AH23-1,AG24-1)</f>
        <v>-24</v>
      </c>
      <c r="AI24" s="2" t="n">
        <f aca="false">MAX(AH23+IF($A24=AI$4,1,-1),AI23-1,AH24-1)</f>
        <v>-25</v>
      </c>
      <c r="AJ24" s="2" t="n">
        <f aca="false">MAX(AI23+IF($A24=AJ$4,1,-1),AJ23-1,AI24-1)</f>
        <v>-26</v>
      </c>
      <c r="AK24" s="2" t="n">
        <f aca="false">MAX(AJ23+IF($A24=AK$4,1,-1),AK23-1,AJ24-1)</f>
        <v>-27</v>
      </c>
      <c r="AL24" s="2" t="n">
        <f aca="false">MAX(AK23+IF($A24=AL$4,1,-1),AL23-1,AK24-1)</f>
        <v>-28</v>
      </c>
      <c r="AM24" s="2" t="n">
        <f aca="false">MAX(AL23+IF($A24=AM$4,1,-1),AM23-1,AL24-1)</f>
        <v>-29</v>
      </c>
      <c r="AN24" s="2" t="n">
        <f aca="false">MAX(AM23+IF($A24=AN$4,1,-1),AN23-1,AM24-1)</f>
        <v>-30</v>
      </c>
      <c r="AO24" s="2" t="n">
        <f aca="false">MAX(AN23+IF($A24=AO$4,1,-1),AO23-1,AN24-1)</f>
        <v>-31</v>
      </c>
      <c r="AP24" s="2" t="n">
        <f aca="false">MAX(AO23+IF($A24=AP$4,1,-1),AP23-1,AO24-1)</f>
        <v>-32</v>
      </c>
      <c r="AQ24" s="2" t="n">
        <f aca="false">MAX(AP23+IF($A24=AQ$4,1,-1),AQ23-1,AP24-1)</f>
        <v>-33</v>
      </c>
      <c r="AR24" s="2" t="n">
        <f aca="false">MAX(AQ23+IF($A24=AR$4,1,-1),AR23-1,AQ24-1)</f>
        <v>-34</v>
      </c>
      <c r="AS24" s="2" t="n">
        <f aca="false">MAX(AR23+IF($A24=AS$4,1,-1),AS23-1,AR24-1)</f>
        <v>-35</v>
      </c>
      <c r="AT24" s="2" t="n">
        <f aca="false">MAX(AS23+IF($A24=AT$4,1,-1),AT23-1,AS24-1)</f>
        <v>-36</v>
      </c>
      <c r="AU24" s="2" t="n">
        <f aca="false">MAX(AT23+IF($A24=AU$4,1,-1),AU23-1,AT24-1)</f>
        <v>-37</v>
      </c>
      <c r="AV24" s="2" t="n">
        <f aca="false">MAX(AU23+IF($A24=AV$4,1,-1),AV23-1,AU24-1)</f>
        <v>-38</v>
      </c>
      <c r="AW24" s="2" t="n">
        <f aca="false">MAX(AV23+IF($A24=AW$4,1,-1),AW23-1,AV24-1)</f>
        <v>-39</v>
      </c>
      <c r="AX24" s="2" t="n">
        <f aca="false">MAX(AW23+IF($A24=AX$4,1,-1),AX23-1,AW24-1)</f>
        <v>-40</v>
      </c>
      <c r="AY24" s="2" t="n">
        <f aca="false">MAX(AX23+IF($A24=AY$4,1,-1),AY23-1,AX24-1)</f>
        <v>-41</v>
      </c>
      <c r="AZ24" s="2" t="n">
        <f aca="false">MAX(AY23+IF($A24=AZ$4,1,-1),AZ23-1,AY24-1)</f>
        <v>-42</v>
      </c>
      <c r="BA24" s="2" t="n">
        <f aca="false">MAX(AZ23+IF($A24=BA$4,1,-1),BA23-1,AZ24-1)</f>
        <v>-43</v>
      </c>
      <c r="BB24" s="2" t="n">
        <f aca="false">MAX(BA23+IF($A24=BB$4,1,-1),BB23-1,BA24-1)</f>
        <v>-44</v>
      </c>
      <c r="BC24" s="2" t="n">
        <f aca="false">MAX(BB23+IF($A24=BC$4,1,-1),BC23-1,BB24-1)</f>
        <v>-45</v>
      </c>
      <c r="BD24" s="2" t="n">
        <f aca="false">MAX(BC23+IF($A24=BD$4,1,-1),BD23-1,BC24-1)</f>
        <v>-46</v>
      </c>
      <c r="BE24" s="2" t="n">
        <f aca="false">MAX(BD23+IF($A24=BE$4,1,-1),BE23-1,BD24-1)</f>
        <v>-47</v>
      </c>
      <c r="BF24" s="2" t="n">
        <f aca="false">MAX(BE23+IF($A24=BF$4,1,-1),BF23-1,BE24-1)</f>
        <v>-48</v>
      </c>
      <c r="BG24" s="2" t="n">
        <f aca="false">MAX(BF23+IF($A24=BG$4,1,-1),BG23-1,BF24-1)</f>
        <v>-49</v>
      </c>
      <c r="BH24" s="2" t="n">
        <f aca="false">MAX(BG23+IF($A24=BH$4,1,-1),BH23-1,BG24-1)</f>
        <v>-50</v>
      </c>
      <c r="BI24" s="2" t="n">
        <f aca="false">MAX(BH23+IF($A24=BI$4,1,-1),BI23-1,BH24-1)</f>
        <v>-51</v>
      </c>
      <c r="BJ24" s="2" t="n">
        <f aca="false">MAX(BI23+IF($A24=BJ$4,1,-1),BJ23-1,BI24-1)</f>
        <v>-51</v>
      </c>
      <c r="BK24" s="2" t="n">
        <f aca="false">MAX(BJ23+IF($A24=BK$4,1,-1),BK23-1,BJ24-1)</f>
        <v>-51</v>
      </c>
      <c r="BL24" s="2" t="n">
        <f aca="false">MAX(BK23+IF($A24=BL$4,1,-1),BL23-1,BK24-1)</f>
        <v>-52</v>
      </c>
      <c r="BM24" s="2" t="n">
        <f aca="false">MAX(BL23+IF($A24=BM$4,1,-1),BM23-1,BL24-1)</f>
        <v>-53</v>
      </c>
      <c r="BN24" s="2" t="n">
        <f aca="false">MAX(BM23+IF($A24=BN$4,1,-1),BN23-1,BM24-1)</f>
        <v>-54</v>
      </c>
      <c r="BO24" s="2" t="n">
        <f aca="false">MAX(BN23+IF($A24=BO$4,1,-1),BO23-1,BN24-1)</f>
        <v>-55</v>
      </c>
      <c r="BP24" s="2" t="n">
        <f aca="false">MAX(BO23+IF($A24=BP$4,1,-1),BP23-1,BO24-1)</f>
        <v>-56</v>
      </c>
      <c r="BQ24" s="2" t="n">
        <f aca="false">MAX(BP23+IF($A24=BQ$4,1,-1),BQ23-1,BP24-1)</f>
        <v>-57</v>
      </c>
      <c r="BR24" s="2" t="n">
        <f aca="false">MAX(BQ23+IF($A24=BR$4,1,-1),BR23-1,BQ24-1)</f>
        <v>-58</v>
      </c>
      <c r="BS24" s="2" t="n">
        <f aca="false">MAX(BR23+IF($A24=BS$4,1,-1),BS23-1,BR24-1)</f>
        <v>-59</v>
      </c>
      <c r="BT24" s="2" t="n">
        <f aca="false">MAX(BS23+IF($A24=BT$4,1,-1),BT23-1,BS24-1)</f>
        <v>-60</v>
      </c>
      <c r="BU24" s="2" t="n">
        <f aca="false">MAX(BT23+IF($A24=BU$4,1,-1),BU23-1,BT24-1)</f>
        <v>-61</v>
      </c>
      <c r="BV24" s="2" t="n">
        <f aca="false">MAX(BU23+IF($A24=BV$4,1,-1),BV23-1,BU24-1)</f>
        <v>-62</v>
      </c>
      <c r="BW24" s="2" t="n">
        <f aca="false">MAX(BV23+IF($A24=BW$4,1,-1),BW23-1,BV24-1)</f>
        <v>-63</v>
      </c>
      <c r="BX24" s="2" t="n">
        <f aca="false">MAX(BW23+IF($A24=BX$4,1,-1),BX23-1,BW24-1)</f>
        <v>-64</v>
      </c>
      <c r="BY24" s="2" t="n">
        <f aca="false">MAX(BX23+IF($A24=BY$4,1,-1),BY23-1,BX24-1)</f>
        <v>-65</v>
      </c>
      <c r="BZ24" s="2" t="n">
        <f aca="false">MAX(BY23+IF($A24=BZ$4,1,-1),BZ23-1,BY24-1)</f>
        <v>-66</v>
      </c>
      <c r="CA24" s="2" t="n">
        <f aca="false">MAX(BZ23+IF($A24=CA$4,1,-1),CA23-1,BZ24-1)</f>
        <v>-67</v>
      </c>
      <c r="CB24" s="2" t="n">
        <f aca="false">MAX(CA23+IF($A24=CB$4,1,-1),CB23-1,CA24-1)</f>
        <v>-68</v>
      </c>
      <c r="CC24" s="2" t="n">
        <f aca="false">MAX(CB23+IF($A24=CC$4,1,-1),CC23-1,CB24-1)</f>
        <v>-69</v>
      </c>
      <c r="CD24" s="2" t="n">
        <f aca="false">MAX(CC23+IF($A24=CD$4,1,-1),CD23-1,CC24-1)</f>
        <v>-70</v>
      </c>
      <c r="CE24" s="2" t="n">
        <f aca="false">MAX(CD23+IF($A24=CE$4,1,-1),CE23-1,CD24-1)</f>
        <v>-71</v>
      </c>
      <c r="CF24" s="2" t="n">
        <f aca="false">MAX(CE23+IF($A24=CF$4,1,-1),CF23-1,CE24-1)</f>
        <v>-72</v>
      </c>
      <c r="CG24" s="2" t="n">
        <f aca="false">MAX(CF23+IF($A24=CG$4,1,-1),CG23-1,CF24-1)</f>
        <v>-73</v>
      </c>
      <c r="CH24" s="2" t="n">
        <f aca="false">MAX(CG23+IF($A24=CH$4,1,-1),CH23-1,CG24-1)</f>
        <v>-74</v>
      </c>
      <c r="CI24" s="2" t="n">
        <f aca="false">MAX(CH23+IF($A24=CI$4,1,-1),CI23-1,CH24-1)</f>
        <v>-75</v>
      </c>
      <c r="CJ24" s="2" t="n">
        <f aca="false">MAX(CI23+IF($A24=CJ$4,1,-1),CJ23-1,CI24-1)</f>
        <v>-76</v>
      </c>
      <c r="CK24" s="2" t="n">
        <f aca="false">MAX(CJ23+IF($A24=CK$4,1,-1),CK23-1,CJ24-1)</f>
        <v>-77</v>
      </c>
      <c r="CL24" s="2" t="n">
        <f aca="false">MAX(CK23+IF($A24=CL$4,1,-1),CL23-1,CK24-1)</f>
        <v>-78</v>
      </c>
      <c r="CM24" s="2" t="n">
        <f aca="false">MAX(CL23+IF($A24=CM$4,1,-1),CM23-1,CL24-1)</f>
        <v>-79</v>
      </c>
      <c r="CN24" s="2" t="n">
        <f aca="false">MAX(CM23+IF($A24=CN$4,1,-1),CN23-1,CM24-1)</f>
        <v>-80</v>
      </c>
      <c r="CO24" s="2" t="n">
        <f aca="false">MAX(CN23+IF($A24=CO$4,1,-1),CO23-1,CN24-1)</f>
        <v>-81</v>
      </c>
      <c r="CP24" s="2" t="n">
        <f aca="false">MAX(CO23+IF($A24=CP$4,1,-1),CP23-1,CO24-1)</f>
        <v>-82</v>
      </c>
      <c r="CQ24" s="2" t="n">
        <f aca="false">MAX(CP23+IF($A24=CQ$4,1,-1),CQ23-1,CP24-1)</f>
        <v>-83</v>
      </c>
    </row>
    <row r="25" customFormat="false" ht="15" hidden="false" customHeight="false" outlineLevel="0" collapsed="false">
      <c r="A25" s="4" t="s">
        <v>157</v>
      </c>
      <c r="B25" s="12" t="n">
        <v>-20</v>
      </c>
      <c r="C25" s="2" t="n">
        <f aca="false">MAX(B24+IF($A25=C$4,1,-1),C24-1,B25-1)</f>
        <v>-20</v>
      </c>
      <c r="D25" s="2" t="n">
        <f aca="false">MAX(C24+IF($A25=D$4,1,-1),D24-1,C25-1)</f>
        <v>-19</v>
      </c>
      <c r="E25" s="2" t="n">
        <f aca="false">MAX(D24+IF($A25=E$4,1,-1),E24-1,D25-1)</f>
        <v>-17</v>
      </c>
      <c r="F25" s="2" t="n">
        <f aca="false">MAX(E24+IF($A25=F$4,1,-1),F24-1,E25-1)</f>
        <v>-15</v>
      </c>
      <c r="G25" s="2" t="n">
        <f aca="false">MAX(F24+IF($A25=G$4,1,-1),G24-1,F25-1)</f>
        <v>-15</v>
      </c>
      <c r="H25" s="2" t="n">
        <f aca="false">MAX(G24+IF($A25=H$4,1,-1),H24-1,G25-1)</f>
        <v>-15</v>
      </c>
      <c r="I25" s="2" t="n">
        <f aca="false">MAX(H24+IF($A25=I$4,1,-1),I24-1,H25-1)</f>
        <v>-15</v>
      </c>
      <c r="J25" s="2" t="n">
        <f aca="false">MAX(I24+IF($A25=J$4,1,-1),J24-1,I25-1)</f>
        <v>-15</v>
      </c>
      <c r="K25" s="2" t="n">
        <f aca="false">MAX(J24+IF($A25=K$4,1,-1),K24-1,J25-1)</f>
        <v>-13</v>
      </c>
      <c r="L25" s="2" t="n">
        <f aca="false">MAX(K24+IF($A25=L$4,1,-1),L24-1,K25-1)</f>
        <v>-13</v>
      </c>
      <c r="M25" s="2" t="n">
        <f aca="false">MAX(L24+IF($A25=M$4,1,-1),M24-1,L25-1)</f>
        <v>-13</v>
      </c>
      <c r="N25" s="2" t="n">
        <f aca="false">MAX(M24+IF($A25=N$4,1,-1),N24-1,M25-1)</f>
        <v>-12</v>
      </c>
      <c r="O25" s="2" t="n">
        <f aca="false">MAX(N24+IF($A25=O$4,1,-1),O24-1,N25-1)</f>
        <v>-12</v>
      </c>
      <c r="P25" s="2" t="n">
        <f aca="false">MAX(O24+IF($A25=P$4,1,-1),P24-1,O25-1)</f>
        <v>-12</v>
      </c>
      <c r="Q25" s="2" t="n">
        <f aca="false">MAX(P24+IF($A25=Q$4,1,-1),Q24-1,P25-1)</f>
        <v>-12</v>
      </c>
      <c r="R25" s="2" t="n">
        <f aca="false">MAX(Q24+IF($A25=R$4,1,-1),R24-1,Q25-1)</f>
        <v>-13</v>
      </c>
      <c r="S25" s="2" t="n">
        <f aca="false">MAX(R24+IF($A25=S$4,1,-1),S24-1,R25-1)</f>
        <v>-13</v>
      </c>
      <c r="T25" s="2" t="n">
        <f aca="false">MAX(S24+IF($A25=T$4,1,-1),T24-1,S25-1)</f>
        <v>-13</v>
      </c>
      <c r="U25" s="2" t="n">
        <f aca="false">MAX(T24+IF($A25=U$4,1,-1),U24-1,T25-1)</f>
        <v>-14</v>
      </c>
      <c r="V25" s="2" t="n">
        <f aca="false">MAX(U24+IF($A25=V$4,1,-1),V24-1,U25-1)</f>
        <v>-15</v>
      </c>
      <c r="W25" s="2" t="n">
        <f aca="false">MAX(V24+IF($A25=W$4,1,-1),W24-1,V25-1)</f>
        <v>-15</v>
      </c>
      <c r="X25" s="2" t="n">
        <f aca="false">MAX(W24+IF($A25=X$4,1,-1),X24-1,W25-1)</f>
        <v>-16</v>
      </c>
      <c r="Y25" s="2" t="n">
        <f aca="false">MAX(X24+IF($A25=Y$4,1,-1),Y24-1,X25-1)</f>
        <v>-16</v>
      </c>
      <c r="Z25" s="2" t="n">
        <f aca="false">MAX(Y24+IF($A25=Z$4,1,-1),Z24-1,Y25-1)</f>
        <v>-16</v>
      </c>
      <c r="AA25" s="2" t="n">
        <f aca="false">MAX(Z24+IF($A25=AA$4,1,-1),AA24-1,Z25-1)</f>
        <v>-17</v>
      </c>
      <c r="AB25" s="2" t="n">
        <f aca="false">MAX(AA24+IF($A25=AB$4,1,-1),AB24-1,AA25-1)</f>
        <v>-18</v>
      </c>
      <c r="AC25" s="2" t="n">
        <f aca="false">MAX(AB24+IF($A25=AC$4,1,-1),AC24-1,AB25-1)</f>
        <v>-19</v>
      </c>
      <c r="AD25" s="2" t="n">
        <f aca="false">MAX(AC24+IF($A25=AD$4,1,-1),AD24-1,AC25-1)</f>
        <v>-20</v>
      </c>
      <c r="AE25" s="2" t="n">
        <f aca="false">MAX(AD24+IF($A25=AE$4,1,-1),AE24-1,AD25-1)</f>
        <v>-21</v>
      </c>
      <c r="AF25" s="2" t="n">
        <f aca="false">MAX(AE24+IF($A25=AF$4,1,-1),AF24-1,AE25-1)</f>
        <v>-22</v>
      </c>
      <c r="AG25" s="2" t="n">
        <f aca="false">MAX(AF24+IF($A25=AG$4,1,-1),AG24-1,AF25-1)</f>
        <v>-23</v>
      </c>
      <c r="AH25" s="2" t="n">
        <f aca="false">MAX(AG24+IF($A25=AH$4,1,-1),AH24-1,AG25-1)</f>
        <v>-24</v>
      </c>
      <c r="AI25" s="2" t="n">
        <f aca="false">MAX(AH24+IF($A25=AI$4,1,-1),AI24-1,AH25-1)</f>
        <v>-25</v>
      </c>
      <c r="AJ25" s="2" t="n">
        <f aca="false">MAX(AI24+IF($A25=AJ$4,1,-1),AJ24-1,AI25-1)</f>
        <v>-26</v>
      </c>
      <c r="AK25" s="2" t="n">
        <f aca="false">MAX(AJ24+IF($A25=AK$4,1,-1),AK24-1,AJ25-1)</f>
        <v>-27</v>
      </c>
      <c r="AL25" s="2" t="n">
        <f aca="false">MAX(AK24+IF($A25=AL$4,1,-1),AL24-1,AK25-1)</f>
        <v>-28</v>
      </c>
      <c r="AM25" s="2" t="n">
        <f aca="false">MAX(AL24+IF($A25=AM$4,1,-1),AM24-1,AL25-1)</f>
        <v>-29</v>
      </c>
      <c r="AN25" s="2" t="n">
        <f aca="false">MAX(AM24+IF($A25=AN$4,1,-1),AN24-1,AM25-1)</f>
        <v>-30</v>
      </c>
      <c r="AO25" s="2" t="n">
        <f aca="false">MAX(AN24+IF($A25=AO$4,1,-1),AO24-1,AN25-1)</f>
        <v>-31</v>
      </c>
      <c r="AP25" s="2" t="n">
        <f aca="false">MAX(AO24+IF($A25=AP$4,1,-1),AP24-1,AO25-1)</f>
        <v>-32</v>
      </c>
      <c r="AQ25" s="2" t="n">
        <f aca="false">MAX(AP24+IF($A25=AQ$4,1,-1),AQ24-1,AP25-1)</f>
        <v>-33</v>
      </c>
      <c r="AR25" s="2" t="n">
        <f aca="false">MAX(AQ24+IF($A25=AR$4,1,-1),AR24-1,AQ25-1)</f>
        <v>-34</v>
      </c>
      <c r="AS25" s="2" t="n">
        <f aca="false">MAX(AR24+IF($A25=AS$4,1,-1),AS24-1,AR25-1)</f>
        <v>-35</v>
      </c>
      <c r="AT25" s="2" t="n">
        <f aca="false">MAX(AS24+IF($A25=AT$4,1,-1),AT24-1,AS25-1)</f>
        <v>-36</v>
      </c>
      <c r="AU25" s="2" t="n">
        <f aca="false">MAX(AT24+IF($A25=AU$4,1,-1),AU24-1,AT25-1)</f>
        <v>-37</v>
      </c>
      <c r="AV25" s="2" t="n">
        <f aca="false">MAX(AU24+IF($A25=AV$4,1,-1),AV24-1,AU25-1)</f>
        <v>-38</v>
      </c>
      <c r="AW25" s="2" t="n">
        <f aca="false">MAX(AV24+IF($A25=AW$4,1,-1),AW24-1,AV25-1)</f>
        <v>-39</v>
      </c>
      <c r="AX25" s="2" t="n">
        <f aca="false">MAX(AW24+IF($A25=AX$4,1,-1),AX24-1,AW25-1)</f>
        <v>-40</v>
      </c>
      <c r="AY25" s="2" t="n">
        <f aca="false">MAX(AX24+IF($A25=AY$4,1,-1),AY24-1,AX25-1)</f>
        <v>-41</v>
      </c>
      <c r="AZ25" s="2" t="n">
        <f aca="false">MAX(AY24+IF($A25=AZ$4,1,-1),AZ24-1,AY25-1)</f>
        <v>-42</v>
      </c>
      <c r="BA25" s="2" t="n">
        <f aca="false">MAX(AZ24+IF($A25=BA$4,1,-1),BA24-1,AZ25-1)</f>
        <v>-43</v>
      </c>
      <c r="BB25" s="2" t="n">
        <f aca="false">MAX(BA24+IF($A25=BB$4,1,-1),BB24-1,BA25-1)</f>
        <v>-44</v>
      </c>
      <c r="BC25" s="2" t="n">
        <f aca="false">MAX(BB24+IF($A25=BC$4,1,-1),BC24-1,BB25-1)</f>
        <v>-45</v>
      </c>
      <c r="BD25" s="2" t="n">
        <f aca="false">MAX(BC24+IF($A25=BD$4,1,-1),BD24-1,BC25-1)</f>
        <v>-46</v>
      </c>
      <c r="BE25" s="2" t="n">
        <f aca="false">MAX(BD24+IF($A25=BE$4,1,-1),BE24-1,BD25-1)</f>
        <v>-47</v>
      </c>
      <c r="BF25" s="2" t="n">
        <f aca="false">MAX(BE24+IF($A25=BF$4,1,-1),BF24-1,BE25-1)</f>
        <v>-48</v>
      </c>
      <c r="BG25" s="2" t="n">
        <f aca="false">MAX(BF24+IF($A25=BG$4,1,-1),BG24-1,BF25-1)</f>
        <v>-49</v>
      </c>
      <c r="BH25" s="2" t="n">
        <f aca="false">MAX(BG24+IF($A25=BH$4,1,-1),BH24-1,BG25-1)</f>
        <v>-50</v>
      </c>
      <c r="BI25" s="2" t="n">
        <f aca="false">MAX(BH24+IF($A25=BI$4,1,-1),BI24-1,BH25-1)</f>
        <v>-51</v>
      </c>
      <c r="BJ25" s="2" t="n">
        <f aca="false">MAX(BI24+IF($A25=BJ$4,1,-1),BJ24-1,BI25-1)</f>
        <v>-52</v>
      </c>
      <c r="BK25" s="2" t="n">
        <f aca="false">MAX(BJ24+IF($A25=BK$4,1,-1),BK24-1,BJ25-1)</f>
        <v>-52</v>
      </c>
      <c r="BL25" s="2" t="n">
        <f aca="false">MAX(BK24+IF($A25=BL$4,1,-1),BL24-1,BK25-1)</f>
        <v>-52</v>
      </c>
      <c r="BM25" s="2" t="n">
        <f aca="false">MAX(BL24+IF($A25=BM$4,1,-1),BM24-1,BL25-1)</f>
        <v>-53</v>
      </c>
      <c r="BN25" s="2" t="n">
        <f aca="false">MAX(BM24+IF($A25=BN$4,1,-1),BN24-1,BM25-1)</f>
        <v>-54</v>
      </c>
      <c r="BO25" s="2" t="n">
        <f aca="false">MAX(BN24+IF($A25=BO$4,1,-1),BO24-1,BN25-1)</f>
        <v>-55</v>
      </c>
      <c r="BP25" s="2" t="n">
        <f aca="false">MAX(BO24+IF($A25=BP$4,1,-1),BP24-1,BO25-1)</f>
        <v>-56</v>
      </c>
      <c r="BQ25" s="2" t="n">
        <f aca="false">MAX(BP24+IF($A25=BQ$4,1,-1),BQ24-1,BP25-1)</f>
        <v>-57</v>
      </c>
      <c r="BR25" s="2" t="n">
        <f aca="false">MAX(BQ24+IF($A25=BR$4,1,-1),BR24-1,BQ25-1)</f>
        <v>-58</v>
      </c>
      <c r="BS25" s="2" t="n">
        <f aca="false">MAX(BR24+IF($A25=BS$4,1,-1),BS24-1,BR25-1)</f>
        <v>-59</v>
      </c>
      <c r="BT25" s="2" t="n">
        <f aca="false">MAX(BS24+IF($A25=BT$4,1,-1),BT24-1,BS25-1)</f>
        <v>-60</v>
      </c>
      <c r="BU25" s="2" t="n">
        <f aca="false">MAX(BT24+IF($A25=BU$4,1,-1),BU24-1,BT25-1)</f>
        <v>-61</v>
      </c>
      <c r="BV25" s="2" t="n">
        <f aca="false">MAX(BU24+IF($A25=BV$4,1,-1),BV24-1,BU25-1)</f>
        <v>-62</v>
      </c>
      <c r="BW25" s="2" t="n">
        <f aca="false">MAX(BV24+IF($A25=BW$4,1,-1),BW24-1,BV25-1)</f>
        <v>-63</v>
      </c>
      <c r="BX25" s="2" t="n">
        <f aca="false">MAX(BW24+IF($A25=BX$4,1,-1),BX24-1,BW25-1)</f>
        <v>-64</v>
      </c>
      <c r="BY25" s="2" t="n">
        <f aca="false">MAX(BX24+IF($A25=BY$4,1,-1),BY24-1,BX25-1)</f>
        <v>-65</v>
      </c>
      <c r="BZ25" s="2" t="n">
        <f aca="false">MAX(BY24+IF($A25=BZ$4,1,-1),BZ24-1,BY25-1)</f>
        <v>-66</v>
      </c>
      <c r="CA25" s="2" t="n">
        <f aca="false">MAX(BZ24+IF($A25=CA$4,1,-1),CA24-1,BZ25-1)</f>
        <v>-67</v>
      </c>
      <c r="CB25" s="2" t="n">
        <f aca="false">MAX(CA24+IF($A25=CB$4,1,-1),CB24-1,CA25-1)</f>
        <v>-68</v>
      </c>
      <c r="CC25" s="2" t="n">
        <f aca="false">MAX(CB24+IF($A25=CC$4,1,-1),CC24-1,CB25-1)</f>
        <v>-69</v>
      </c>
      <c r="CD25" s="2" t="n">
        <f aca="false">MAX(CC24+IF($A25=CD$4,1,-1),CD24-1,CC25-1)</f>
        <v>-70</v>
      </c>
      <c r="CE25" s="2" t="n">
        <f aca="false">MAX(CD24+IF($A25=CE$4,1,-1),CE24-1,CD25-1)</f>
        <v>-71</v>
      </c>
      <c r="CF25" s="2" t="n">
        <f aca="false">MAX(CE24+IF($A25=CF$4,1,-1),CF24-1,CE25-1)</f>
        <v>-72</v>
      </c>
      <c r="CG25" s="2" t="n">
        <f aca="false">MAX(CF24+IF($A25=CG$4,1,-1),CG24-1,CF25-1)</f>
        <v>-73</v>
      </c>
      <c r="CH25" s="2" t="n">
        <f aca="false">MAX(CG24+IF($A25=CH$4,1,-1),CH24-1,CG25-1)</f>
        <v>-74</v>
      </c>
      <c r="CI25" s="2" t="n">
        <f aca="false">MAX(CH24+IF($A25=CI$4,1,-1),CI24-1,CH25-1)</f>
        <v>-75</v>
      </c>
      <c r="CJ25" s="2" t="n">
        <f aca="false">MAX(CI24+IF($A25=CJ$4,1,-1),CJ24-1,CI25-1)</f>
        <v>-76</v>
      </c>
      <c r="CK25" s="2" t="n">
        <f aca="false">MAX(CJ24+IF($A25=CK$4,1,-1),CK24-1,CJ25-1)</f>
        <v>-77</v>
      </c>
      <c r="CL25" s="2" t="n">
        <f aca="false">MAX(CK24+IF($A25=CL$4,1,-1),CL24-1,CK25-1)</f>
        <v>-78</v>
      </c>
      <c r="CM25" s="2" t="n">
        <f aca="false">MAX(CL24+IF($A25=CM$4,1,-1),CM24-1,CL25-1)</f>
        <v>-79</v>
      </c>
      <c r="CN25" s="2" t="n">
        <f aca="false">MAX(CM24+IF($A25=CN$4,1,-1),CN24-1,CM25-1)</f>
        <v>-80</v>
      </c>
      <c r="CO25" s="2" t="n">
        <f aca="false">MAX(CN24+IF($A25=CO$4,1,-1),CO24-1,CN25-1)</f>
        <v>-81</v>
      </c>
      <c r="CP25" s="2" t="n">
        <f aca="false">MAX(CO24+IF($A25=CP$4,1,-1),CP24-1,CO25-1)</f>
        <v>-82</v>
      </c>
      <c r="CQ25" s="2" t="n">
        <f aca="false">MAX(CP24+IF($A25=CQ$4,1,-1),CQ24-1,CP25-1)</f>
        <v>-83</v>
      </c>
    </row>
    <row r="26" customFormat="false" ht="15" hidden="false" customHeight="false" outlineLevel="0" collapsed="false">
      <c r="A26" s="4" t="s">
        <v>158</v>
      </c>
      <c r="B26" s="12" t="n">
        <v>-21</v>
      </c>
      <c r="C26" s="2" t="n">
        <f aca="false">MAX(B25+IF($A26=C$4,1,-1),C25-1,B26-1)</f>
        <v>-21</v>
      </c>
      <c r="D26" s="2" t="n">
        <f aca="false">MAX(C25+IF($A26=D$4,1,-1),D25-1,C26-1)</f>
        <v>-20</v>
      </c>
      <c r="E26" s="2" t="n">
        <f aca="false">MAX(D25+IF($A26=E$4,1,-1),E25-1,D26-1)</f>
        <v>-18</v>
      </c>
      <c r="F26" s="2" t="n">
        <f aca="false">MAX(E25+IF($A26=F$4,1,-1),F25-1,E26-1)</f>
        <v>-16</v>
      </c>
      <c r="G26" s="2" t="n">
        <f aca="false">MAX(F25+IF($A26=G$4,1,-1),G25-1,F26-1)</f>
        <v>-16</v>
      </c>
      <c r="H26" s="2" t="n">
        <f aca="false">MAX(G25+IF($A26=H$4,1,-1),H25-1,G26-1)</f>
        <v>-16</v>
      </c>
      <c r="I26" s="2" t="n">
        <f aca="false">MAX(H25+IF($A26=I$4,1,-1),I25-1,H26-1)</f>
        <v>-16</v>
      </c>
      <c r="J26" s="2" t="n">
        <f aca="false">MAX(I25+IF($A26=J$4,1,-1),J25-1,I26-1)</f>
        <v>-16</v>
      </c>
      <c r="K26" s="2" t="n">
        <f aca="false">MAX(J25+IF($A26=K$4,1,-1),K25-1,J26-1)</f>
        <v>-14</v>
      </c>
      <c r="L26" s="2" t="n">
        <f aca="false">MAX(K25+IF($A26=L$4,1,-1),L25-1,K26-1)</f>
        <v>-14</v>
      </c>
      <c r="M26" s="2" t="n">
        <f aca="false">MAX(L25+IF($A26=M$4,1,-1),M25-1,L26-1)</f>
        <v>-14</v>
      </c>
      <c r="N26" s="2" t="n">
        <f aca="false">MAX(M25+IF($A26=N$4,1,-1),N25-1,M26-1)</f>
        <v>-13</v>
      </c>
      <c r="O26" s="2" t="n">
        <f aca="false">MAX(N25+IF($A26=O$4,1,-1),O25-1,N26-1)</f>
        <v>-13</v>
      </c>
      <c r="P26" s="2" t="n">
        <f aca="false">MAX(O25+IF($A26=P$4,1,-1),P25-1,O26-1)</f>
        <v>-13</v>
      </c>
      <c r="Q26" s="2" t="n">
        <f aca="false">MAX(P25+IF($A26=Q$4,1,-1),Q25-1,P26-1)</f>
        <v>-13</v>
      </c>
      <c r="R26" s="2" t="n">
        <f aca="false">MAX(Q25+IF($A26=R$4,1,-1),R25-1,Q26-1)</f>
        <v>-13</v>
      </c>
      <c r="S26" s="2" t="n">
        <f aca="false">MAX(R25+IF($A26=S$4,1,-1),S25-1,R26-1)</f>
        <v>-14</v>
      </c>
      <c r="T26" s="2" t="n">
        <f aca="false">MAX(S25+IF($A26=T$4,1,-1),T25-1,S26-1)</f>
        <v>-14</v>
      </c>
      <c r="U26" s="2" t="n">
        <f aca="false">MAX(T25+IF($A26=U$4,1,-1),U25-1,T26-1)</f>
        <v>-14</v>
      </c>
      <c r="V26" s="2" t="n">
        <f aca="false">MAX(U25+IF($A26=V$4,1,-1),V25-1,U26-1)</f>
        <v>-15</v>
      </c>
      <c r="W26" s="2" t="n">
        <f aca="false">MAX(V25+IF($A26=W$4,1,-1),W25-1,V26-1)</f>
        <v>-16</v>
      </c>
      <c r="X26" s="2" t="n">
        <f aca="false">MAX(W25+IF($A26=X$4,1,-1),X25-1,W26-1)</f>
        <v>-16</v>
      </c>
      <c r="Y26" s="2" t="n">
        <f aca="false">MAX(X25+IF($A26=Y$4,1,-1),Y25-1,X26-1)</f>
        <v>-17</v>
      </c>
      <c r="Z26" s="2" t="n">
        <f aca="false">MAX(Y25+IF($A26=Z$4,1,-1),Z25-1,Y26-1)</f>
        <v>-17</v>
      </c>
      <c r="AA26" s="2" t="n">
        <f aca="false">MAX(Z25+IF($A26=AA$4,1,-1),AA25-1,Z26-1)</f>
        <v>-17</v>
      </c>
      <c r="AB26" s="2" t="n">
        <f aca="false">MAX(AA25+IF($A26=AB$4,1,-1),AB25-1,AA26-1)</f>
        <v>-18</v>
      </c>
      <c r="AC26" s="2" t="n">
        <f aca="false">MAX(AB25+IF($A26=AC$4,1,-1),AC25-1,AB26-1)</f>
        <v>-19</v>
      </c>
      <c r="AD26" s="2" t="n">
        <f aca="false">MAX(AC25+IF($A26=AD$4,1,-1),AD25-1,AC26-1)</f>
        <v>-20</v>
      </c>
      <c r="AE26" s="2" t="n">
        <f aca="false">MAX(AD25+IF($A26=AE$4,1,-1),AE25-1,AD26-1)</f>
        <v>-21</v>
      </c>
      <c r="AF26" s="2" t="n">
        <f aca="false">MAX(AE25+IF($A26=AF$4,1,-1),AF25-1,AE26-1)</f>
        <v>-22</v>
      </c>
      <c r="AG26" s="2" t="n">
        <f aca="false">MAX(AF25+IF($A26=AG$4,1,-1),AG25-1,AF26-1)</f>
        <v>-23</v>
      </c>
      <c r="AH26" s="2" t="n">
        <f aca="false">MAX(AG25+IF($A26=AH$4,1,-1),AH25-1,AG26-1)</f>
        <v>-24</v>
      </c>
      <c r="AI26" s="2" t="n">
        <f aca="false">MAX(AH25+IF($A26=AI$4,1,-1),AI25-1,AH26-1)</f>
        <v>-25</v>
      </c>
      <c r="AJ26" s="2" t="n">
        <f aca="false">MAX(AI25+IF($A26=AJ$4,1,-1),AJ25-1,AI26-1)</f>
        <v>-26</v>
      </c>
      <c r="AK26" s="2" t="n">
        <f aca="false">MAX(AJ25+IF($A26=AK$4,1,-1),AK25-1,AJ26-1)</f>
        <v>-27</v>
      </c>
      <c r="AL26" s="2" t="n">
        <f aca="false">MAX(AK25+IF($A26=AL$4,1,-1),AL25-1,AK26-1)</f>
        <v>-28</v>
      </c>
      <c r="AM26" s="2" t="n">
        <f aca="false">MAX(AL25+IF($A26=AM$4,1,-1),AM25-1,AL26-1)</f>
        <v>-29</v>
      </c>
      <c r="AN26" s="2" t="n">
        <f aca="false">MAX(AM25+IF($A26=AN$4,1,-1),AN25-1,AM26-1)</f>
        <v>-30</v>
      </c>
      <c r="AO26" s="2" t="n">
        <f aca="false">MAX(AN25+IF($A26=AO$4,1,-1),AO25-1,AN26-1)</f>
        <v>-31</v>
      </c>
      <c r="AP26" s="2" t="n">
        <f aca="false">MAX(AO25+IF($A26=AP$4,1,-1),AP25-1,AO26-1)</f>
        <v>-32</v>
      </c>
      <c r="AQ26" s="2" t="n">
        <f aca="false">MAX(AP25+IF($A26=AQ$4,1,-1),AQ25-1,AP26-1)</f>
        <v>-33</v>
      </c>
      <c r="AR26" s="2" t="n">
        <f aca="false">MAX(AQ25+IF($A26=AR$4,1,-1),AR25-1,AQ26-1)</f>
        <v>-34</v>
      </c>
      <c r="AS26" s="2" t="n">
        <f aca="false">MAX(AR25+IF($A26=AS$4,1,-1),AS25-1,AR26-1)</f>
        <v>-35</v>
      </c>
      <c r="AT26" s="2" t="n">
        <f aca="false">MAX(AS25+IF($A26=AT$4,1,-1),AT25-1,AS26-1)</f>
        <v>-36</v>
      </c>
      <c r="AU26" s="2" t="n">
        <f aca="false">MAX(AT25+IF($A26=AU$4,1,-1),AU25-1,AT26-1)</f>
        <v>-37</v>
      </c>
      <c r="AV26" s="2" t="n">
        <f aca="false">MAX(AU25+IF($A26=AV$4,1,-1),AV25-1,AU26-1)</f>
        <v>-38</v>
      </c>
      <c r="AW26" s="2" t="n">
        <f aca="false">MAX(AV25+IF($A26=AW$4,1,-1),AW25-1,AV26-1)</f>
        <v>-39</v>
      </c>
      <c r="AX26" s="2" t="n">
        <f aca="false">MAX(AW25+IF($A26=AX$4,1,-1),AX25-1,AW26-1)</f>
        <v>-40</v>
      </c>
      <c r="AY26" s="2" t="n">
        <f aca="false">MAX(AX25+IF($A26=AY$4,1,-1),AY25-1,AX26-1)</f>
        <v>-41</v>
      </c>
      <c r="AZ26" s="2" t="n">
        <f aca="false">MAX(AY25+IF($A26=AZ$4,1,-1),AZ25-1,AY26-1)</f>
        <v>-42</v>
      </c>
      <c r="BA26" s="2" t="n">
        <f aca="false">MAX(AZ25+IF($A26=BA$4,1,-1),BA25-1,AZ26-1)</f>
        <v>-43</v>
      </c>
      <c r="BB26" s="2" t="n">
        <f aca="false">MAX(BA25+IF($A26=BB$4,1,-1),BB25-1,BA26-1)</f>
        <v>-44</v>
      </c>
      <c r="BC26" s="2" t="n">
        <f aca="false">MAX(BB25+IF($A26=BC$4,1,-1),BC25-1,BB26-1)</f>
        <v>-45</v>
      </c>
      <c r="BD26" s="2" t="n">
        <f aca="false">MAX(BC25+IF($A26=BD$4,1,-1),BD25-1,BC26-1)</f>
        <v>-46</v>
      </c>
      <c r="BE26" s="2" t="n">
        <f aca="false">MAX(BD25+IF($A26=BE$4,1,-1),BE25-1,BD26-1)</f>
        <v>-47</v>
      </c>
      <c r="BF26" s="2" t="n">
        <f aca="false">MAX(BE25+IF($A26=BF$4,1,-1),BF25-1,BE26-1)</f>
        <v>-48</v>
      </c>
      <c r="BG26" s="2" t="n">
        <f aca="false">MAX(BF25+IF($A26=BG$4,1,-1),BG25-1,BF26-1)</f>
        <v>-49</v>
      </c>
      <c r="BH26" s="2" t="n">
        <f aca="false">MAX(BG25+IF($A26=BH$4,1,-1),BH25-1,BG26-1)</f>
        <v>-50</v>
      </c>
      <c r="BI26" s="2" t="n">
        <f aca="false">MAX(BH25+IF($A26=BI$4,1,-1),BI25-1,BH26-1)</f>
        <v>-51</v>
      </c>
      <c r="BJ26" s="2" t="n">
        <f aca="false">MAX(BI25+IF($A26=BJ$4,1,-1),BJ25-1,BI26-1)</f>
        <v>-52</v>
      </c>
      <c r="BK26" s="2" t="n">
        <f aca="false">MAX(BJ25+IF($A26=BK$4,1,-1),BK25-1,BJ26-1)</f>
        <v>-53</v>
      </c>
      <c r="BL26" s="2" t="n">
        <f aca="false">MAX(BK25+IF($A26=BL$4,1,-1),BL25-1,BK26-1)</f>
        <v>-53</v>
      </c>
      <c r="BM26" s="2" t="n">
        <f aca="false">MAX(BL25+IF($A26=BM$4,1,-1),BM25-1,BL26-1)</f>
        <v>-53</v>
      </c>
      <c r="BN26" s="2" t="n">
        <f aca="false">MAX(BM25+IF($A26=BN$4,1,-1),BN25-1,BM26-1)</f>
        <v>-54</v>
      </c>
      <c r="BO26" s="2" t="n">
        <f aca="false">MAX(BN25+IF($A26=BO$4,1,-1),BO25-1,BN26-1)</f>
        <v>-55</v>
      </c>
      <c r="BP26" s="2" t="n">
        <f aca="false">MAX(BO25+IF($A26=BP$4,1,-1),BP25-1,BO26-1)</f>
        <v>-56</v>
      </c>
      <c r="BQ26" s="2" t="n">
        <f aca="false">MAX(BP25+IF($A26=BQ$4,1,-1),BQ25-1,BP26-1)</f>
        <v>-57</v>
      </c>
      <c r="BR26" s="2" t="n">
        <f aca="false">MAX(BQ25+IF($A26=BR$4,1,-1),BR25-1,BQ26-1)</f>
        <v>-58</v>
      </c>
      <c r="BS26" s="2" t="n">
        <f aca="false">MAX(BR25+IF($A26=BS$4,1,-1),BS25-1,BR26-1)</f>
        <v>-59</v>
      </c>
      <c r="BT26" s="2" t="n">
        <f aca="false">MAX(BS25+IF($A26=BT$4,1,-1),BT25-1,BS26-1)</f>
        <v>-60</v>
      </c>
      <c r="BU26" s="2" t="n">
        <f aca="false">MAX(BT25+IF($A26=BU$4,1,-1),BU25-1,BT26-1)</f>
        <v>-61</v>
      </c>
      <c r="BV26" s="2" t="n">
        <f aca="false">MAX(BU25+IF($A26=BV$4,1,-1),BV25-1,BU26-1)</f>
        <v>-62</v>
      </c>
      <c r="BW26" s="2" t="n">
        <f aca="false">MAX(BV25+IF($A26=BW$4,1,-1),BW25-1,BV26-1)</f>
        <v>-63</v>
      </c>
      <c r="BX26" s="2" t="n">
        <f aca="false">MAX(BW25+IF($A26=BX$4,1,-1),BX25-1,BW26-1)</f>
        <v>-64</v>
      </c>
      <c r="BY26" s="2" t="n">
        <f aca="false">MAX(BX25+IF($A26=BY$4,1,-1),BY25-1,BX26-1)</f>
        <v>-65</v>
      </c>
      <c r="BZ26" s="2" t="n">
        <f aca="false">MAX(BY25+IF($A26=BZ$4,1,-1),BZ25-1,BY26-1)</f>
        <v>-66</v>
      </c>
      <c r="CA26" s="2" t="n">
        <f aca="false">MAX(BZ25+IF($A26=CA$4,1,-1),CA25-1,BZ26-1)</f>
        <v>-67</v>
      </c>
      <c r="CB26" s="2" t="n">
        <f aca="false">MAX(CA25+IF($A26=CB$4,1,-1),CB25-1,CA26-1)</f>
        <v>-68</v>
      </c>
      <c r="CC26" s="2" t="n">
        <f aca="false">MAX(CB25+IF($A26=CC$4,1,-1),CC25-1,CB26-1)</f>
        <v>-69</v>
      </c>
      <c r="CD26" s="2" t="n">
        <f aca="false">MAX(CC25+IF($A26=CD$4,1,-1),CD25-1,CC26-1)</f>
        <v>-70</v>
      </c>
      <c r="CE26" s="2" t="n">
        <f aca="false">MAX(CD25+IF($A26=CE$4,1,-1),CE25-1,CD26-1)</f>
        <v>-71</v>
      </c>
      <c r="CF26" s="2" t="n">
        <f aca="false">MAX(CE25+IF($A26=CF$4,1,-1),CF25-1,CE26-1)</f>
        <v>-72</v>
      </c>
      <c r="CG26" s="2" t="n">
        <f aca="false">MAX(CF25+IF($A26=CG$4,1,-1),CG25-1,CF26-1)</f>
        <v>-73</v>
      </c>
      <c r="CH26" s="2" t="n">
        <f aca="false">MAX(CG25+IF($A26=CH$4,1,-1),CH25-1,CG26-1)</f>
        <v>-74</v>
      </c>
      <c r="CI26" s="2" t="n">
        <f aca="false">MAX(CH25+IF($A26=CI$4,1,-1),CI25-1,CH26-1)</f>
        <v>-75</v>
      </c>
      <c r="CJ26" s="2" t="n">
        <f aca="false">MAX(CI25+IF($A26=CJ$4,1,-1),CJ25-1,CI26-1)</f>
        <v>-76</v>
      </c>
      <c r="CK26" s="2" t="n">
        <f aca="false">MAX(CJ25+IF($A26=CK$4,1,-1),CK25-1,CJ26-1)</f>
        <v>-77</v>
      </c>
      <c r="CL26" s="2" t="n">
        <f aca="false">MAX(CK25+IF($A26=CL$4,1,-1),CL25-1,CK26-1)</f>
        <v>-78</v>
      </c>
      <c r="CM26" s="2" t="n">
        <f aca="false">MAX(CL25+IF($A26=CM$4,1,-1),CM25-1,CL26-1)</f>
        <v>-79</v>
      </c>
      <c r="CN26" s="2" t="n">
        <f aca="false">MAX(CM25+IF($A26=CN$4,1,-1),CN25-1,CM26-1)</f>
        <v>-80</v>
      </c>
      <c r="CO26" s="2" t="n">
        <f aca="false">MAX(CN25+IF($A26=CO$4,1,-1),CO25-1,CN26-1)</f>
        <v>-81</v>
      </c>
      <c r="CP26" s="2" t="n">
        <f aca="false">MAX(CO25+IF($A26=CP$4,1,-1),CP25-1,CO26-1)</f>
        <v>-82</v>
      </c>
      <c r="CQ26" s="2" t="n">
        <f aca="false">MAX(CP25+IF($A26=CQ$4,1,-1),CQ25-1,CP26-1)</f>
        <v>-83</v>
      </c>
    </row>
    <row r="27" customFormat="false" ht="15" hidden="false" customHeight="false" outlineLevel="0" collapsed="false">
      <c r="A27" s="4" t="s">
        <v>159</v>
      </c>
      <c r="B27" s="12" t="n">
        <v>-22</v>
      </c>
      <c r="C27" s="2" t="n">
        <f aca="false">MAX(B26+IF($A27=C$4,1,-1),C26-1,B27-1)</f>
        <v>-22</v>
      </c>
      <c r="D27" s="2" t="n">
        <f aca="false">MAX(C26+IF($A27=D$4,1,-1),D26-1,C27-1)</f>
        <v>-21</v>
      </c>
      <c r="E27" s="2" t="n">
        <f aca="false">MAX(D26+IF($A27=E$4,1,-1),E26-1,D27-1)</f>
        <v>-19</v>
      </c>
      <c r="F27" s="2" t="n">
        <f aca="false">MAX(E26+IF($A27=F$4,1,-1),F26-1,E27-1)</f>
        <v>-17</v>
      </c>
      <c r="G27" s="2" t="n">
        <f aca="false">MAX(F26+IF($A27=G$4,1,-1),G26-1,F27-1)</f>
        <v>-17</v>
      </c>
      <c r="H27" s="2" t="n">
        <f aca="false">MAX(G26+IF($A27=H$4,1,-1),H26-1,G27-1)</f>
        <v>-17</v>
      </c>
      <c r="I27" s="2" t="n">
        <f aca="false">MAX(H26+IF($A27=I$4,1,-1),I26-1,H27-1)</f>
        <v>-17</v>
      </c>
      <c r="J27" s="2" t="n">
        <f aca="false">MAX(I26+IF($A27=J$4,1,-1),J26-1,I27-1)</f>
        <v>-17</v>
      </c>
      <c r="K27" s="2" t="n">
        <f aca="false">MAX(J26+IF($A27=K$4,1,-1),K26-1,J27-1)</f>
        <v>-15</v>
      </c>
      <c r="L27" s="2" t="n">
        <f aca="false">MAX(K26+IF($A27=L$4,1,-1),L26-1,K27-1)</f>
        <v>-15</v>
      </c>
      <c r="M27" s="2" t="n">
        <f aca="false">MAX(L26+IF($A27=M$4,1,-1),M26-1,L27-1)</f>
        <v>-15</v>
      </c>
      <c r="N27" s="2" t="n">
        <f aca="false">MAX(M26+IF($A27=N$4,1,-1),N26-1,M27-1)</f>
        <v>-14</v>
      </c>
      <c r="O27" s="2" t="n">
        <f aca="false">MAX(N26+IF($A27=O$4,1,-1),O26-1,N27-1)</f>
        <v>-14</v>
      </c>
      <c r="P27" s="2" t="n">
        <f aca="false">MAX(O26+IF($A27=P$4,1,-1),P26-1,O27-1)</f>
        <v>-14</v>
      </c>
      <c r="Q27" s="2" t="n">
        <f aca="false">MAX(P26+IF($A27=Q$4,1,-1),Q26-1,P27-1)</f>
        <v>-14</v>
      </c>
      <c r="R27" s="2" t="n">
        <f aca="false">MAX(Q26+IF($A27=R$4,1,-1),R26-1,Q27-1)</f>
        <v>-14</v>
      </c>
      <c r="S27" s="2" t="n">
        <f aca="false">MAX(R26+IF($A27=S$4,1,-1),S26-1,R27-1)</f>
        <v>-14</v>
      </c>
      <c r="T27" s="2" t="n">
        <f aca="false">MAX(S26+IF($A27=T$4,1,-1),T26-1,S27-1)</f>
        <v>-15</v>
      </c>
      <c r="U27" s="2" t="n">
        <f aca="false">MAX(T26+IF($A27=U$4,1,-1),U26-1,T27-1)</f>
        <v>-15</v>
      </c>
      <c r="V27" s="2" t="n">
        <f aca="false">MAX(U26+IF($A27=V$4,1,-1),V26-1,U27-1)</f>
        <v>-15</v>
      </c>
      <c r="W27" s="2" t="n">
        <f aca="false">MAX(V26+IF($A27=W$4,1,-1),W26-1,V27-1)</f>
        <v>-16</v>
      </c>
      <c r="X27" s="2" t="n">
        <f aca="false">MAX(W26+IF($A27=X$4,1,-1),X26-1,W27-1)</f>
        <v>-17</v>
      </c>
      <c r="Y27" s="2" t="n">
        <f aca="false">MAX(X26+IF($A27=Y$4,1,-1),Y26-1,X27-1)</f>
        <v>-17</v>
      </c>
      <c r="Z27" s="2" t="n">
        <f aca="false">MAX(Y26+IF($A27=Z$4,1,-1),Z26-1,Y27-1)</f>
        <v>-18</v>
      </c>
      <c r="AA27" s="2" t="n">
        <f aca="false">MAX(Z26+IF($A27=AA$4,1,-1),AA26-1,Z27-1)</f>
        <v>-18</v>
      </c>
      <c r="AB27" s="2" t="n">
        <f aca="false">MAX(AA26+IF($A27=AB$4,1,-1),AB26-1,AA27-1)</f>
        <v>-18</v>
      </c>
      <c r="AC27" s="2" t="n">
        <f aca="false">MAX(AB26+IF($A27=AC$4,1,-1),AC26-1,AB27-1)</f>
        <v>-19</v>
      </c>
      <c r="AD27" s="2" t="n">
        <f aca="false">MAX(AC26+IF($A27=AD$4,1,-1),AD26-1,AC27-1)</f>
        <v>-20</v>
      </c>
      <c r="AE27" s="2" t="n">
        <f aca="false">MAX(AD26+IF($A27=AE$4,1,-1),AE26-1,AD27-1)</f>
        <v>-21</v>
      </c>
      <c r="AF27" s="2" t="n">
        <f aca="false">MAX(AE26+IF($A27=AF$4,1,-1),AF26-1,AE27-1)</f>
        <v>-22</v>
      </c>
      <c r="AG27" s="2" t="n">
        <f aca="false">MAX(AF26+IF($A27=AG$4,1,-1),AG26-1,AF27-1)</f>
        <v>-23</v>
      </c>
      <c r="AH27" s="2" t="n">
        <f aca="false">MAX(AG26+IF($A27=AH$4,1,-1),AH26-1,AG27-1)</f>
        <v>-24</v>
      </c>
      <c r="AI27" s="2" t="n">
        <f aca="false">MAX(AH26+IF($A27=AI$4,1,-1),AI26-1,AH27-1)</f>
        <v>-25</v>
      </c>
      <c r="AJ27" s="2" t="n">
        <f aca="false">MAX(AI26+IF($A27=AJ$4,1,-1),AJ26-1,AI27-1)</f>
        <v>-26</v>
      </c>
      <c r="AK27" s="2" t="n">
        <f aca="false">MAX(AJ26+IF($A27=AK$4,1,-1),AK26-1,AJ27-1)</f>
        <v>-27</v>
      </c>
      <c r="AL27" s="2" t="n">
        <f aca="false">MAX(AK26+IF($A27=AL$4,1,-1),AL26-1,AK27-1)</f>
        <v>-28</v>
      </c>
      <c r="AM27" s="2" t="n">
        <f aca="false">MAX(AL26+IF($A27=AM$4,1,-1),AM26-1,AL27-1)</f>
        <v>-29</v>
      </c>
      <c r="AN27" s="2" t="n">
        <f aca="false">MAX(AM26+IF($A27=AN$4,1,-1),AN26-1,AM27-1)</f>
        <v>-30</v>
      </c>
      <c r="AO27" s="2" t="n">
        <f aca="false">MAX(AN26+IF($A27=AO$4,1,-1),AO26-1,AN27-1)</f>
        <v>-31</v>
      </c>
      <c r="AP27" s="2" t="n">
        <f aca="false">MAX(AO26+IF($A27=AP$4,1,-1),AP26-1,AO27-1)</f>
        <v>-32</v>
      </c>
      <c r="AQ27" s="2" t="n">
        <f aca="false">MAX(AP26+IF($A27=AQ$4,1,-1),AQ26-1,AP27-1)</f>
        <v>-33</v>
      </c>
      <c r="AR27" s="2" t="n">
        <f aca="false">MAX(AQ26+IF($A27=AR$4,1,-1),AR26-1,AQ27-1)</f>
        <v>-34</v>
      </c>
      <c r="AS27" s="2" t="n">
        <f aca="false">MAX(AR26+IF($A27=AS$4,1,-1),AS26-1,AR27-1)</f>
        <v>-35</v>
      </c>
      <c r="AT27" s="2" t="n">
        <f aca="false">MAX(AS26+IF($A27=AT$4,1,-1),AT26-1,AS27-1)</f>
        <v>-36</v>
      </c>
      <c r="AU27" s="2" t="n">
        <f aca="false">MAX(AT26+IF($A27=AU$4,1,-1),AU26-1,AT27-1)</f>
        <v>-37</v>
      </c>
      <c r="AV27" s="2" t="n">
        <f aca="false">MAX(AU26+IF($A27=AV$4,1,-1),AV26-1,AU27-1)</f>
        <v>-38</v>
      </c>
      <c r="AW27" s="2" t="n">
        <f aca="false">MAX(AV26+IF($A27=AW$4,1,-1),AW26-1,AV27-1)</f>
        <v>-39</v>
      </c>
      <c r="AX27" s="2" t="n">
        <f aca="false">MAX(AW26+IF($A27=AX$4,1,-1),AX26-1,AW27-1)</f>
        <v>-40</v>
      </c>
      <c r="AY27" s="2" t="n">
        <f aca="false">MAX(AX26+IF($A27=AY$4,1,-1),AY26-1,AX27-1)</f>
        <v>-41</v>
      </c>
      <c r="AZ27" s="2" t="n">
        <f aca="false">MAX(AY26+IF($A27=AZ$4,1,-1),AZ26-1,AY27-1)</f>
        <v>-42</v>
      </c>
      <c r="BA27" s="2" t="n">
        <f aca="false">MAX(AZ26+IF($A27=BA$4,1,-1),BA26-1,AZ27-1)</f>
        <v>-43</v>
      </c>
      <c r="BB27" s="2" t="n">
        <f aca="false">MAX(BA26+IF($A27=BB$4,1,-1),BB26-1,BA27-1)</f>
        <v>-44</v>
      </c>
      <c r="BC27" s="2" t="n">
        <f aca="false">MAX(BB26+IF($A27=BC$4,1,-1),BC26-1,BB27-1)</f>
        <v>-45</v>
      </c>
      <c r="BD27" s="2" t="n">
        <f aca="false">MAX(BC26+IF($A27=BD$4,1,-1),BD26-1,BC27-1)</f>
        <v>-46</v>
      </c>
      <c r="BE27" s="2" t="n">
        <f aca="false">MAX(BD26+IF($A27=BE$4,1,-1),BE26-1,BD27-1)</f>
        <v>-47</v>
      </c>
      <c r="BF27" s="2" t="n">
        <f aca="false">MAX(BE26+IF($A27=BF$4,1,-1),BF26-1,BE27-1)</f>
        <v>-48</v>
      </c>
      <c r="BG27" s="2" t="n">
        <f aca="false">MAX(BF26+IF($A27=BG$4,1,-1),BG26-1,BF27-1)</f>
        <v>-49</v>
      </c>
      <c r="BH27" s="2" t="n">
        <f aca="false">MAX(BG26+IF($A27=BH$4,1,-1),BH26-1,BG27-1)</f>
        <v>-50</v>
      </c>
      <c r="BI27" s="2" t="n">
        <f aca="false">MAX(BH26+IF($A27=BI$4,1,-1),BI26-1,BH27-1)</f>
        <v>-51</v>
      </c>
      <c r="BJ27" s="2" t="n">
        <f aca="false">MAX(BI26+IF($A27=BJ$4,1,-1),BJ26-1,BI27-1)</f>
        <v>-52</v>
      </c>
      <c r="BK27" s="2" t="n">
        <f aca="false">MAX(BJ26+IF($A27=BK$4,1,-1),BK26-1,BJ27-1)</f>
        <v>-53</v>
      </c>
      <c r="BL27" s="2" t="n">
        <f aca="false">MAX(BK26+IF($A27=BL$4,1,-1),BL26-1,BK27-1)</f>
        <v>-54</v>
      </c>
      <c r="BM27" s="2" t="n">
        <f aca="false">MAX(BL26+IF($A27=BM$4,1,-1),BM26-1,BL27-1)</f>
        <v>-54</v>
      </c>
      <c r="BN27" s="2" t="n">
        <f aca="false">MAX(BM26+IF($A27=BN$4,1,-1),BN26-1,BM27-1)</f>
        <v>-54</v>
      </c>
      <c r="BO27" s="2" t="n">
        <f aca="false">MAX(BN26+IF($A27=BO$4,1,-1),BO26-1,BN27-1)</f>
        <v>-55</v>
      </c>
      <c r="BP27" s="2" t="n">
        <f aca="false">MAX(BO26+IF($A27=BP$4,1,-1),BP26-1,BO27-1)</f>
        <v>-56</v>
      </c>
      <c r="BQ27" s="2" t="n">
        <f aca="false">MAX(BP26+IF($A27=BQ$4,1,-1),BQ26-1,BP27-1)</f>
        <v>-57</v>
      </c>
      <c r="BR27" s="2" t="n">
        <f aca="false">MAX(BQ26+IF($A27=BR$4,1,-1),BR26-1,BQ27-1)</f>
        <v>-58</v>
      </c>
      <c r="BS27" s="2" t="n">
        <f aca="false">MAX(BR26+IF($A27=BS$4,1,-1),BS26-1,BR27-1)</f>
        <v>-59</v>
      </c>
      <c r="BT27" s="2" t="n">
        <f aca="false">MAX(BS26+IF($A27=BT$4,1,-1),BT26-1,BS27-1)</f>
        <v>-60</v>
      </c>
      <c r="BU27" s="2" t="n">
        <f aca="false">MAX(BT26+IF($A27=BU$4,1,-1),BU26-1,BT27-1)</f>
        <v>-61</v>
      </c>
      <c r="BV27" s="2" t="n">
        <f aca="false">MAX(BU26+IF($A27=BV$4,1,-1),BV26-1,BU27-1)</f>
        <v>-62</v>
      </c>
      <c r="BW27" s="2" t="n">
        <f aca="false">MAX(BV26+IF($A27=BW$4,1,-1),BW26-1,BV27-1)</f>
        <v>-63</v>
      </c>
      <c r="BX27" s="2" t="n">
        <f aca="false">MAX(BW26+IF($A27=BX$4,1,-1),BX26-1,BW27-1)</f>
        <v>-64</v>
      </c>
      <c r="BY27" s="2" t="n">
        <f aca="false">MAX(BX26+IF($A27=BY$4,1,-1),BY26-1,BX27-1)</f>
        <v>-65</v>
      </c>
      <c r="BZ27" s="2" t="n">
        <f aca="false">MAX(BY26+IF($A27=BZ$4,1,-1),BZ26-1,BY27-1)</f>
        <v>-66</v>
      </c>
      <c r="CA27" s="2" t="n">
        <f aca="false">MAX(BZ26+IF($A27=CA$4,1,-1),CA26-1,BZ27-1)</f>
        <v>-67</v>
      </c>
      <c r="CB27" s="2" t="n">
        <f aca="false">MAX(CA26+IF($A27=CB$4,1,-1),CB26-1,CA27-1)</f>
        <v>-68</v>
      </c>
      <c r="CC27" s="2" t="n">
        <f aca="false">MAX(CB26+IF($A27=CC$4,1,-1),CC26-1,CB27-1)</f>
        <v>-69</v>
      </c>
      <c r="CD27" s="2" t="n">
        <f aca="false">MAX(CC26+IF($A27=CD$4,1,-1),CD26-1,CC27-1)</f>
        <v>-70</v>
      </c>
      <c r="CE27" s="2" t="n">
        <f aca="false">MAX(CD26+IF($A27=CE$4,1,-1),CE26-1,CD27-1)</f>
        <v>-71</v>
      </c>
      <c r="CF27" s="2" t="n">
        <f aca="false">MAX(CE26+IF($A27=CF$4,1,-1),CF26-1,CE27-1)</f>
        <v>-72</v>
      </c>
      <c r="CG27" s="2" t="n">
        <f aca="false">MAX(CF26+IF($A27=CG$4,1,-1),CG26-1,CF27-1)</f>
        <v>-73</v>
      </c>
      <c r="CH27" s="2" t="n">
        <f aca="false">MAX(CG26+IF($A27=CH$4,1,-1),CH26-1,CG27-1)</f>
        <v>-74</v>
      </c>
      <c r="CI27" s="2" t="n">
        <f aca="false">MAX(CH26+IF($A27=CI$4,1,-1),CI26-1,CH27-1)</f>
        <v>-75</v>
      </c>
      <c r="CJ27" s="2" t="n">
        <f aca="false">MAX(CI26+IF($A27=CJ$4,1,-1),CJ26-1,CI27-1)</f>
        <v>-76</v>
      </c>
      <c r="CK27" s="2" t="n">
        <f aca="false">MAX(CJ26+IF($A27=CK$4,1,-1),CK26-1,CJ27-1)</f>
        <v>-77</v>
      </c>
      <c r="CL27" s="2" t="n">
        <f aca="false">MAX(CK26+IF($A27=CL$4,1,-1),CL26-1,CK27-1)</f>
        <v>-78</v>
      </c>
      <c r="CM27" s="2" t="n">
        <f aca="false">MAX(CL26+IF($A27=CM$4,1,-1),CM26-1,CL27-1)</f>
        <v>-79</v>
      </c>
      <c r="CN27" s="2" t="n">
        <f aca="false">MAX(CM26+IF($A27=CN$4,1,-1),CN26-1,CM27-1)</f>
        <v>-80</v>
      </c>
      <c r="CO27" s="2" t="n">
        <f aca="false">MAX(CN26+IF($A27=CO$4,1,-1),CO26-1,CN27-1)</f>
        <v>-81</v>
      </c>
      <c r="CP27" s="2" t="n">
        <f aca="false">MAX(CO26+IF($A27=CP$4,1,-1),CP26-1,CO27-1)</f>
        <v>-82</v>
      </c>
      <c r="CQ27" s="2" t="n">
        <f aca="false">MAX(CP26+IF($A27=CQ$4,1,-1),CQ26-1,CP27-1)</f>
        <v>-83</v>
      </c>
    </row>
    <row r="28" customFormat="false" ht="15" hidden="false" customHeight="false" outlineLevel="0" collapsed="false">
      <c r="A28" s="4" t="s">
        <v>160</v>
      </c>
      <c r="B28" s="12" t="n">
        <v>-23</v>
      </c>
      <c r="C28" s="2" t="n">
        <f aca="false">MAX(B27+IF($A28=C$4,1,-1),C27-1,B28-1)</f>
        <v>-23</v>
      </c>
      <c r="D28" s="2" t="n">
        <f aca="false">MAX(C27+IF($A28=D$4,1,-1),D27-1,C28-1)</f>
        <v>-22</v>
      </c>
      <c r="E28" s="2" t="n">
        <f aca="false">MAX(D27+IF($A28=E$4,1,-1),E27-1,D28-1)</f>
        <v>-20</v>
      </c>
      <c r="F28" s="2" t="n">
        <f aca="false">MAX(E27+IF($A28=F$4,1,-1),F27-1,E28-1)</f>
        <v>-18</v>
      </c>
      <c r="G28" s="2" t="n">
        <f aca="false">MAX(F27+IF($A28=G$4,1,-1),G27-1,F28-1)</f>
        <v>-18</v>
      </c>
      <c r="H28" s="2" t="n">
        <f aca="false">MAX(G27+IF($A28=H$4,1,-1),H27-1,G28-1)</f>
        <v>-18</v>
      </c>
      <c r="I28" s="2" t="n">
        <f aca="false">MAX(H27+IF($A28=I$4,1,-1),I27-1,H28-1)</f>
        <v>-18</v>
      </c>
      <c r="J28" s="2" t="n">
        <f aca="false">MAX(I27+IF($A28=J$4,1,-1),J27-1,I28-1)</f>
        <v>-18</v>
      </c>
      <c r="K28" s="2" t="n">
        <f aca="false">MAX(J27+IF($A28=K$4,1,-1),K27-1,J28-1)</f>
        <v>-16</v>
      </c>
      <c r="L28" s="2" t="n">
        <f aca="false">MAX(K27+IF($A28=L$4,1,-1),L27-1,K28-1)</f>
        <v>-16</v>
      </c>
      <c r="M28" s="2" t="n">
        <f aca="false">MAX(L27+IF($A28=M$4,1,-1),M27-1,L28-1)</f>
        <v>-16</v>
      </c>
      <c r="N28" s="2" t="n">
        <f aca="false">MAX(M27+IF($A28=N$4,1,-1),N27-1,M28-1)</f>
        <v>-15</v>
      </c>
      <c r="O28" s="2" t="n">
        <f aca="false">MAX(N27+IF($A28=O$4,1,-1),O27-1,N28-1)</f>
        <v>-15</v>
      </c>
      <c r="P28" s="2" t="n">
        <f aca="false">MAX(O27+IF($A28=P$4,1,-1),P27-1,O28-1)</f>
        <v>-15</v>
      </c>
      <c r="Q28" s="2" t="n">
        <f aca="false">MAX(P27+IF($A28=Q$4,1,-1),Q27-1,P28-1)</f>
        <v>-15</v>
      </c>
      <c r="R28" s="2" t="n">
        <f aca="false">MAX(Q27+IF($A28=R$4,1,-1),R27-1,Q28-1)</f>
        <v>-15</v>
      </c>
      <c r="S28" s="2" t="n">
        <f aca="false">MAX(R27+IF($A28=S$4,1,-1),S27-1,R28-1)</f>
        <v>-15</v>
      </c>
      <c r="T28" s="2" t="n">
        <f aca="false">MAX(S27+IF($A28=T$4,1,-1),T27-1,S28-1)</f>
        <v>-15</v>
      </c>
      <c r="U28" s="2" t="n">
        <f aca="false">MAX(T27+IF($A28=U$4,1,-1),U27-1,T28-1)</f>
        <v>-16</v>
      </c>
      <c r="V28" s="2" t="n">
        <f aca="false">MAX(U27+IF($A28=V$4,1,-1),V27-1,U28-1)</f>
        <v>-16</v>
      </c>
      <c r="W28" s="2" t="n">
        <f aca="false">MAX(V27+IF($A28=W$4,1,-1),W27-1,V28-1)</f>
        <v>-16</v>
      </c>
      <c r="X28" s="2" t="n">
        <f aca="false">MAX(W27+IF($A28=X$4,1,-1),X27-1,W28-1)</f>
        <v>-17</v>
      </c>
      <c r="Y28" s="2" t="n">
        <f aca="false">MAX(X27+IF($A28=Y$4,1,-1),Y27-1,X28-1)</f>
        <v>-18</v>
      </c>
      <c r="Z28" s="2" t="n">
        <f aca="false">MAX(Y27+IF($A28=Z$4,1,-1),Z27-1,Y28-1)</f>
        <v>-18</v>
      </c>
      <c r="AA28" s="2" t="n">
        <f aca="false">MAX(Z27+IF($A28=AA$4,1,-1),AA27-1,Z28-1)</f>
        <v>-19</v>
      </c>
      <c r="AB28" s="2" t="n">
        <f aca="false">MAX(AA27+IF($A28=AB$4,1,-1),AB27-1,AA28-1)</f>
        <v>-19</v>
      </c>
      <c r="AC28" s="2" t="n">
        <f aca="false">MAX(AB27+IF($A28=AC$4,1,-1),AC27-1,AB28-1)</f>
        <v>-19</v>
      </c>
      <c r="AD28" s="2" t="n">
        <f aca="false">MAX(AC27+IF($A28=AD$4,1,-1),AD27-1,AC28-1)</f>
        <v>-20</v>
      </c>
      <c r="AE28" s="2" t="n">
        <f aca="false">MAX(AD27+IF($A28=AE$4,1,-1),AE27-1,AD28-1)</f>
        <v>-21</v>
      </c>
      <c r="AF28" s="2" t="n">
        <f aca="false">MAX(AE27+IF($A28=AF$4,1,-1),AF27-1,AE28-1)</f>
        <v>-22</v>
      </c>
      <c r="AG28" s="2" t="n">
        <f aca="false">MAX(AF27+IF($A28=AG$4,1,-1),AG27-1,AF28-1)</f>
        <v>-23</v>
      </c>
      <c r="AH28" s="2" t="n">
        <f aca="false">MAX(AG27+IF($A28=AH$4,1,-1),AH27-1,AG28-1)</f>
        <v>-24</v>
      </c>
      <c r="AI28" s="2" t="n">
        <f aca="false">MAX(AH27+IF($A28=AI$4,1,-1),AI27-1,AH28-1)</f>
        <v>-25</v>
      </c>
      <c r="AJ28" s="2" t="n">
        <f aca="false">MAX(AI27+IF($A28=AJ$4,1,-1),AJ27-1,AI28-1)</f>
        <v>-26</v>
      </c>
      <c r="AK28" s="2" t="n">
        <f aca="false">MAX(AJ27+IF($A28=AK$4,1,-1),AK27-1,AJ28-1)</f>
        <v>-27</v>
      </c>
      <c r="AL28" s="2" t="n">
        <f aca="false">MAX(AK27+IF($A28=AL$4,1,-1),AL27-1,AK28-1)</f>
        <v>-28</v>
      </c>
      <c r="AM28" s="2" t="n">
        <f aca="false">MAX(AL27+IF($A28=AM$4,1,-1),AM27-1,AL28-1)</f>
        <v>-29</v>
      </c>
      <c r="AN28" s="2" t="n">
        <f aca="false">MAX(AM27+IF($A28=AN$4,1,-1),AN27-1,AM28-1)</f>
        <v>-30</v>
      </c>
      <c r="AO28" s="2" t="n">
        <f aca="false">MAX(AN27+IF($A28=AO$4,1,-1),AO27-1,AN28-1)</f>
        <v>-31</v>
      </c>
      <c r="AP28" s="2" t="n">
        <f aca="false">MAX(AO27+IF($A28=AP$4,1,-1),AP27-1,AO28-1)</f>
        <v>-32</v>
      </c>
      <c r="AQ28" s="2" t="n">
        <f aca="false">MAX(AP27+IF($A28=AQ$4,1,-1),AQ27-1,AP28-1)</f>
        <v>-33</v>
      </c>
      <c r="AR28" s="2" t="n">
        <f aca="false">MAX(AQ27+IF($A28=AR$4,1,-1),AR27-1,AQ28-1)</f>
        <v>-34</v>
      </c>
      <c r="AS28" s="2" t="n">
        <f aca="false">MAX(AR27+IF($A28=AS$4,1,-1),AS27-1,AR28-1)</f>
        <v>-35</v>
      </c>
      <c r="AT28" s="2" t="n">
        <f aca="false">MAX(AS27+IF($A28=AT$4,1,-1),AT27-1,AS28-1)</f>
        <v>-36</v>
      </c>
      <c r="AU28" s="2" t="n">
        <f aca="false">MAX(AT27+IF($A28=AU$4,1,-1),AU27-1,AT28-1)</f>
        <v>-37</v>
      </c>
      <c r="AV28" s="2" t="n">
        <f aca="false">MAX(AU27+IF($A28=AV$4,1,-1),AV27-1,AU28-1)</f>
        <v>-38</v>
      </c>
      <c r="AW28" s="2" t="n">
        <f aca="false">MAX(AV27+IF($A28=AW$4,1,-1),AW27-1,AV28-1)</f>
        <v>-39</v>
      </c>
      <c r="AX28" s="2" t="n">
        <f aca="false">MAX(AW27+IF($A28=AX$4,1,-1),AX27-1,AW28-1)</f>
        <v>-40</v>
      </c>
      <c r="AY28" s="2" t="n">
        <f aca="false">MAX(AX27+IF($A28=AY$4,1,-1),AY27-1,AX28-1)</f>
        <v>-41</v>
      </c>
      <c r="AZ28" s="2" t="n">
        <f aca="false">MAX(AY27+IF($A28=AZ$4,1,-1),AZ27-1,AY28-1)</f>
        <v>-42</v>
      </c>
      <c r="BA28" s="2" t="n">
        <f aca="false">MAX(AZ27+IF($A28=BA$4,1,-1),BA27-1,AZ28-1)</f>
        <v>-43</v>
      </c>
      <c r="BB28" s="2" t="n">
        <f aca="false">MAX(BA27+IF($A28=BB$4,1,-1),BB27-1,BA28-1)</f>
        <v>-44</v>
      </c>
      <c r="BC28" s="2" t="n">
        <f aca="false">MAX(BB27+IF($A28=BC$4,1,-1),BC27-1,BB28-1)</f>
        <v>-45</v>
      </c>
      <c r="BD28" s="2" t="n">
        <f aca="false">MAX(BC27+IF($A28=BD$4,1,-1),BD27-1,BC28-1)</f>
        <v>-46</v>
      </c>
      <c r="BE28" s="2" t="n">
        <f aca="false">MAX(BD27+IF($A28=BE$4,1,-1),BE27-1,BD28-1)</f>
        <v>-47</v>
      </c>
      <c r="BF28" s="2" t="n">
        <f aca="false">MAX(BE27+IF($A28=BF$4,1,-1),BF27-1,BE28-1)</f>
        <v>-48</v>
      </c>
      <c r="BG28" s="2" t="n">
        <f aca="false">MAX(BF27+IF($A28=BG$4,1,-1),BG27-1,BF28-1)</f>
        <v>-49</v>
      </c>
      <c r="BH28" s="2" t="n">
        <f aca="false">MAX(BG27+IF($A28=BH$4,1,-1),BH27-1,BG28-1)</f>
        <v>-50</v>
      </c>
      <c r="BI28" s="2" t="n">
        <f aca="false">MAX(BH27+IF($A28=BI$4,1,-1),BI27-1,BH28-1)</f>
        <v>-51</v>
      </c>
      <c r="BJ28" s="2" t="n">
        <f aca="false">MAX(BI27+IF($A28=BJ$4,1,-1),BJ27-1,BI28-1)</f>
        <v>-52</v>
      </c>
      <c r="BK28" s="2" t="n">
        <f aca="false">MAX(BJ27+IF($A28=BK$4,1,-1),BK27-1,BJ28-1)</f>
        <v>-53</v>
      </c>
      <c r="BL28" s="2" t="n">
        <f aca="false">MAX(BK27+IF($A28=BL$4,1,-1),BL27-1,BK28-1)</f>
        <v>-54</v>
      </c>
      <c r="BM28" s="2" t="n">
        <f aca="false">MAX(BL27+IF($A28=BM$4,1,-1),BM27-1,BL28-1)</f>
        <v>-55</v>
      </c>
      <c r="BN28" s="2" t="n">
        <f aca="false">MAX(BM27+IF($A28=BN$4,1,-1),BN27-1,BM28-1)</f>
        <v>-55</v>
      </c>
      <c r="BO28" s="2" t="n">
        <f aca="false">MAX(BN27+IF($A28=BO$4,1,-1),BO27-1,BN28-1)</f>
        <v>-55</v>
      </c>
      <c r="BP28" s="2" t="n">
        <f aca="false">MAX(BO27+IF($A28=BP$4,1,-1),BP27-1,BO28-1)</f>
        <v>-56</v>
      </c>
      <c r="BQ28" s="2" t="n">
        <f aca="false">MAX(BP27+IF($A28=BQ$4,1,-1),BQ27-1,BP28-1)</f>
        <v>-57</v>
      </c>
      <c r="BR28" s="2" t="n">
        <f aca="false">MAX(BQ27+IF($A28=BR$4,1,-1),BR27-1,BQ28-1)</f>
        <v>-58</v>
      </c>
      <c r="BS28" s="2" t="n">
        <f aca="false">MAX(BR27+IF($A28=BS$4,1,-1),BS27-1,BR28-1)</f>
        <v>-59</v>
      </c>
      <c r="BT28" s="2" t="n">
        <f aca="false">MAX(BS27+IF($A28=BT$4,1,-1),BT27-1,BS28-1)</f>
        <v>-60</v>
      </c>
      <c r="BU28" s="2" t="n">
        <f aca="false">MAX(BT27+IF($A28=BU$4,1,-1),BU27-1,BT28-1)</f>
        <v>-61</v>
      </c>
      <c r="BV28" s="2" t="n">
        <f aca="false">MAX(BU27+IF($A28=BV$4,1,-1),BV27-1,BU28-1)</f>
        <v>-62</v>
      </c>
      <c r="BW28" s="2" t="n">
        <f aca="false">MAX(BV27+IF($A28=BW$4,1,-1),BW27-1,BV28-1)</f>
        <v>-63</v>
      </c>
      <c r="BX28" s="2" t="n">
        <f aca="false">MAX(BW27+IF($A28=BX$4,1,-1),BX27-1,BW28-1)</f>
        <v>-64</v>
      </c>
      <c r="BY28" s="2" t="n">
        <f aca="false">MAX(BX27+IF($A28=BY$4,1,-1),BY27-1,BX28-1)</f>
        <v>-65</v>
      </c>
      <c r="BZ28" s="2" t="n">
        <f aca="false">MAX(BY27+IF($A28=BZ$4,1,-1),BZ27-1,BY28-1)</f>
        <v>-66</v>
      </c>
      <c r="CA28" s="2" t="n">
        <f aca="false">MAX(BZ27+IF($A28=CA$4,1,-1),CA27-1,BZ28-1)</f>
        <v>-67</v>
      </c>
      <c r="CB28" s="2" t="n">
        <f aca="false">MAX(CA27+IF($A28=CB$4,1,-1),CB27-1,CA28-1)</f>
        <v>-68</v>
      </c>
      <c r="CC28" s="2" t="n">
        <f aca="false">MAX(CB27+IF($A28=CC$4,1,-1),CC27-1,CB28-1)</f>
        <v>-69</v>
      </c>
      <c r="CD28" s="2" t="n">
        <f aca="false">MAX(CC27+IF($A28=CD$4,1,-1),CD27-1,CC28-1)</f>
        <v>-70</v>
      </c>
      <c r="CE28" s="2" t="n">
        <f aca="false">MAX(CD27+IF($A28=CE$4,1,-1),CE27-1,CD28-1)</f>
        <v>-71</v>
      </c>
      <c r="CF28" s="2" t="n">
        <f aca="false">MAX(CE27+IF($A28=CF$4,1,-1),CF27-1,CE28-1)</f>
        <v>-72</v>
      </c>
      <c r="CG28" s="2" t="n">
        <f aca="false">MAX(CF27+IF($A28=CG$4,1,-1),CG27-1,CF28-1)</f>
        <v>-73</v>
      </c>
      <c r="CH28" s="2" t="n">
        <f aca="false">MAX(CG27+IF($A28=CH$4,1,-1),CH27-1,CG28-1)</f>
        <v>-74</v>
      </c>
      <c r="CI28" s="2" t="n">
        <f aca="false">MAX(CH27+IF($A28=CI$4,1,-1),CI27-1,CH28-1)</f>
        <v>-75</v>
      </c>
      <c r="CJ28" s="2" t="n">
        <f aca="false">MAX(CI27+IF($A28=CJ$4,1,-1),CJ27-1,CI28-1)</f>
        <v>-76</v>
      </c>
      <c r="CK28" s="2" t="n">
        <f aca="false">MAX(CJ27+IF($A28=CK$4,1,-1),CK27-1,CJ28-1)</f>
        <v>-77</v>
      </c>
      <c r="CL28" s="2" t="n">
        <f aca="false">MAX(CK27+IF($A28=CL$4,1,-1),CL27-1,CK28-1)</f>
        <v>-78</v>
      </c>
      <c r="CM28" s="2" t="n">
        <f aca="false">MAX(CL27+IF($A28=CM$4,1,-1),CM27-1,CL28-1)</f>
        <v>-79</v>
      </c>
      <c r="CN28" s="2" t="n">
        <f aca="false">MAX(CM27+IF($A28=CN$4,1,-1),CN27-1,CM28-1)</f>
        <v>-80</v>
      </c>
      <c r="CO28" s="2" t="n">
        <f aca="false">MAX(CN27+IF($A28=CO$4,1,-1),CO27-1,CN28-1)</f>
        <v>-81</v>
      </c>
      <c r="CP28" s="2" t="n">
        <f aca="false">MAX(CO27+IF($A28=CP$4,1,-1),CP27-1,CO28-1)</f>
        <v>-82</v>
      </c>
      <c r="CQ28" s="2" t="n">
        <f aca="false">MAX(CP27+IF($A28=CQ$4,1,-1),CQ27-1,CP28-1)</f>
        <v>-83</v>
      </c>
    </row>
    <row r="29" customFormat="false" ht="15" hidden="false" customHeight="false" outlineLevel="0" collapsed="false">
      <c r="A29" s="4" t="s">
        <v>161</v>
      </c>
      <c r="B29" s="12" t="n">
        <v>-24</v>
      </c>
      <c r="C29" s="2" t="n">
        <f aca="false">MAX(B28+IF($A29=C$4,1,-1),C28-1,B29-1)</f>
        <v>-24</v>
      </c>
      <c r="D29" s="2" t="n">
        <f aca="false">MAX(C28+IF($A29=D$4,1,-1),D28-1,C29-1)</f>
        <v>-23</v>
      </c>
      <c r="E29" s="2" t="n">
        <f aca="false">MAX(D28+IF($A29=E$4,1,-1),E28-1,D29-1)</f>
        <v>-21</v>
      </c>
      <c r="F29" s="2" t="n">
        <f aca="false">MAX(E28+IF($A29=F$4,1,-1),F28-1,E29-1)</f>
        <v>-19</v>
      </c>
      <c r="G29" s="2" t="n">
        <f aca="false">MAX(F28+IF($A29=G$4,1,-1),G28-1,F29-1)</f>
        <v>-19</v>
      </c>
      <c r="H29" s="2" t="n">
        <f aca="false">MAX(G28+IF($A29=H$4,1,-1),H28-1,G29-1)</f>
        <v>-19</v>
      </c>
      <c r="I29" s="2" t="n">
        <f aca="false">MAX(H28+IF($A29=I$4,1,-1),I28-1,H29-1)</f>
        <v>-19</v>
      </c>
      <c r="J29" s="2" t="n">
        <f aca="false">MAX(I28+IF($A29=J$4,1,-1),J28-1,I29-1)</f>
        <v>-19</v>
      </c>
      <c r="K29" s="2" t="n">
        <f aca="false">MAX(J28+IF($A29=K$4,1,-1),K28-1,J29-1)</f>
        <v>-17</v>
      </c>
      <c r="L29" s="2" t="n">
        <f aca="false">MAX(K28+IF($A29=L$4,1,-1),L28-1,K29-1)</f>
        <v>-17</v>
      </c>
      <c r="M29" s="2" t="n">
        <f aca="false">MAX(L28+IF($A29=M$4,1,-1),M28-1,L29-1)</f>
        <v>-17</v>
      </c>
      <c r="N29" s="2" t="n">
        <f aca="false">MAX(M28+IF($A29=N$4,1,-1),N28-1,M29-1)</f>
        <v>-16</v>
      </c>
      <c r="O29" s="2" t="n">
        <f aca="false">MAX(N28+IF($A29=O$4,1,-1),O28-1,N29-1)</f>
        <v>-16</v>
      </c>
      <c r="P29" s="2" t="n">
        <f aca="false">MAX(O28+IF($A29=P$4,1,-1),P28-1,O29-1)</f>
        <v>-16</v>
      </c>
      <c r="Q29" s="2" t="n">
        <f aca="false">MAX(P28+IF($A29=Q$4,1,-1),Q28-1,P29-1)</f>
        <v>-16</v>
      </c>
      <c r="R29" s="2" t="n">
        <f aca="false">MAX(Q28+IF($A29=R$4,1,-1),R28-1,Q29-1)</f>
        <v>-16</v>
      </c>
      <c r="S29" s="2" t="n">
        <f aca="false">MAX(R28+IF($A29=S$4,1,-1),S28-1,R29-1)</f>
        <v>-16</v>
      </c>
      <c r="T29" s="2" t="n">
        <f aca="false">MAX(S28+IF($A29=T$4,1,-1),T28-1,S29-1)</f>
        <v>-16</v>
      </c>
      <c r="U29" s="2" t="n">
        <f aca="false">MAX(T28+IF($A29=U$4,1,-1),U28-1,T29-1)</f>
        <v>-16</v>
      </c>
      <c r="V29" s="2" t="n">
        <f aca="false">MAX(U28+IF($A29=V$4,1,-1),V28-1,U29-1)</f>
        <v>-17</v>
      </c>
      <c r="W29" s="2" t="n">
        <f aca="false">MAX(V28+IF($A29=W$4,1,-1),W28-1,V29-1)</f>
        <v>-17</v>
      </c>
      <c r="X29" s="2" t="n">
        <f aca="false">MAX(W28+IF($A29=X$4,1,-1),X28-1,W29-1)</f>
        <v>-17</v>
      </c>
      <c r="Y29" s="2" t="n">
        <f aca="false">MAX(X28+IF($A29=Y$4,1,-1),Y28-1,X29-1)</f>
        <v>-18</v>
      </c>
      <c r="Z29" s="2" t="n">
        <f aca="false">MAX(Y28+IF($A29=Z$4,1,-1),Z28-1,Y29-1)</f>
        <v>-19</v>
      </c>
      <c r="AA29" s="2" t="n">
        <f aca="false">MAX(Z28+IF($A29=AA$4,1,-1),AA28-1,Z29-1)</f>
        <v>-19</v>
      </c>
      <c r="AB29" s="2" t="n">
        <f aca="false">MAX(AA28+IF($A29=AB$4,1,-1),AB28-1,AA29-1)</f>
        <v>-20</v>
      </c>
      <c r="AC29" s="2" t="n">
        <f aca="false">MAX(AB28+IF($A29=AC$4,1,-1),AC28-1,AB29-1)</f>
        <v>-20</v>
      </c>
      <c r="AD29" s="2" t="n">
        <f aca="false">MAX(AC28+IF($A29=AD$4,1,-1),AD28-1,AC29-1)</f>
        <v>-20</v>
      </c>
      <c r="AE29" s="2" t="n">
        <f aca="false">MAX(AD28+IF($A29=AE$4,1,-1),AE28-1,AD29-1)</f>
        <v>-21</v>
      </c>
      <c r="AF29" s="2" t="n">
        <f aca="false">MAX(AE28+IF($A29=AF$4,1,-1),AF28-1,AE29-1)</f>
        <v>-22</v>
      </c>
      <c r="AG29" s="2" t="n">
        <f aca="false">MAX(AF28+IF($A29=AG$4,1,-1),AG28-1,AF29-1)</f>
        <v>-23</v>
      </c>
      <c r="AH29" s="2" t="n">
        <f aca="false">MAX(AG28+IF($A29=AH$4,1,-1),AH28-1,AG29-1)</f>
        <v>-24</v>
      </c>
      <c r="AI29" s="2" t="n">
        <f aca="false">MAX(AH28+IF($A29=AI$4,1,-1),AI28-1,AH29-1)</f>
        <v>-25</v>
      </c>
      <c r="AJ29" s="2" t="n">
        <f aca="false">MAX(AI28+IF($A29=AJ$4,1,-1),AJ28-1,AI29-1)</f>
        <v>-26</v>
      </c>
      <c r="AK29" s="2" t="n">
        <f aca="false">MAX(AJ28+IF($A29=AK$4,1,-1),AK28-1,AJ29-1)</f>
        <v>-27</v>
      </c>
      <c r="AL29" s="2" t="n">
        <f aca="false">MAX(AK28+IF($A29=AL$4,1,-1),AL28-1,AK29-1)</f>
        <v>-28</v>
      </c>
      <c r="AM29" s="2" t="n">
        <f aca="false">MAX(AL28+IF($A29=AM$4,1,-1),AM28-1,AL29-1)</f>
        <v>-29</v>
      </c>
      <c r="AN29" s="2" t="n">
        <f aca="false">MAX(AM28+IF($A29=AN$4,1,-1),AN28-1,AM29-1)</f>
        <v>-30</v>
      </c>
      <c r="AO29" s="2" t="n">
        <f aca="false">MAX(AN28+IF($A29=AO$4,1,-1),AO28-1,AN29-1)</f>
        <v>-31</v>
      </c>
      <c r="AP29" s="2" t="n">
        <f aca="false">MAX(AO28+IF($A29=AP$4,1,-1),AP28-1,AO29-1)</f>
        <v>-32</v>
      </c>
      <c r="AQ29" s="2" t="n">
        <f aca="false">MAX(AP28+IF($A29=AQ$4,1,-1),AQ28-1,AP29-1)</f>
        <v>-33</v>
      </c>
      <c r="AR29" s="2" t="n">
        <f aca="false">MAX(AQ28+IF($A29=AR$4,1,-1),AR28-1,AQ29-1)</f>
        <v>-34</v>
      </c>
      <c r="AS29" s="2" t="n">
        <f aca="false">MAX(AR28+IF($A29=AS$4,1,-1),AS28-1,AR29-1)</f>
        <v>-35</v>
      </c>
      <c r="AT29" s="2" t="n">
        <f aca="false">MAX(AS28+IF($A29=AT$4,1,-1),AT28-1,AS29-1)</f>
        <v>-36</v>
      </c>
      <c r="AU29" s="2" t="n">
        <f aca="false">MAX(AT28+IF($A29=AU$4,1,-1),AU28-1,AT29-1)</f>
        <v>-37</v>
      </c>
      <c r="AV29" s="2" t="n">
        <f aca="false">MAX(AU28+IF($A29=AV$4,1,-1),AV28-1,AU29-1)</f>
        <v>-38</v>
      </c>
      <c r="AW29" s="2" t="n">
        <f aca="false">MAX(AV28+IF($A29=AW$4,1,-1),AW28-1,AV29-1)</f>
        <v>-39</v>
      </c>
      <c r="AX29" s="2" t="n">
        <f aca="false">MAX(AW28+IF($A29=AX$4,1,-1),AX28-1,AW29-1)</f>
        <v>-40</v>
      </c>
      <c r="AY29" s="2" t="n">
        <f aca="false">MAX(AX28+IF($A29=AY$4,1,-1),AY28-1,AX29-1)</f>
        <v>-41</v>
      </c>
      <c r="AZ29" s="2" t="n">
        <f aca="false">MAX(AY28+IF($A29=AZ$4,1,-1),AZ28-1,AY29-1)</f>
        <v>-42</v>
      </c>
      <c r="BA29" s="2" t="n">
        <f aca="false">MAX(AZ28+IF($A29=BA$4,1,-1),BA28-1,AZ29-1)</f>
        <v>-43</v>
      </c>
      <c r="BB29" s="2" t="n">
        <f aca="false">MAX(BA28+IF($A29=BB$4,1,-1),BB28-1,BA29-1)</f>
        <v>-44</v>
      </c>
      <c r="BC29" s="2" t="n">
        <f aca="false">MAX(BB28+IF($A29=BC$4,1,-1),BC28-1,BB29-1)</f>
        <v>-45</v>
      </c>
      <c r="BD29" s="2" t="n">
        <f aca="false">MAX(BC28+IF($A29=BD$4,1,-1),BD28-1,BC29-1)</f>
        <v>-46</v>
      </c>
      <c r="BE29" s="2" t="n">
        <f aca="false">MAX(BD28+IF($A29=BE$4,1,-1),BE28-1,BD29-1)</f>
        <v>-47</v>
      </c>
      <c r="BF29" s="2" t="n">
        <f aca="false">MAX(BE28+IF($A29=BF$4,1,-1),BF28-1,BE29-1)</f>
        <v>-48</v>
      </c>
      <c r="BG29" s="2" t="n">
        <f aca="false">MAX(BF28+IF($A29=BG$4,1,-1),BG28-1,BF29-1)</f>
        <v>-49</v>
      </c>
      <c r="BH29" s="2" t="n">
        <f aca="false">MAX(BG28+IF($A29=BH$4,1,-1),BH28-1,BG29-1)</f>
        <v>-50</v>
      </c>
      <c r="BI29" s="2" t="n">
        <f aca="false">MAX(BH28+IF($A29=BI$4,1,-1),BI28-1,BH29-1)</f>
        <v>-51</v>
      </c>
      <c r="BJ29" s="2" t="n">
        <f aca="false">MAX(BI28+IF($A29=BJ$4,1,-1),BJ28-1,BI29-1)</f>
        <v>-52</v>
      </c>
      <c r="BK29" s="2" t="n">
        <f aca="false">MAX(BJ28+IF($A29=BK$4,1,-1),BK28-1,BJ29-1)</f>
        <v>-53</v>
      </c>
      <c r="BL29" s="2" t="n">
        <f aca="false">MAX(BK28+IF($A29=BL$4,1,-1),BL28-1,BK29-1)</f>
        <v>-54</v>
      </c>
      <c r="BM29" s="2" t="n">
        <f aca="false">MAX(BL28+IF($A29=BM$4,1,-1),BM28-1,BL29-1)</f>
        <v>-55</v>
      </c>
      <c r="BN29" s="2" t="n">
        <f aca="false">MAX(BM28+IF($A29=BN$4,1,-1),BN28-1,BM29-1)</f>
        <v>-56</v>
      </c>
      <c r="BO29" s="2" t="n">
        <f aca="false">MAX(BN28+IF($A29=BO$4,1,-1),BO28-1,BN29-1)</f>
        <v>-56</v>
      </c>
      <c r="BP29" s="2" t="n">
        <f aca="false">MAX(BO28+IF($A29=BP$4,1,-1),BP28-1,BO29-1)</f>
        <v>-56</v>
      </c>
      <c r="BQ29" s="2" t="n">
        <f aca="false">MAX(BP28+IF($A29=BQ$4,1,-1),BQ28-1,BP29-1)</f>
        <v>-57</v>
      </c>
      <c r="BR29" s="2" t="n">
        <f aca="false">MAX(BQ28+IF($A29=BR$4,1,-1),BR28-1,BQ29-1)</f>
        <v>-58</v>
      </c>
      <c r="BS29" s="2" t="n">
        <f aca="false">MAX(BR28+IF($A29=BS$4,1,-1),BS28-1,BR29-1)</f>
        <v>-59</v>
      </c>
      <c r="BT29" s="2" t="n">
        <f aca="false">MAX(BS28+IF($A29=BT$4,1,-1),BT28-1,BS29-1)</f>
        <v>-60</v>
      </c>
      <c r="BU29" s="2" t="n">
        <f aca="false">MAX(BT28+IF($A29=BU$4,1,-1),BU28-1,BT29-1)</f>
        <v>-61</v>
      </c>
      <c r="BV29" s="2" t="n">
        <f aca="false">MAX(BU28+IF($A29=BV$4,1,-1),BV28-1,BU29-1)</f>
        <v>-62</v>
      </c>
      <c r="BW29" s="2" t="n">
        <f aca="false">MAX(BV28+IF($A29=BW$4,1,-1),BW28-1,BV29-1)</f>
        <v>-63</v>
      </c>
      <c r="BX29" s="2" t="n">
        <f aca="false">MAX(BW28+IF($A29=BX$4,1,-1),BX28-1,BW29-1)</f>
        <v>-64</v>
      </c>
      <c r="BY29" s="2" t="n">
        <f aca="false">MAX(BX28+IF($A29=BY$4,1,-1),BY28-1,BX29-1)</f>
        <v>-65</v>
      </c>
      <c r="BZ29" s="2" t="n">
        <f aca="false">MAX(BY28+IF($A29=BZ$4,1,-1),BZ28-1,BY29-1)</f>
        <v>-66</v>
      </c>
      <c r="CA29" s="2" t="n">
        <f aca="false">MAX(BZ28+IF($A29=CA$4,1,-1),CA28-1,BZ29-1)</f>
        <v>-67</v>
      </c>
      <c r="CB29" s="2" t="n">
        <f aca="false">MAX(CA28+IF($A29=CB$4,1,-1),CB28-1,CA29-1)</f>
        <v>-68</v>
      </c>
      <c r="CC29" s="2" t="n">
        <f aca="false">MAX(CB28+IF($A29=CC$4,1,-1),CC28-1,CB29-1)</f>
        <v>-69</v>
      </c>
      <c r="CD29" s="2" t="n">
        <f aca="false">MAX(CC28+IF($A29=CD$4,1,-1),CD28-1,CC29-1)</f>
        <v>-70</v>
      </c>
      <c r="CE29" s="2" t="n">
        <f aca="false">MAX(CD28+IF($A29=CE$4,1,-1),CE28-1,CD29-1)</f>
        <v>-71</v>
      </c>
      <c r="CF29" s="2" t="n">
        <f aca="false">MAX(CE28+IF($A29=CF$4,1,-1),CF28-1,CE29-1)</f>
        <v>-72</v>
      </c>
      <c r="CG29" s="2" t="n">
        <f aca="false">MAX(CF28+IF($A29=CG$4,1,-1),CG28-1,CF29-1)</f>
        <v>-73</v>
      </c>
      <c r="CH29" s="2" t="n">
        <f aca="false">MAX(CG28+IF($A29=CH$4,1,-1),CH28-1,CG29-1)</f>
        <v>-74</v>
      </c>
      <c r="CI29" s="2" t="n">
        <f aca="false">MAX(CH28+IF($A29=CI$4,1,-1),CI28-1,CH29-1)</f>
        <v>-75</v>
      </c>
      <c r="CJ29" s="2" t="n">
        <f aca="false">MAX(CI28+IF($A29=CJ$4,1,-1),CJ28-1,CI29-1)</f>
        <v>-76</v>
      </c>
      <c r="CK29" s="2" t="n">
        <f aca="false">MAX(CJ28+IF($A29=CK$4,1,-1),CK28-1,CJ29-1)</f>
        <v>-77</v>
      </c>
      <c r="CL29" s="2" t="n">
        <f aca="false">MAX(CK28+IF($A29=CL$4,1,-1),CL28-1,CK29-1)</f>
        <v>-78</v>
      </c>
      <c r="CM29" s="2" t="n">
        <f aca="false">MAX(CL28+IF($A29=CM$4,1,-1),CM28-1,CL29-1)</f>
        <v>-79</v>
      </c>
      <c r="CN29" s="2" t="n">
        <f aca="false">MAX(CM28+IF($A29=CN$4,1,-1),CN28-1,CM29-1)</f>
        <v>-80</v>
      </c>
      <c r="CO29" s="2" t="n">
        <f aca="false">MAX(CN28+IF($A29=CO$4,1,-1),CO28-1,CN29-1)</f>
        <v>-81</v>
      </c>
      <c r="CP29" s="2" t="n">
        <f aca="false">MAX(CO28+IF($A29=CP$4,1,-1),CP28-1,CO29-1)</f>
        <v>-82</v>
      </c>
      <c r="CQ29" s="2" t="n">
        <f aca="false">MAX(CP28+IF($A29=CQ$4,1,-1),CQ28-1,CP29-1)</f>
        <v>-83</v>
      </c>
    </row>
    <row r="30" customFormat="false" ht="15" hidden="false" customHeight="false" outlineLevel="0" collapsed="false">
      <c r="A30" s="4" t="s">
        <v>58</v>
      </c>
      <c r="B30" s="12" t="n">
        <v>-25</v>
      </c>
      <c r="C30" s="2" t="n">
        <f aca="false">MAX(B29+IF($A30=C$4,1,-1),C29-1,B30-1)</f>
        <v>-25</v>
      </c>
      <c r="D30" s="2" t="n">
        <f aca="false">MAX(C29+IF($A30=D$4,1,-1),D29-1,C30-1)</f>
        <v>-23</v>
      </c>
      <c r="E30" s="2" t="n">
        <f aca="false">MAX(D29+IF($A30=E$4,1,-1),E29-1,D30-1)</f>
        <v>-22</v>
      </c>
      <c r="F30" s="2" t="n">
        <f aca="false">MAX(E29+IF($A30=F$4,1,-1),F29-1,E30-1)</f>
        <v>-20</v>
      </c>
      <c r="G30" s="2" t="n">
        <f aca="false">MAX(F29+IF($A30=G$4,1,-1),G29-1,F30-1)</f>
        <v>-20</v>
      </c>
      <c r="H30" s="2" t="n">
        <f aca="false">MAX(G29+IF($A30=H$4,1,-1),H29-1,G30-1)</f>
        <v>-20</v>
      </c>
      <c r="I30" s="2" t="n">
        <f aca="false">MAX(H29+IF($A30=I$4,1,-1),I29-1,H30-1)</f>
        <v>-20</v>
      </c>
      <c r="J30" s="2" t="n">
        <f aca="false">MAX(I29+IF($A30=J$4,1,-1),J29-1,I30-1)</f>
        <v>-20</v>
      </c>
      <c r="K30" s="2" t="n">
        <f aca="false">MAX(J29+IF($A30=K$4,1,-1),K29-1,J30-1)</f>
        <v>-18</v>
      </c>
      <c r="L30" s="2" t="n">
        <f aca="false">MAX(K29+IF($A30=L$4,1,-1),L29-1,K30-1)</f>
        <v>-18</v>
      </c>
      <c r="M30" s="2" t="n">
        <f aca="false">MAX(L29+IF($A30=M$4,1,-1),M29-1,L30-1)</f>
        <v>-18</v>
      </c>
      <c r="N30" s="2" t="n">
        <f aca="false">MAX(M29+IF($A30=N$4,1,-1),N29-1,M30-1)</f>
        <v>-17</v>
      </c>
      <c r="O30" s="2" t="n">
        <f aca="false">MAX(N29+IF($A30=O$4,1,-1),O29-1,N30-1)</f>
        <v>-17</v>
      </c>
      <c r="P30" s="2" t="n">
        <f aca="false">MAX(O29+IF($A30=P$4,1,-1),P29-1,O30-1)</f>
        <v>-17</v>
      </c>
      <c r="Q30" s="2" t="n">
        <f aca="false">MAX(P29+IF($A30=Q$4,1,-1),Q29-1,P30-1)</f>
        <v>-17</v>
      </c>
      <c r="R30" s="2" t="n">
        <f aca="false">MAX(Q29+IF($A30=R$4,1,-1),R29-1,Q30-1)</f>
        <v>-17</v>
      </c>
      <c r="S30" s="2" t="n">
        <f aca="false">MAX(R29+IF($A30=S$4,1,-1),S29-1,R30-1)</f>
        <v>-17</v>
      </c>
      <c r="T30" s="2" t="n">
        <f aca="false">MAX(S29+IF($A30=T$4,1,-1),T29-1,S30-1)</f>
        <v>-17</v>
      </c>
      <c r="U30" s="2" t="n">
        <f aca="false">MAX(T29+IF($A30=U$4,1,-1),U29-1,T30-1)</f>
        <v>-17</v>
      </c>
      <c r="V30" s="2" t="n">
        <f aca="false">MAX(U29+IF($A30=V$4,1,-1),V29-1,U30-1)</f>
        <v>-17</v>
      </c>
      <c r="W30" s="2" t="n">
        <f aca="false">MAX(V29+IF($A30=W$4,1,-1),W29-1,V30-1)</f>
        <v>-18</v>
      </c>
      <c r="X30" s="2" t="n">
        <f aca="false">MAX(W29+IF($A30=X$4,1,-1),X29-1,W30-1)</f>
        <v>-18</v>
      </c>
      <c r="Y30" s="2" t="n">
        <f aca="false">MAX(X29+IF($A30=Y$4,1,-1),Y29-1,X30-1)</f>
        <v>-18</v>
      </c>
      <c r="Z30" s="2" t="n">
        <f aca="false">MAX(Y29+IF($A30=Z$4,1,-1),Z29-1,Y30-1)</f>
        <v>-19</v>
      </c>
      <c r="AA30" s="2" t="n">
        <f aca="false">MAX(Z29+IF($A30=AA$4,1,-1),AA29-1,Z30-1)</f>
        <v>-20</v>
      </c>
      <c r="AB30" s="2" t="n">
        <f aca="false">MAX(AA29+IF($A30=AB$4,1,-1),AB29-1,AA30-1)</f>
        <v>-20</v>
      </c>
      <c r="AC30" s="2" t="n">
        <f aca="false">MAX(AB29+IF($A30=AC$4,1,-1),AC29-1,AB30-1)</f>
        <v>-19</v>
      </c>
      <c r="AD30" s="2" t="n">
        <f aca="false">MAX(AC29+IF($A30=AD$4,1,-1),AD29-1,AC30-1)</f>
        <v>-20</v>
      </c>
      <c r="AE30" s="2" t="n">
        <f aca="false">MAX(AD29+IF($A30=AE$4,1,-1),AE29-1,AD30-1)</f>
        <v>-21</v>
      </c>
      <c r="AF30" s="2" t="n">
        <f aca="false">MAX(AE29+IF($A30=AF$4,1,-1),AF29-1,AE30-1)</f>
        <v>-22</v>
      </c>
      <c r="AG30" s="2" t="n">
        <f aca="false">MAX(AF29+IF($A30=AG$4,1,-1),AG29-1,AF30-1)</f>
        <v>-23</v>
      </c>
      <c r="AH30" s="2" t="n">
        <f aca="false">MAX(AG29+IF($A30=AH$4,1,-1),AH29-1,AG30-1)</f>
        <v>-24</v>
      </c>
      <c r="AI30" s="2" t="n">
        <f aca="false">MAX(AH29+IF($A30=AI$4,1,-1),AI29-1,AH30-1)</f>
        <v>-25</v>
      </c>
      <c r="AJ30" s="2" t="n">
        <f aca="false">MAX(AI29+IF($A30=AJ$4,1,-1),AJ29-1,AI30-1)</f>
        <v>-26</v>
      </c>
      <c r="AK30" s="2" t="n">
        <f aca="false">MAX(AJ29+IF($A30=AK$4,1,-1),AK29-1,AJ30-1)</f>
        <v>-27</v>
      </c>
      <c r="AL30" s="2" t="n">
        <f aca="false">MAX(AK29+IF($A30=AL$4,1,-1),AL29-1,AK30-1)</f>
        <v>-28</v>
      </c>
      <c r="AM30" s="2" t="n">
        <f aca="false">MAX(AL29+IF($A30=AM$4,1,-1),AM29-1,AL30-1)</f>
        <v>-29</v>
      </c>
      <c r="AN30" s="2" t="n">
        <f aca="false">MAX(AM29+IF($A30=AN$4,1,-1),AN29-1,AM30-1)</f>
        <v>-30</v>
      </c>
      <c r="AO30" s="2" t="n">
        <f aca="false">MAX(AN29+IF($A30=AO$4,1,-1),AO29-1,AN30-1)</f>
        <v>-31</v>
      </c>
      <c r="AP30" s="2" t="n">
        <f aca="false">MAX(AO29+IF($A30=AP$4,1,-1),AP29-1,AO30-1)</f>
        <v>-32</v>
      </c>
      <c r="AQ30" s="2" t="n">
        <f aca="false">MAX(AP29+IF($A30=AQ$4,1,-1),AQ29-1,AP30-1)</f>
        <v>-33</v>
      </c>
      <c r="AR30" s="2" t="n">
        <f aca="false">MAX(AQ29+IF($A30=AR$4,1,-1),AR29-1,AQ30-1)</f>
        <v>-34</v>
      </c>
      <c r="AS30" s="2" t="n">
        <f aca="false">MAX(AR29+IF($A30=AS$4,1,-1),AS29-1,AR30-1)</f>
        <v>-33</v>
      </c>
      <c r="AT30" s="2" t="n">
        <f aca="false">MAX(AS29+IF($A30=AT$4,1,-1),AT29-1,AS30-1)</f>
        <v>-34</v>
      </c>
      <c r="AU30" s="2" t="n">
        <f aca="false">MAX(AT29+IF($A30=AU$4,1,-1),AU29-1,AT30-1)</f>
        <v>-35</v>
      </c>
      <c r="AV30" s="2" t="n">
        <f aca="false">MAX(AU29+IF($A30=AV$4,1,-1),AV29-1,AU30-1)</f>
        <v>-36</v>
      </c>
      <c r="AW30" s="2" t="n">
        <f aca="false">MAX(AV29+IF($A30=AW$4,1,-1),AW29-1,AV30-1)</f>
        <v>-37</v>
      </c>
      <c r="AX30" s="2" t="n">
        <f aca="false">MAX(AW29+IF($A30=AX$4,1,-1),AX29-1,AW30-1)</f>
        <v>-38</v>
      </c>
      <c r="AY30" s="2" t="n">
        <f aca="false">MAX(AX29+IF($A30=AY$4,1,-1),AY29-1,AX30-1)</f>
        <v>-39</v>
      </c>
      <c r="AZ30" s="2" t="n">
        <f aca="false">MAX(AY29+IF($A30=AZ$4,1,-1),AZ29-1,AY30-1)</f>
        <v>-40</v>
      </c>
      <c r="BA30" s="2" t="n">
        <f aca="false">MAX(AZ29+IF($A30=BA$4,1,-1),BA29-1,AZ30-1)</f>
        <v>-41</v>
      </c>
      <c r="BB30" s="2" t="n">
        <f aca="false">MAX(BA29+IF($A30=BB$4,1,-1),BB29-1,BA30-1)</f>
        <v>-42</v>
      </c>
      <c r="BC30" s="2" t="n">
        <f aca="false">MAX(BB29+IF($A30=BC$4,1,-1),BC29-1,BB30-1)</f>
        <v>-43</v>
      </c>
      <c r="BD30" s="2" t="n">
        <f aca="false">MAX(BC29+IF($A30=BD$4,1,-1),BD29-1,BC30-1)</f>
        <v>-44</v>
      </c>
      <c r="BE30" s="2" t="n">
        <f aca="false">MAX(BD29+IF($A30=BE$4,1,-1),BE29-1,BD30-1)</f>
        <v>-45</v>
      </c>
      <c r="BF30" s="2" t="n">
        <f aca="false">MAX(BE29+IF($A30=BF$4,1,-1),BF29-1,BE30-1)</f>
        <v>-46</v>
      </c>
      <c r="BG30" s="2" t="n">
        <f aca="false">MAX(BF29+IF($A30=BG$4,1,-1),BG29-1,BF30-1)</f>
        <v>-47</v>
      </c>
      <c r="BH30" s="2" t="n">
        <f aca="false">MAX(BG29+IF($A30=BH$4,1,-1),BH29-1,BG30-1)</f>
        <v>-48</v>
      </c>
      <c r="BI30" s="2" t="n">
        <f aca="false">MAX(BH29+IF($A30=BI$4,1,-1),BI29-1,BH30-1)</f>
        <v>-49</v>
      </c>
      <c r="BJ30" s="2" t="n">
        <f aca="false">MAX(BI29+IF($A30=BJ$4,1,-1),BJ29-1,BI30-1)</f>
        <v>-50</v>
      </c>
      <c r="BK30" s="2" t="n">
        <f aca="false">MAX(BJ29+IF($A30=BK$4,1,-1),BK29-1,BJ30-1)</f>
        <v>-51</v>
      </c>
      <c r="BL30" s="2" t="n">
        <f aca="false">MAX(BK29+IF($A30=BL$4,1,-1),BL29-1,BK30-1)</f>
        <v>-52</v>
      </c>
      <c r="BM30" s="2" t="n">
        <f aca="false">MAX(BL29+IF($A30=BM$4,1,-1),BM29-1,BL30-1)</f>
        <v>-53</v>
      </c>
      <c r="BN30" s="2" t="n">
        <f aca="false">MAX(BM29+IF($A30=BN$4,1,-1),BN29-1,BM30-1)</f>
        <v>-54</v>
      </c>
      <c r="BO30" s="2" t="n">
        <f aca="false">MAX(BN29+IF($A30=BO$4,1,-1),BO29-1,BN30-1)</f>
        <v>-55</v>
      </c>
      <c r="BP30" s="2" t="n">
        <f aca="false">MAX(BO29+IF($A30=BP$4,1,-1),BP29-1,BO30-1)</f>
        <v>-56</v>
      </c>
      <c r="BQ30" s="2" t="n">
        <f aca="false">MAX(BP29+IF($A30=BQ$4,1,-1),BQ29-1,BP30-1)</f>
        <v>-57</v>
      </c>
      <c r="BR30" s="2" t="n">
        <f aca="false">MAX(BQ29+IF($A30=BR$4,1,-1),BR29-1,BQ30-1)</f>
        <v>-58</v>
      </c>
      <c r="BS30" s="2" t="n">
        <f aca="false">MAX(BR29+IF($A30=BS$4,1,-1),BS29-1,BR30-1)</f>
        <v>-59</v>
      </c>
      <c r="BT30" s="2" t="n">
        <f aca="false">MAX(BS29+IF($A30=BT$4,1,-1),BT29-1,BS30-1)</f>
        <v>-60</v>
      </c>
      <c r="BU30" s="2" t="n">
        <f aca="false">MAX(BT29+IF($A30=BU$4,1,-1),BU29-1,BT30-1)</f>
        <v>-61</v>
      </c>
      <c r="BV30" s="2" t="n">
        <f aca="false">MAX(BU29+IF($A30=BV$4,1,-1),BV29-1,BU30-1)</f>
        <v>-62</v>
      </c>
      <c r="BW30" s="2" t="n">
        <f aca="false">MAX(BV29+IF($A30=BW$4,1,-1),BW29-1,BV30-1)</f>
        <v>-63</v>
      </c>
      <c r="BX30" s="2" t="n">
        <f aca="false">MAX(BW29+IF($A30=BX$4,1,-1),BX29-1,BW30-1)</f>
        <v>-64</v>
      </c>
      <c r="BY30" s="2" t="n">
        <f aca="false">MAX(BX29+IF($A30=BY$4,1,-1),BY29-1,BX30-1)</f>
        <v>-65</v>
      </c>
      <c r="BZ30" s="2" t="n">
        <f aca="false">MAX(BY29+IF($A30=BZ$4,1,-1),BZ29-1,BY30-1)</f>
        <v>-64</v>
      </c>
      <c r="CA30" s="2" t="n">
        <f aca="false">MAX(BZ29+IF($A30=CA$4,1,-1),CA29-1,BZ30-1)</f>
        <v>-65</v>
      </c>
      <c r="CB30" s="2" t="n">
        <f aca="false">MAX(CA29+IF($A30=CB$4,1,-1),CB29-1,CA30-1)</f>
        <v>-66</v>
      </c>
      <c r="CC30" s="2" t="n">
        <f aca="false">MAX(CB29+IF($A30=CC$4,1,-1),CC29-1,CB30-1)</f>
        <v>-67</v>
      </c>
      <c r="CD30" s="2" t="n">
        <f aca="false">MAX(CC29+IF($A30=CD$4,1,-1),CD29-1,CC30-1)</f>
        <v>-68</v>
      </c>
      <c r="CE30" s="2" t="n">
        <f aca="false">MAX(CD29+IF($A30=CE$4,1,-1),CE29-1,CD30-1)</f>
        <v>-69</v>
      </c>
      <c r="CF30" s="2" t="n">
        <f aca="false">MAX(CE29+IF($A30=CF$4,1,-1),CF29-1,CE30-1)</f>
        <v>-70</v>
      </c>
      <c r="CG30" s="2" t="n">
        <f aca="false">MAX(CF29+IF($A30=CG$4,1,-1),CG29-1,CF30-1)</f>
        <v>-71</v>
      </c>
      <c r="CH30" s="2" t="n">
        <f aca="false">MAX(CG29+IF($A30=CH$4,1,-1),CH29-1,CG30-1)</f>
        <v>-72</v>
      </c>
      <c r="CI30" s="2" t="n">
        <f aca="false">MAX(CH29+IF($A30=CI$4,1,-1),CI29-1,CH30-1)</f>
        <v>-73</v>
      </c>
      <c r="CJ30" s="2" t="n">
        <f aca="false">MAX(CI29+IF($A30=CJ$4,1,-1),CJ29-1,CI30-1)</f>
        <v>-74</v>
      </c>
      <c r="CK30" s="2" t="n">
        <f aca="false">MAX(CJ29+IF($A30=CK$4,1,-1),CK29-1,CJ30-1)</f>
        <v>-75</v>
      </c>
      <c r="CL30" s="2" t="n">
        <f aca="false">MAX(CK29+IF($A30=CL$4,1,-1),CL29-1,CK30-1)</f>
        <v>-76</v>
      </c>
      <c r="CM30" s="2" t="n">
        <f aca="false">MAX(CL29+IF($A30=CM$4,1,-1),CM29-1,CL30-1)</f>
        <v>-77</v>
      </c>
      <c r="CN30" s="2" t="n">
        <f aca="false">MAX(CM29+IF($A30=CN$4,1,-1),CN29-1,CM30-1)</f>
        <v>-78</v>
      </c>
      <c r="CO30" s="2" t="n">
        <f aca="false">MAX(CN29+IF($A30=CO$4,1,-1),CO29-1,CN30-1)</f>
        <v>-79</v>
      </c>
      <c r="CP30" s="2" t="n">
        <f aca="false">MAX(CO29+IF($A30=CP$4,1,-1),CP29-1,CO30-1)</f>
        <v>-80</v>
      </c>
      <c r="CQ30" s="2" t="n">
        <f aca="false">MAX(CP29+IF($A30=CQ$4,1,-1),CQ29-1,CP30-1)</f>
        <v>-81</v>
      </c>
    </row>
    <row r="31" customFormat="false" ht="15" hidden="false" customHeight="false" outlineLevel="0" collapsed="false">
      <c r="A31" s="4" t="s">
        <v>59</v>
      </c>
      <c r="B31" s="12" t="n">
        <v>-26</v>
      </c>
      <c r="C31" s="2" t="n">
        <f aca="false">MAX(B30+IF($A31=C$4,1,-1),C30-1,B31-1)</f>
        <v>-26</v>
      </c>
      <c r="D31" s="2" t="n">
        <f aca="false">MAX(C30+IF($A31=D$4,1,-1),D30-1,C31-1)</f>
        <v>-24</v>
      </c>
      <c r="E31" s="2" t="n">
        <f aca="false">MAX(D30+IF($A31=E$4,1,-1),E30-1,D31-1)</f>
        <v>-22</v>
      </c>
      <c r="F31" s="2" t="n">
        <f aca="false">MAX(E30+IF($A31=F$4,1,-1),F30-1,E31-1)</f>
        <v>-21</v>
      </c>
      <c r="G31" s="2" t="n">
        <f aca="false">MAX(F30+IF($A31=G$4,1,-1),G30-1,F31-1)</f>
        <v>-21</v>
      </c>
      <c r="H31" s="2" t="n">
        <f aca="false">MAX(G30+IF($A31=H$4,1,-1),H30-1,G31-1)</f>
        <v>-21</v>
      </c>
      <c r="I31" s="2" t="n">
        <f aca="false">MAX(H30+IF($A31=I$4,1,-1),I30-1,H31-1)</f>
        <v>-21</v>
      </c>
      <c r="J31" s="2" t="n">
        <f aca="false">MAX(I30+IF($A31=J$4,1,-1),J30-1,I31-1)</f>
        <v>-21</v>
      </c>
      <c r="K31" s="2" t="n">
        <f aca="false">MAX(J30+IF($A31=K$4,1,-1),K30-1,J31-1)</f>
        <v>-19</v>
      </c>
      <c r="L31" s="2" t="n">
        <f aca="false">MAX(K30+IF($A31=L$4,1,-1),L30-1,K31-1)</f>
        <v>-19</v>
      </c>
      <c r="M31" s="2" t="n">
        <f aca="false">MAX(L30+IF($A31=M$4,1,-1),M30-1,L31-1)</f>
        <v>-19</v>
      </c>
      <c r="N31" s="2" t="n">
        <f aca="false">MAX(M30+IF($A31=N$4,1,-1),N30-1,M31-1)</f>
        <v>-18</v>
      </c>
      <c r="O31" s="2" t="n">
        <f aca="false">MAX(N30+IF($A31=O$4,1,-1),O30-1,N31-1)</f>
        <v>-18</v>
      </c>
      <c r="P31" s="2" t="n">
        <f aca="false">MAX(O30+IF($A31=P$4,1,-1),P30-1,O31-1)</f>
        <v>-18</v>
      </c>
      <c r="Q31" s="2" t="n">
        <f aca="false">MAX(P30+IF($A31=Q$4,1,-1),Q30-1,P31-1)</f>
        <v>-18</v>
      </c>
      <c r="R31" s="2" t="n">
        <f aca="false">MAX(Q30+IF($A31=R$4,1,-1),R30-1,Q31-1)</f>
        <v>-18</v>
      </c>
      <c r="S31" s="2" t="n">
        <f aca="false">MAX(R30+IF($A31=S$4,1,-1),S30-1,R31-1)</f>
        <v>-18</v>
      </c>
      <c r="T31" s="2" t="n">
        <f aca="false">MAX(S30+IF($A31=T$4,1,-1),T30-1,S31-1)</f>
        <v>-18</v>
      </c>
      <c r="U31" s="2" t="n">
        <f aca="false">MAX(T30+IF($A31=U$4,1,-1),U30-1,T31-1)</f>
        <v>-18</v>
      </c>
      <c r="V31" s="2" t="n">
        <f aca="false">MAX(U30+IF($A31=V$4,1,-1),V30-1,U31-1)</f>
        <v>-18</v>
      </c>
      <c r="W31" s="2" t="n">
        <f aca="false">MAX(V30+IF($A31=W$4,1,-1),W30-1,V31-1)</f>
        <v>-18</v>
      </c>
      <c r="X31" s="2" t="n">
        <f aca="false">MAX(W30+IF($A31=X$4,1,-1),X30-1,W31-1)</f>
        <v>-19</v>
      </c>
      <c r="Y31" s="2" t="n">
        <f aca="false">MAX(X30+IF($A31=Y$4,1,-1),Y30-1,X31-1)</f>
        <v>-19</v>
      </c>
      <c r="Z31" s="2" t="n">
        <f aca="false">MAX(Y30+IF($A31=Z$4,1,-1),Z30-1,Y31-1)</f>
        <v>-19</v>
      </c>
      <c r="AA31" s="2" t="n">
        <f aca="false">MAX(Z30+IF($A31=AA$4,1,-1),AA30-1,Z31-1)</f>
        <v>-20</v>
      </c>
      <c r="AB31" s="2" t="n">
        <f aca="false">MAX(AA30+IF($A31=AB$4,1,-1),AB30-1,AA31-1)</f>
        <v>-21</v>
      </c>
      <c r="AC31" s="2" t="n">
        <f aca="false">MAX(AB30+IF($A31=AC$4,1,-1),AC30-1,AB31-1)</f>
        <v>-20</v>
      </c>
      <c r="AD31" s="2" t="n">
        <f aca="false">MAX(AC30+IF($A31=AD$4,1,-1),AD30-1,AC31-1)</f>
        <v>-20</v>
      </c>
      <c r="AE31" s="2" t="n">
        <f aca="false">MAX(AD30+IF($A31=AE$4,1,-1),AE30-1,AD31-1)</f>
        <v>-21</v>
      </c>
      <c r="AF31" s="2" t="n">
        <f aca="false">MAX(AE30+IF($A31=AF$4,1,-1),AF30-1,AE31-1)</f>
        <v>-22</v>
      </c>
      <c r="AG31" s="2" t="n">
        <f aca="false">MAX(AF30+IF($A31=AG$4,1,-1),AG30-1,AF31-1)</f>
        <v>-23</v>
      </c>
      <c r="AH31" s="2" t="n">
        <f aca="false">MAX(AG30+IF($A31=AH$4,1,-1),AH30-1,AG31-1)</f>
        <v>-24</v>
      </c>
      <c r="AI31" s="2" t="n">
        <f aca="false">MAX(AH30+IF($A31=AI$4,1,-1),AI30-1,AH31-1)</f>
        <v>-25</v>
      </c>
      <c r="AJ31" s="2" t="n">
        <f aca="false">MAX(AI30+IF($A31=AJ$4,1,-1),AJ30-1,AI31-1)</f>
        <v>-26</v>
      </c>
      <c r="AK31" s="2" t="n">
        <f aca="false">MAX(AJ30+IF($A31=AK$4,1,-1),AK30-1,AJ31-1)</f>
        <v>-27</v>
      </c>
      <c r="AL31" s="2" t="n">
        <f aca="false">MAX(AK30+IF($A31=AL$4,1,-1),AL30-1,AK31-1)</f>
        <v>-28</v>
      </c>
      <c r="AM31" s="2" t="n">
        <f aca="false">MAX(AL30+IF($A31=AM$4,1,-1),AM30-1,AL31-1)</f>
        <v>-29</v>
      </c>
      <c r="AN31" s="2" t="n">
        <f aca="false">MAX(AM30+IF($A31=AN$4,1,-1),AN30-1,AM31-1)</f>
        <v>-30</v>
      </c>
      <c r="AO31" s="2" t="n">
        <f aca="false">MAX(AN30+IF($A31=AO$4,1,-1),AO30-1,AN31-1)</f>
        <v>-31</v>
      </c>
      <c r="AP31" s="2" t="n">
        <f aca="false">MAX(AO30+IF($A31=AP$4,1,-1),AP30-1,AO31-1)</f>
        <v>-32</v>
      </c>
      <c r="AQ31" s="2" t="n">
        <f aca="false">MAX(AP30+IF($A31=AQ$4,1,-1),AQ30-1,AP31-1)</f>
        <v>-33</v>
      </c>
      <c r="AR31" s="2" t="n">
        <f aca="false">MAX(AQ30+IF($A31=AR$4,1,-1),AR30-1,AQ31-1)</f>
        <v>-34</v>
      </c>
      <c r="AS31" s="2" t="n">
        <f aca="false">MAX(AR30+IF($A31=AS$4,1,-1),AS30-1,AR31-1)</f>
        <v>-34</v>
      </c>
      <c r="AT31" s="2" t="n">
        <f aca="false">MAX(AS30+IF($A31=AT$4,1,-1),AT30-1,AS31-1)</f>
        <v>-34</v>
      </c>
      <c r="AU31" s="2" t="n">
        <f aca="false">MAX(AT30+IF($A31=AU$4,1,-1),AU30-1,AT31-1)</f>
        <v>-35</v>
      </c>
      <c r="AV31" s="2" t="n">
        <f aca="false">MAX(AU30+IF($A31=AV$4,1,-1),AV30-1,AU31-1)</f>
        <v>-36</v>
      </c>
      <c r="AW31" s="2" t="n">
        <f aca="false">MAX(AV30+IF($A31=AW$4,1,-1),AW30-1,AV31-1)</f>
        <v>-37</v>
      </c>
      <c r="AX31" s="2" t="n">
        <f aca="false">MAX(AW30+IF($A31=AX$4,1,-1),AX30-1,AW31-1)</f>
        <v>-38</v>
      </c>
      <c r="AY31" s="2" t="n">
        <f aca="false">MAX(AX30+IF($A31=AY$4,1,-1),AY30-1,AX31-1)</f>
        <v>-39</v>
      </c>
      <c r="AZ31" s="2" t="n">
        <f aca="false">MAX(AY30+IF($A31=AZ$4,1,-1),AZ30-1,AY31-1)</f>
        <v>-40</v>
      </c>
      <c r="BA31" s="2" t="n">
        <f aca="false">MAX(AZ30+IF($A31=BA$4,1,-1),BA30-1,AZ31-1)</f>
        <v>-41</v>
      </c>
      <c r="BB31" s="2" t="n">
        <f aca="false">MAX(BA30+IF($A31=BB$4,1,-1),BB30-1,BA31-1)</f>
        <v>-42</v>
      </c>
      <c r="BC31" s="2" t="n">
        <f aca="false">MAX(BB30+IF($A31=BC$4,1,-1),BC30-1,BB31-1)</f>
        <v>-43</v>
      </c>
      <c r="BD31" s="2" t="n">
        <f aca="false">MAX(BC30+IF($A31=BD$4,1,-1),BD30-1,BC31-1)</f>
        <v>-44</v>
      </c>
      <c r="BE31" s="2" t="n">
        <f aca="false">MAX(BD30+IF($A31=BE$4,1,-1),BE30-1,BD31-1)</f>
        <v>-45</v>
      </c>
      <c r="BF31" s="2" t="n">
        <f aca="false">MAX(BE30+IF($A31=BF$4,1,-1),BF30-1,BE31-1)</f>
        <v>-46</v>
      </c>
      <c r="BG31" s="2" t="n">
        <f aca="false">MAX(BF30+IF($A31=BG$4,1,-1),BG30-1,BF31-1)</f>
        <v>-47</v>
      </c>
      <c r="BH31" s="2" t="n">
        <f aca="false">MAX(BG30+IF($A31=BH$4,1,-1),BH30-1,BG31-1)</f>
        <v>-48</v>
      </c>
      <c r="BI31" s="2" t="n">
        <f aca="false">MAX(BH30+IF($A31=BI$4,1,-1),BI30-1,BH31-1)</f>
        <v>-49</v>
      </c>
      <c r="BJ31" s="2" t="n">
        <f aca="false">MAX(BI30+IF($A31=BJ$4,1,-1),BJ30-1,BI31-1)</f>
        <v>-50</v>
      </c>
      <c r="BK31" s="2" t="n">
        <f aca="false">MAX(BJ30+IF($A31=BK$4,1,-1),BK30-1,BJ31-1)</f>
        <v>-51</v>
      </c>
      <c r="BL31" s="2" t="n">
        <f aca="false">MAX(BK30+IF($A31=BL$4,1,-1),BL30-1,BK31-1)</f>
        <v>-52</v>
      </c>
      <c r="BM31" s="2" t="n">
        <f aca="false">MAX(BL30+IF($A31=BM$4,1,-1),BM30-1,BL31-1)</f>
        <v>-53</v>
      </c>
      <c r="BN31" s="2" t="n">
        <f aca="false">MAX(BM30+IF($A31=BN$4,1,-1),BN30-1,BM31-1)</f>
        <v>-54</v>
      </c>
      <c r="BO31" s="2" t="n">
        <f aca="false">MAX(BN30+IF($A31=BO$4,1,-1),BO30-1,BN31-1)</f>
        <v>-55</v>
      </c>
      <c r="BP31" s="2" t="n">
        <f aca="false">MAX(BO30+IF($A31=BP$4,1,-1),BP30-1,BO31-1)</f>
        <v>-56</v>
      </c>
      <c r="BQ31" s="2" t="n">
        <f aca="false">MAX(BP30+IF($A31=BQ$4,1,-1),BQ30-1,BP31-1)</f>
        <v>-57</v>
      </c>
      <c r="BR31" s="2" t="n">
        <f aca="false">MAX(BQ30+IF($A31=BR$4,1,-1),BR30-1,BQ31-1)</f>
        <v>-58</v>
      </c>
      <c r="BS31" s="2" t="n">
        <f aca="false">MAX(BR30+IF($A31=BS$4,1,-1),BS30-1,BR31-1)</f>
        <v>-59</v>
      </c>
      <c r="BT31" s="2" t="n">
        <f aca="false">MAX(BS30+IF($A31=BT$4,1,-1),BT30-1,BS31-1)</f>
        <v>-60</v>
      </c>
      <c r="BU31" s="2" t="n">
        <f aca="false">MAX(BT30+IF($A31=BU$4,1,-1),BU30-1,BT31-1)</f>
        <v>-61</v>
      </c>
      <c r="BV31" s="2" t="n">
        <f aca="false">MAX(BU30+IF($A31=BV$4,1,-1),BV30-1,BU31-1)</f>
        <v>-62</v>
      </c>
      <c r="BW31" s="2" t="n">
        <f aca="false">MAX(BV30+IF($A31=BW$4,1,-1),BW30-1,BV31-1)</f>
        <v>-63</v>
      </c>
      <c r="BX31" s="2" t="n">
        <f aca="false">MAX(BW30+IF($A31=BX$4,1,-1),BX30-1,BW31-1)</f>
        <v>-64</v>
      </c>
      <c r="BY31" s="2" t="n">
        <f aca="false">MAX(BX30+IF($A31=BY$4,1,-1),BY30-1,BX31-1)</f>
        <v>-65</v>
      </c>
      <c r="BZ31" s="2" t="n">
        <f aca="false">MAX(BY30+IF($A31=BZ$4,1,-1),BZ30-1,BY31-1)</f>
        <v>-65</v>
      </c>
      <c r="CA31" s="2" t="n">
        <f aca="false">MAX(BZ30+IF($A31=CA$4,1,-1),CA30-1,BZ31-1)</f>
        <v>-65</v>
      </c>
      <c r="CB31" s="2" t="n">
        <f aca="false">MAX(CA30+IF($A31=CB$4,1,-1),CB30-1,CA31-1)</f>
        <v>-66</v>
      </c>
      <c r="CC31" s="2" t="n">
        <f aca="false">MAX(CB30+IF($A31=CC$4,1,-1),CC30-1,CB31-1)</f>
        <v>-67</v>
      </c>
      <c r="CD31" s="2" t="n">
        <f aca="false">MAX(CC30+IF($A31=CD$4,1,-1),CD30-1,CC31-1)</f>
        <v>-68</v>
      </c>
      <c r="CE31" s="2" t="n">
        <f aca="false">MAX(CD30+IF($A31=CE$4,1,-1),CE30-1,CD31-1)</f>
        <v>-69</v>
      </c>
      <c r="CF31" s="2" t="n">
        <f aca="false">MAX(CE30+IF($A31=CF$4,1,-1),CF30-1,CE31-1)</f>
        <v>-70</v>
      </c>
      <c r="CG31" s="2" t="n">
        <f aca="false">MAX(CF30+IF($A31=CG$4,1,-1),CG30-1,CF31-1)</f>
        <v>-71</v>
      </c>
      <c r="CH31" s="2" t="n">
        <f aca="false">MAX(CG30+IF($A31=CH$4,1,-1),CH30-1,CG31-1)</f>
        <v>-72</v>
      </c>
      <c r="CI31" s="2" t="n">
        <f aca="false">MAX(CH30+IF($A31=CI$4,1,-1),CI30-1,CH31-1)</f>
        <v>-73</v>
      </c>
      <c r="CJ31" s="2" t="n">
        <f aca="false">MAX(CI30+IF($A31=CJ$4,1,-1),CJ30-1,CI31-1)</f>
        <v>-74</v>
      </c>
      <c r="CK31" s="2" t="n">
        <f aca="false">MAX(CJ30+IF($A31=CK$4,1,-1),CK30-1,CJ31-1)</f>
        <v>-75</v>
      </c>
      <c r="CL31" s="2" t="n">
        <f aca="false">MAX(CK30+IF($A31=CL$4,1,-1),CL30-1,CK31-1)</f>
        <v>-76</v>
      </c>
      <c r="CM31" s="2" t="n">
        <f aca="false">MAX(CL30+IF($A31=CM$4,1,-1),CM30-1,CL31-1)</f>
        <v>-77</v>
      </c>
      <c r="CN31" s="2" t="n">
        <f aca="false">MAX(CM30+IF($A31=CN$4,1,-1),CN30-1,CM31-1)</f>
        <v>-78</v>
      </c>
      <c r="CO31" s="2" t="n">
        <f aca="false">MAX(CN30+IF($A31=CO$4,1,-1),CO30-1,CN31-1)</f>
        <v>-79</v>
      </c>
      <c r="CP31" s="2" t="n">
        <f aca="false">MAX(CO30+IF($A31=CP$4,1,-1),CP30-1,CO31-1)</f>
        <v>-80</v>
      </c>
      <c r="CQ31" s="2" t="n">
        <f aca="false">MAX(CP30+IF($A31=CQ$4,1,-1),CQ30-1,CP31-1)</f>
        <v>-81</v>
      </c>
    </row>
    <row r="32" customFormat="false" ht="15" hidden="false" customHeight="false" outlineLevel="0" collapsed="false">
      <c r="A32" s="4" t="s">
        <v>60</v>
      </c>
      <c r="B32" s="12" t="n">
        <v>-27</v>
      </c>
      <c r="C32" s="2" t="n">
        <f aca="false">MAX(B31+IF($A32=C$4,1,-1),C31-1,B32-1)</f>
        <v>-27</v>
      </c>
      <c r="D32" s="2" t="n">
        <f aca="false">MAX(C31+IF($A32=D$4,1,-1),D31-1,C32-1)</f>
        <v>-25</v>
      </c>
      <c r="E32" s="2" t="n">
        <f aca="false">MAX(D31+IF($A32=E$4,1,-1),E31-1,D32-1)</f>
        <v>-23</v>
      </c>
      <c r="F32" s="2" t="n">
        <f aca="false">MAX(E31+IF($A32=F$4,1,-1),F31-1,E32-1)</f>
        <v>-21</v>
      </c>
      <c r="G32" s="2" t="n">
        <f aca="false">MAX(F31+IF($A32=G$4,1,-1),G31-1,F32-1)</f>
        <v>-22</v>
      </c>
      <c r="H32" s="2" t="n">
        <f aca="false">MAX(G31+IF($A32=H$4,1,-1),H31-1,G32-1)</f>
        <v>-22</v>
      </c>
      <c r="I32" s="2" t="n">
        <f aca="false">MAX(H31+IF($A32=I$4,1,-1),I31-1,H32-1)</f>
        <v>-22</v>
      </c>
      <c r="J32" s="2" t="n">
        <f aca="false">MAX(I31+IF($A32=J$4,1,-1),J31-1,I32-1)</f>
        <v>-22</v>
      </c>
      <c r="K32" s="2" t="n">
        <f aca="false">MAX(J31+IF($A32=K$4,1,-1),K31-1,J32-1)</f>
        <v>-20</v>
      </c>
      <c r="L32" s="2" t="n">
        <f aca="false">MAX(K31+IF($A32=L$4,1,-1),L31-1,K32-1)</f>
        <v>-20</v>
      </c>
      <c r="M32" s="2" t="n">
        <f aca="false">MAX(L31+IF($A32=M$4,1,-1),M31-1,L32-1)</f>
        <v>-20</v>
      </c>
      <c r="N32" s="2" t="n">
        <f aca="false">MAX(M31+IF($A32=N$4,1,-1),N31-1,M32-1)</f>
        <v>-19</v>
      </c>
      <c r="O32" s="2" t="n">
        <f aca="false">MAX(N31+IF($A32=O$4,1,-1),O31-1,N32-1)</f>
        <v>-19</v>
      </c>
      <c r="P32" s="2" t="n">
        <f aca="false">MAX(O31+IF($A32=P$4,1,-1),P31-1,O32-1)</f>
        <v>-19</v>
      </c>
      <c r="Q32" s="2" t="n">
        <f aca="false">MAX(P31+IF($A32=Q$4,1,-1),Q31-1,P32-1)</f>
        <v>-19</v>
      </c>
      <c r="R32" s="2" t="n">
        <f aca="false">MAX(Q31+IF($A32=R$4,1,-1),R31-1,Q32-1)</f>
        <v>-19</v>
      </c>
      <c r="S32" s="2" t="n">
        <f aca="false">MAX(R31+IF($A32=S$4,1,-1),S31-1,R32-1)</f>
        <v>-19</v>
      </c>
      <c r="T32" s="2" t="n">
        <f aca="false">MAX(S31+IF($A32=T$4,1,-1),T31-1,S32-1)</f>
        <v>-19</v>
      </c>
      <c r="U32" s="2" t="n">
        <f aca="false">MAX(T31+IF($A32=U$4,1,-1),U31-1,T32-1)</f>
        <v>-19</v>
      </c>
      <c r="V32" s="2" t="n">
        <f aca="false">MAX(U31+IF($A32=V$4,1,-1),V31-1,U32-1)</f>
        <v>-19</v>
      </c>
      <c r="W32" s="2" t="n">
        <f aca="false">MAX(V31+IF($A32=W$4,1,-1),W31-1,V32-1)</f>
        <v>-19</v>
      </c>
      <c r="X32" s="2" t="n">
        <f aca="false">MAX(W31+IF($A32=X$4,1,-1),X31-1,W32-1)</f>
        <v>-19</v>
      </c>
      <c r="Y32" s="2" t="n">
        <f aca="false">MAX(X31+IF($A32=Y$4,1,-1),Y31-1,X32-1)</f>
        <v>-20</v>
      </c>
      <c r="Z32" s="2" t="n">
        <f aca="false">MAX(Y31+IF($A32=Z$4,1,-1),Z31-1,Y32-1)</f>
        <v>-20</v>
      </c>
      <c r="AA32" s="2" t="n">
        <f aca="false">MAX(Z31+IF($A32=AA$4,1,-1),AA31-1,Z32-1)</f>
        <v>-20</v>
      </c>
      <c r="AB32" s="2" t="n">
        <f aca="false">MAX(AA31+IF($A32=AB$4,1,-1),AB31-1,AA32-1)</f>
        <v>-21</v>
      </c>
      <c r="AC32" s="2" t="n">
        <f aca="false">MAX(AB31+IF($A32=AC$4,1,-1),AC31-1,AB32-1)</f>
        <v>-21</v>
      </c>
      <c r="AD32" s="2" t="n">
        <f aca="false">MAX(AC31+IF($A32=AD$4,1,-1),AD31-1,AC32-1)</f>
        <v>-21</v>
      </c>
      <c r="AE32" s="2" t="n">
        <f aca="false">MAX(AD31+IF($A32=AE$4,1,-1),AE31-1,AD32-1)</f>
        <v>-21</v>
      </c>
      <c r="AF32" s="2" t="n">
        <f aca="false">MAX(AE31+IF($A32=AF$4,1,-1),AF31-1,AE32-1)</f>
        <v>-22</v>
      </c>
      <c r="AG32" s="2" t="n">
        <f aca="false">MAX(AF31+IF($A32=AG$4,1,-1),AG31-1,AF32-1)</f>
        <v>-23</v>
      </c>
      <c r="AH32" s="2" t="n">
        <f aca="false">MAX(AG31+IF($A32=AH$4,1,-1),AH31-1,AG32-1)</f>
        <v>-24</v>
      </c>
      <c r="AI32" s="2" t="n">
        <f aca="false">MAX(AH31+IF($A32=AI$4,1,-1),AI31-1,AH32-1)</f>
        <v>-25</v>
      </c>
      <c r="AJ32" s="2" t="n">
        <f aca="false">MAX(AI31+IF($A32=AJ$4,1,-1),AJ31-1,AI32-1)</f>
        <v>-26</v>
      </c>
      <c r="AK32" s="2" t="n">
        <f aca="false">MAX(AJ31+IF($A32=AK$4,1,-1),AK31-1,AJ32-1)</f>
        <v>-27</v>
      </c>
      <c r="AL32" s="2" t="n">
        <f aca="false">MAX(AK31+IF($A32=AL$4,1,-1),AL31-1,AK32-1)</f>
        <v>-28</v>
      </c>
      <c r="AM32" s="2" t="n">
        <f aca="false">MAX(AL31+IF($A32=AM$4,1,-1),AM31-1,AL32-1)</f>
        <v>-29</v>
      </c>
      <c r="AN32" s="2" t="n">
        <f aca="false">MAX(AM31+IF($A32=AN$4,1,-1),AN31-1,AM32-1)</f>
        <v>-30</v>
      </c>
      <c r="AO32" s="2" t="n">
        <f aca="false">MAX(AN31+IF($A32=AO$4,1,-1),AO31-1,AN32-1)</f>
        <v>-31</v>
      </c>
      <c r="AP32" s="2" t="n">
        <f aca="false">MAX(AO31+IF($A32=AP$4,1,-1),AP31-1,AO32-1)</f>
        <v>-32</v>
      </c>
      <c r="AQ32" s="2" t="n">
        <f aca="false">MAX(AP31+IF($A32=AQ$4,1,-1),AQ31-1,AP32-1)</f>
        <v>-33</v>
      </c>
      <c r="AR32" s="2" t="n">
        <f aca="false">MAX(AQ31+IF($A32=AR$4,1,-1),AR31-1,AQ32-1)</f>
        <v>-34</v>
      </c>
      <c r="AS32" s="2" t="n">
        <f aca="false">MAX(AR31+IF($A32=AS$4,1,-1),AS31-1,AR32-1)</f>
        <v>-35</v>
      </c>
      <c r="AT32" s="2" t="n">
        <f aca="false">MAX(AS31+IF($A32=AT$4,1,-1),AT31-1,AS32-1)</f>
        <v>-35</v>
      </c>
      <c r="AU32" s="2" t="n">
        <f aca="false">MAX(AT31+IF($A32=AU$4,1,-1),AU31-1,AT32-1)</f>
        <v>-35</v>
      </c>
      <c r="AV32" s="2" t="n">
        <f aca="false">MAX(AU31+IF($A32=AV$4,1,-1),AV31-1,AU32-1)</f>
        <v>-36</v>
      </c>
      <c r="AW32" s="2" t="n">
        <f aca="false">MAX(AV31+IF($A32=AW$4,1,-1),AW31-1,AV32-1)</f>
        <v>-37</v>
      </c>
      <c r="AX32" s="2" t="n">
        <f aca="false">MAX(AW31+IF($A32=AX$4,1,-1),AX31-1,AW32-1)</f>
        <v>-38</v>
      </c>
      <c r="AY32" s="2" t="n">
        <f aca="false">MAX(AX31+IF($A32=AY$4,1,-1),AY31-1,AX32-1)</f>
        <v>-39</v>
      </c>
      <c r="AZ32" s="2" t="n">
        <f aca="false">MAX(AY31+IF($A32=AZ$4,1,-1),AZ31-1,AY32-1)</f>
        <v>-40</v>
      </c>
      <c r="BA32" s="2" t="n">
        <f aca="false">MAX(AZ31+IF($A32=BA$4,1,-1),BA31-1,AZ32-1)</f>
        <v>-41</v>
      </c>
      <c r="BB32" s="2" t="n">
        <f aca="false">MAX(BA31+IF($A32=BB$4,1,-1),BB31-1,BA32-1)</f>
        <v>-42</v>
      </c>
      <c r="BC32" s="2" t="n">
        <f aca="false">MAX(BB31+IF($A32=BC$4,1,-1),BC31-1,BB32-1)</f>
        <v>-43</v>
      </c>
      <c r="BD32" s="2" t="n">
        <f aca="false">MAX(BC31+IF($A32=BD$4,1,-1),BD31-1,BC32-1)</f>
        <v>-44</v>
      </c>
      <c r="BE32" s="2" t="n">
        <f aca="false">MAX(BD31+IF($A32=BE$4,1,-1),BE31-1,BD32-1)</f>
        <v>-45</v>
      </c>
      <c r="BF32" s="2" t="n">
        <f aca="false">MAX(BE31+IF($A32=BF$4,1,-1),BF31-1,BE32-1)</f>
        <v>-46</v>
      </c>
      <c r="BG32" s="2" t="n">
        <f aca="false">MAX(BF31+IF($A32=BG$4,1,-1),BG31-1,BF32-1)</f>
        <v>-47</v>
      </c>
      <c r="BH32" s="2" t="n">
        <f aca="false">MAX(BG31+IF($A32=BH$4,1,-1),BH31-1,BG32-1)</f>
        <v>-48</v>
      </c>
      <c r="BI32" s="2" t="n">
        <f aca="false">MAX(BH31+IF($A32=BI$4,1,-1),BI31-1,BH32-1)</f>
        <v>-49</v>
      </c>
      <c r="BJ32" s="2" t="n">
        <f aca="false">MAX(BI31+IF($A32=BJ$4,1,-1),BJ31-1,BI32-1)</f>
        <v>-50</v>
      </c>
      <c r="BK32" s="2" t="n">
        <f aca="false">MAX(BJ31+IF($A32=BK$4,1,-1),BK31-1,BJ32-1)</f>
        <v>-51</v>
      </c>
      <c r="BL32" s="2" t="n">
        <f aca="false">MAX(BK31+IF($A32=BL$4,1,-1),BL31-1,BK32-1)</f>
        <v>-52</v>
      </c>
      <c r="BM32" s="2" t="n">
        <f aca="false">MAX(BL31+IF($A32=BM$4,1,-1),BM31-1,BL32-1)</f>
        <v>-53</v>
      </c>
      <c r="BN32" s="2" t="n">
        <f aca="false">MAX(BM31+IF($A32=BN$4,1,-1),BN31-1,BM32-1)</f>
        <v>-54</v>
      </c>
      <c r="BO32" s="2" t="n">
        <f aca="false">MAX(BN31+IF($A32=BO$4,1,-1),BO31-1,BN32-1)</f>
        <v>-55</v>
      </c>
      <c r="BP32" s="2" t="n">
        <f aca="false">MAX(BO31+IF($A32=BP$4,1,-1),BP31-1,BO32-1)</f>
        <v>-56</v>
      </c>
      <c r="BQ32" s="2" t="n">
        <f aca="false">MAX(BP31+IF($A32=BQ$4,1,-1),BQ31-1,BP32-1)</f>
        <v>-57</v>
      </c>
      <c r="BR32" s="2" t="n">
        <f aca="false">MAX(BQ31+IF($A32=BR$4,1,-1),BR31-1,BQ32-1)</f>
        <v>-58</v>
      </c>
      <c r="BS32" s="2" t="n">
        <f aca="false">MAX(BR31+IF($A32=BS$4,1,-1),BS31-1,BR32-1)</f>
        <v>-59</v>
      </c>
      <c r="BT32" s="2" t="n">
        <f aca="false">MAX(BS31+IF($A32=BT$4,1,-1),BT31-1,BS32-1)</f>
        <v>-60</v>
      </c>
      <c r="BU32" s="2" t="n">
        <f aca="false">MAX(BT31+IF($A32=BU$4,1,-1),BU31-1,BT32-1)</f>
        <v>-61</v>
      </c>
      <c r="BV32" s="2" t="n">
        <f aca="false">MAX(BU31+IF($A32=BV$4,1,-1),BV31-1,BU32-1)</f>
        <v>-62</v>
      </c>
      <c r="BW32" s="2" t="n">
        <f aca="false">MAX(BV31+IF($A32=BW$4,1,-1),BW31-1,BV32-1)</f>
        <v>-63</v>
      </c>
      <c r="BX32" s="2" t="n">
        <f aca="false">MAX(BW31+IF($A32=BX$4,1,-1),BX31-1,BW32-1)</f>
        <v>-64</v>
      </c>
      <c r="BY32" s="2" t="n">
        <f aca="false">MAX(BX31+IF($A32=BY$4,1,-1),BY31-1,BX32-1)</f>
        <v>-65</v>
      </c>
      <c r="BZ32" s="2" t="n">
        <f aca="false">MAX(BY31+IF($A32=BZ$4,1,-1),BZ31-1,BY32-1)</f>
        <v>-66</v>
      </c>
      <c r="CA32" s="2" t="n">
        <f aca="false">MAX(BZ31+IF($A32=CA$4,1,-1),CA31-1,BZ32-1)</f>
        <v>-66</v>
      </c>
      <c r="CB32" s="2" t="n">
        <f aca="false">MAX(CA31+IF($A32=CB$4,1,-1),CB31-1,CA32-1)</f>
        <v>-66</v>
      </c>
      <c r="CC32" s="2" t="n">
        <f aca="false">MAX(CB31+IF($A32=CC$4,1,-1),CC31-1,CB32-1)</f>
        <v>-67</v>
      </c>
      <c r="CD32" s="2" t="n">
        <f aca="false">MAX(CC31+IF($A32=CD$4,1,-1),CD31-1,CC32-1)</f>
        <v>-68</v>
      </c>
      <c r="CE32" s="2" t="n">
        <f aca="false">MAX(CD31+IF($A32=CE$4,1,-1),CE31-1,CD32-1)</f>
        <v>-69</v>
      </c>
      <c r="CF32" s="2" t="n">
        <f aca="false">MAX(CE31+IF($A32=CF$4,1,-1),CF31-1,CE32-1)</f>
        <v>-70</v>
      </c>
      <c r="CG32" s="2" t="n">
        <f aca="false">MAX(CF31+IF($A32=CG$4,1,-1),CG31-1,CF32-1)</f>
        <v>-71</v>
      </c>
      <c r="CH32" s="2" t="n">
        <f aca="false">MAX(CG31+IF($A32=CH$4,1,-1),CH31-1,CG32-1)</f>
        <v>-72</v>
      </c>
      <c r="CI32" s="2" t="n">
        <f aca="false">MAX(CH31+IF($A32=CI$4,1,-1),CI31-1,CH32-1)</f>
        <v>-73</v>
      </c>
      <c r="CJ32" s="2" t="n">
        <f aca="false">MAX(CI31+IF($A32=CJ$4,1,-1),CJ31-1,CI32-1)</f>
        <v>-74</v>
      </c>
      <c r="CK32" s="2" t="n">
        <f aca="false">MAX(CJ31+IF($A32=CK$4,1,-1),CK31-1,CJ32-1)</f>
        <v>-75</v>
      </c>
      <c r="CL32" s="2" t="n">
        <f aca="false">MAX(CK31+IF($A32=CL$4,1,-1),CL31-1,CK32-1)</f>
        <v>-76</v>
      </c>
      <c r="CM32" s="2" t="n">
        <f aca="false">MAX(CL31+IF($A32=CM$4,1,-1),CM31-1,CL32-1)</f>
        <v>-77</v>
      </c>
      <c r="CN32" s="2" t="n">
        <f aca="false">MAX(CM31+IF($A32=CN$4,1,-1),CN31-1,CM32-1)</f>
        <v>-78</v>
      </c>
      <c r="CO32" s="2" t="n">
        <f aca="false">MAX(CN31+IF($A32=CO$4,1,-1),CO31-1,CN32-1)</f>
        <v>-79</v>
      </c>
      <c r="CP32" s="2" t="n">
        <f aca="false">MAX(CO31+IF($A32=CP$4,1,-1),CP31-1,CO32-1)</f>
        <v>-80</v>
      </c>
      <c r="CQ32" s="2" t="n">
        <f aca="false">MAX(CP31+IF($A32=CQ$4,1,-1),CQ31-1,CP32-1)</f>
        <v>-81</v>
      </c>
    </row>
    <row r="33" customFormat="false" ht="15" hidden="false" customHeight="false" outlineLevel="0" collapsed="false">
      <c r="A33" s="4" t="s">
        <v>162</v>
      </c>
      <c r="B33" s="12" t="n">
        <v>-28</v>
      </c>
      <c r="C33" s="2" t="n">
        <f aca="false">MAX(B32+IF($A33=C$4,1,-1),C32-1,B33-1)</f>
        <v>-28</v>
      </c>
      <c r="D33" s="2" t="n">
        <f aca="false">MAX(C32+IF($A33=D$4,1,-1),D32-1,C33-1)</f>
        <v>-26</v>
      </c>
      <c r="E33" s="2" t="n">
        <f aca="false">MAX(D32+IF($A33=E$4,1,-1),E32-1,D33-1)</f>
        <v>-24</v>
      </c>
      <c r="F33" s="2" t="n">
        <f aca="false">MAX(E32+IF($A33=F$4,1,-1),F32-1,E33-1)</f>
        <v>-22</v>
      </c>
      <c r="G33" s="2" t="n">
        <f aca="false">MAX(F32+IF($A33=G$4,1,-1),G32-1,F33-1)</f>
        <v>-22</v>
      </c>
      <c r="H33" s="2" t="n">
        <f aca="false">MAX(G32+IF($A33=H$4,1,-1),H32-1,G33-1)</f>
        <v>-23</v>
      </c>
      <c r="I33" s="2" t="n">
        <f aca="false">MAX(H32+IF($A33=I$4,1,-1),I32-1,H33-1)</f>
        <v>-23</v>
      </c>
      <c r="J33" s="2" t="n">
        <f aca="false">MAX(I32+IF($A33=J$4,1,-1),J32-1,I33-1)</f>
        <v>-23</v>
      </c>
      <c r="K33" s="2" t="n">
        <f aca="false">MAX(J32+IF($A33=K$4,1,-1),K32-1,J33-1)</f>
        <v>-21</v>
      </c>
      <c r="L33" s="2" t="n">
        <f aca="false">MAX(K32+IF($A33=L$4,1,-1),L32-1,K33-1)</f>
        <v>-21</v>
      </c>
      <c r="M33" s="2" t="n">
        <f aca="false">MAX(L32+IF($A33=M$4,1,-1),M32-1,L33-1)</f>
        <v>-21</v>
      </c>
      <c r="N33" s="2" t="n">
        <f aca="false">MAX(M32+IF($A33=N$4,1,-1),N32-1,M33-1)</f>
        <v>-20</v>
      </c>
      <c r="O33" s="2" t="n">
        <f aca="false">MAX(N32+IF($A33=O$4,1,-1),O32-1,N33-1)</f>
        <v>-20</v>
      </c>
      <c r="P33" s="2" t="n">
        <f aca="false">MAX(O32+IF($A33=P$4,1,-1),P32-1,O33-1)</f>
        <v>-20</v>
      </c>
      <c r="Q33" s="2" t="n">
        <f aca="false">MAX(P32+IF($A33=Q$4,1,-1),Q32-1,P33-1)</f>
        <v>-20</v>
      </c>
      <c r="R33" s="2" t="n">
        <f aca="false">MAX(Q32+IF($A33=R$4,1,-1),R32-1,Q33-1)</f>
        <v>-20</v>
      </c>
      <c r="S33" s="2" t="n">
        <f aca="false">MAX(R32+IF($A33=S$4,1,-1),S32-1,R33-1)</f>
        <v>-20</v>
      </c>
      <c r="T33" s="2" t="n">
        <f aca="false">MAX(S32+IF($A33=T$4,1,-1),T32-1,S33-1)</f>
        <v>-20</v>
      </c>
      <c r="U33" s="2" t="n">
        <f aca="false">MAX(T32+IF($A33=U$4,1,-1),U32-1,T33-1)</f>
        <v>-20</v>
      </c>
      <c r="V33" s="2" t="n">
        <f aca="false">MAX(U32+IF($A33=V$4,1,-1),V32-1,U33-1)</f>
        <v>-20</v>
      </c>
      <c r="W33" s="2" t="n">
        <f aca="false">MAX(V32+IF($A33=W$4,1,-1),W32-1,V33-1)</f>
        <v>-20</v>
      </c>
      <c r="X33" s="2" t="n">
        <f aca="false">MAX(W32+IF($A33=X$4,1,-1),X32-1,W33-1)</f>
        <v>-20</v>
      </c>
      <c r="Y33" s="2" t="n">
        <f aca="false">MAX(X32+IF($A33=Y$4,1,-1),Y32-1,X33-1)</f>
        <v>-20</v>
      </c>
      <c r="Z33" s="2" t="n">
        <f aca="false">MAX(Y32+IF($A33=Z$4,1,-1),Z32-1,Y33-1)</f>
        <v>-21</v>
      </c>
      <c r="AA33" s="2" t="n">
        <f aca="false">MAX(Z32+IF($A33=AA$4,1,-1),AA32-1,Z33-1)</f>
        <v>-21</v>
      </c>
      <c r="AB33" s="2" t="n">
        <f aca="false">MAX(AA32+IF($A33=AB$4,1,-1),AB32-1,AA33-1)</f>
        <v>-21</v>
      </c>
      <c r="AC33" s="2" t="n">
        <f aca="false">MAX(AB32+IF($A33=AC$4,1,-1),AC32-1,AB33-1)</f>
        <v>-22</v>
      </c>
      <c r="AD33" s="2" t="n">
        <f aca="false">MAX(AC32+IF($A33=AD$4,1,-1),AD32-1,AC33-1)</f>
        <v>-22</v>
      </c>
      <c r="AE33" s="2" t="n">
        <f aca="false">MAX(AD32+IF($A33=AE$4,1,-1),AE32-1,AD33-1)</f>
        <v>-22</v>
      </c>
      <c r="AF33" s="2" t="n">
        <f aca="false">MAX(AE32+IF($A33=AF$4,1,-1),AF32-1,AE33-1)</f>
        <v>-22</v>
      </c>
      <c r="AG33" s="2" t="n">
        <f aca="false">MAX(AF32+IF($A33=AG$4,1,-1),AG32-1,AF33-1)</f>
        <v>-23</v>
      </c>
      <c r="AH33" s="2" t="n">
        <f aca="false">MAX(AG32+IF($A33=AH$4,1,-1),AH32-1,AG33-1)</f>
        <v>-24</v>
      </c>
      <c r="AI33" s="2" t="n">
        <f aca="false">MAX(AH32+IF($A33=AI$4,1,-1),AI32-1,AH33-1)</f>
        <v>-25</v>
      </c>
      <c r="AJ33" s="2" t="n">
        <f aca="false">MAX(AI32+IF($A33=AJ$4,1,-1),AJ32-1,AI33-1)</f>
        <v>-26</v>
      </c>
      <c r="AK33" s="2" t="n">
        <f aca="false">MAX(AJ32+IF($A33=AK$4,1,-1),AK32-1,AJ33-1)</f>
        <v>-27</v>
      </c>
      <c r="AL33" s="2" t="n">
        <f aca="false">MAX(AK32+IF($A33=AL$4,1,-1),AL32-1,AK33-1)</f>
        <v>-28</v>
      </c>
      <c r="AM33" s="2" t="n">
        <f aca="false">MAX(AL32+IF($A33=AM$4,1,-1),AM32-1,AL33-1)</f>
        <v>-29</v>
      </c>
      <c r="AN33" s="2" t="n">
        <f aca="false">MAX(AM32+IF($A33=AN$4,1,-1),AN32-1,AM33-1)</f>
        <v>-30</v>
      </c>
      <c r="AO33" s="2" t="n">
        <f aca="false">MAX(AN32+IF($A33=AO$4,1,-1),AO32-1,AN33-1)</f>
        <v>-31</v>
      </c>
      <c r="AP33" s="2" t="n">
        <f aca="false">MAX(AO32+IF($A33=AP$4,1,-1),AP32-1,AO33-1)</f>
        <v>-32</v>
      </c>
      <c r="AQ33" s="2" t="n">
        <f aca="false">MAX(AP32+IF($A33=AQ$4,1,-1),AQ32-1,AP33-1)</f>
        <v>-33</v>
      </c>
      <c r="AR33" s="2" t="n">
        <f aca="false">MAX(AQ32+IF($A33=AR$4,1,-1),AR32-1,AQ33-1)</f>
        <v>-34</v>
      </c>
      <c r="AS33" s="2" t="n">
        <f aca="false">MAX(AR32+IF($A33=AS$4,1,-1),AS32-1,AR33-1)</f>
        <v>-35</v>
      </c>
      <c r="AT33" s="2" t="n">
        <f aca="false">MAX(AS32+IF($A33=AT$4,1,-1),AT32-1,AS33-1)</f>
        <v>-36</v>
      </c>
      <c r="AU33" s="2" t="n">
        <f aca="false">MAX(AT32+IF($A33=AU$4,1,-1),AU32-1,AT33-1)</f>
        <v>-36</v>
      </c>
      <c r="AV33" s="2" t="n">
        <f aca="false">MAX(AU32+IF($A33=AV$4,1,-1),AV32-1,AU33-1)</f>
        <v>-36</v>
      </c>
      <c r="AW33" s="2" t="n">
        <f aca="false">MAX(AV32+IF($A33=AW$4,1,-1),AW32-1,AV33-1)</f>
        <v>-37</v>
      </c>
      <c r="AX33" s="2" t="n">
        <f aca="false">MAX(AW32+IF($A33=AX$4,1,-1),AX32-1,AW33-1)</f>
        <v>-38</v>
      </c>
      <c r="AY33" s="2" t="n">
        <f aca="false">MAX(AX32+IF($A33=AY$4,1,-1),AY32-1,AX33-1)</f>
        <v>-39</v>
      </c>
      <c r="AZ33" s="2" t="n">
        <f aca="false">MAX(AY32+IF($A33=AZ$4,1,-1),AZ32-1,AY33-1)</f>
        <v>-40</v>
      </c>
      <c r="BA33" s="2" t="n">
        <f aca="false">MAX(AZ32+IF($A33=BA$4,1,-1),BA32-1,AZ33-1)</f>
        <v>-41</v>
      </c>
      <c r="BB33" s="2" t="n">
        <f aca="false">MAX(BA32+IF($A33=BB$4,1,-1),BB32-1,BA33-1)</f>
        <v>-42</v>
      </c>
      <c r="BC33" s="2" t="n">
        <f aca="false">MAX(BB32+IF($A33=BC$4,1,-1),BC32-1,BB33-1)</f>
        <v>-43</v>
      </c>
      <c r="BD33" s="2" t="n">
        <f aca="false">MAX(BC32+IF($A33=BD$4,1,-1),BD32-1,BC33-1)</f>
        <v>-44</v>
      </c>
      <c r="BE33" s="2" t="n">
        <f aca="false">MAX(BD32+IF($A33=BE$4,1,-1),BE32-1,BD33-1)</f>
        <v>-45</v>
      </c>
      <c r="BF33" s="2" t="n">
        <f aca="false">MAX(BE32+IF($A33=BF$4,1,-1),BF32-1,BE33-1)</f>
        <v>-46</v>
      </c>
      <c r="BG33" s="2" t="n">
        <f aca="false">MAX(BF32+IF($A33=BG$4,1,-1),BG32-1,BF33-1)</f>
        <v>-47</v>
      </c>
      <c r="BH33" s="2" t="n">
        <f aca="false">MAX(BG32+IF($A33=BH$4,1,-1),BH32-1,BG33-1)</f>
        <v>-48</v>
      </c>
      <c r="BI33" s="2" t="n">
        <f aca="false">MAX(BH32+IF($A33=BI$4,1,-1),BI32-1,BH33-1)</f>
        <v>-49</v>
      </c>
      <c r="BJ33" s="2" t="n">
        <f aca="false">MAX(BI32+IF($A33=BJ$4,1,-1),BJ32-1,BI33-1)</f>
        <v>-50</v>
      </c>
      <c r="BK33" s="2" t="n">
        <f aca="false">MAX(BJ32+IF($A33=BK$4,1,-1),BK32-1,BJ33-1)</f>
        <v>-51</v>
      </c>
      <c r="BL33" s="2" t="n">
        <f aca="false">MAX(BK32+IF($A33=BL$4,1,-1),BL32-1,BK33-1)</f>
        <v>-52</v>
      </c>
      <c r="BM33" s="2" t="n">
        <f aca="false">MAX(BL32+IF($A33=BM$4,1,-1),BM32-1,BL33-1)</f>
        <v>-53</v>
      </c>
      <c r="BN33" s="2" t="n">
        <f aca="false">MAX(BM32+IF($A33=BN$4,1,-1),BN32-1,BM33-1)</f>
        <v>-54</v>
      </c>
      <c r="BO33" s="2" t="n">
        <f aca="false">MAX(BN32+IF($A33=BO$4,1,-1),BO32-1,BN33-1)</f>
        <v>-55</v>
      </c>
      <c r="BP33" s="2" t="n">
        <f aca="false">MAX(BO32+IF($A33=BP$4,1,-1),BP32-1,BO33-1)</f>
        <v>-56</v>
      </c>
      <c r="BQ33" s="2" t="n">
        <f aca="false">MAX(BP32+IF($A33=BQ$4,1,-1),BQ32-1,BP33-1)</f>
        <v>-57</v>
      </c>
      <c r="BR33" s="2" t="n">
        <f aca="false">MAX(BQ32+IF($A33=BR$4,1,-1),BR32-1,BQ33-1)</f>
        <v>-58</v>
      </c>
      <c r="BS33" s="2" t="n">
        <f aca="false">MAX(BR32+IF($A33=BS$4,1,-1),BS32-1,BR33-1)</f>
        <v>-59</v>
      </c>
      <c r="BT33" s="2" t="n">
        <f aca="false">MAX(BS32+IF($A33=BT$4,1,-1),BT32-1,BS33-1)</f>
        <v>-60</v>
      </c>
      <c r="BU33" s="2" t="n">
        <f aca="false">MAX(BT32+IF($A33=BU$4,1,-1),BU32-1,BT33-1)</f>
        <v>-61</v>
      </c>
      <c r="BV33" s="2" t="n">
        <f aca="false">MAX(BU32+IF($A33=BV$4,1,-1),BV32-1,BU33-1)</f>
        <v>-62</v>
      </c>
      <c r="BW33" s="2" t="n">
        <f aca="false">MAX(BV32+IF($A33=BW$4,1,-1),BW32-1,BV33-1)</f>
        <v>-63</v>
      </c>
      <c r="BX33" s="2" t="n">
        <f aca="false">MAX(BW32+IF($A33=BX$4,1,-1),BX32-1,BW33-1)</f>
        <v>-64</v>
      </c>
      <c r="BY33" s="2" t="n">
        <f aca="false">MAX(BX32+IF($A33=BY$4,1,-1),BY32-1,BX33-1)</f>
        <v>-65</v>
      </c>
      <c r="BZ33" s="2" t="n">
        <f aca="false">MAX(BY32+IF($A33=BZ$4,1,-1),BZ32-1,BY33-1)</f>
        <v>-66</v>
      </c>
      <c r="CA33" s="2" t="n">
        <f aca="false">MAX(BZ32+IF($A33=CA$4,1,-1),CA32-1,BZ33-1)</f>
        <v>-67</v>
      </c>
      <c r="CB33" s="2" t="n">
        <f aca="false">MAX(CA32+IF($A33=CB$4,1,-1),CB32-1,CA33-1)</f>
        <v>-67</v>
      </c>
      <c r="CC33" s="2" t="n">
        <f aca="false">MAX(CB32+IF($A33=CC$4,1,-1),CC32-1,CB33-1)</f>
        <v>-67</v>
      </c>
      <c r="CD33" s="2" t="n">
        <f aca="false">MAX(CC32+IF($A33=CD$4,1,-1),CD32-1,CC33-1)</f>
        <v>-68</v>
      </c>
      <c r="CE33" s="2" t="n">
        <f aca="false">MAX(CD32+IF($A33=CE$4,1,-1),CE32-1,CD33-1)</f>
        <v>-69</v>
      </c>
      <c r="CF33" s="2" t="n">
        <f aca="false">MAX(CE32+IF($A33=CF$4,1,-1),CF32-1,CE33-1)</f>
        <v>-70</v>
      </c>
      <c r="CG33" s="2" t="n">
        <f aca="false">MAX(CF32+IF($A33=CG$4,1,-1),CG32-1,CF33-1)</f>
        <v>-71</v>
      </c>
      <c r="CH33" s="2" t="n">
        <f aca="false">MAX(CG32+IF($A33=CH$4,1,-1),CH32-1,CG33-1)</f>
        <v>-72</v>
      </c>
      <c r="CI33" s="2" t="n">
        <f aca="false">MAX(CH32+IF($A33=CI$4,1,-1),CI32-1,CH33-1)</f>
        <v>-73</v>
      </c>
      <c r="CJ33" s="2" t="n">
        <f aca="false">MAX(CI32+IF($A33=CJ$4,1,-1),CJ32-1,CI33-1)</f>
        <v>-74</v>
      </c>
      <c r="CK33" s="2" t="n">
        <f aca="false">MAX(CJ32+IF($A33=CK$4,1,-1),CK32-1,CJ33-1)</f>
        <v>-75</v>
      </c>
      <c r="CL33" s="2" t="n">
        <f aca="false">MAX(CK32+IF($A33=CL$4,1,-1),CL32-1,CK33-1)</f>
        <v>-76</v>
      </c>
      <c r="CM33" s="2" t="n">
        <f aca="false">MAX(CL32+IF($A33=CM$4,1,-1),CM32-1,CL33-1)</f>
        <v>-77</v>
      </c>
      <c r="CN33" s="2" t="n">
        <f aca="false">MAX(CM32+IF($A33=CN$4,1,-1),CN32-1,CM33-1)</f>
        <v>-78</v>
      </c>
      <c r="CO33" s="2" t="n">
        <f aca="false">MAX(CN32+IF($A33=CO$4,1,-1),CO32-1,CN33-1)</f>
        <v>-79</v>
      </c>
      <c r="CP33" s="2" t="n">
        <f aca="false">MAX(CO32+IF($A33=CP$4,1,-1),CP32-1,CO33-1)</f>
        <v>-80</v>
      </c>
      <c r="CQ33" s="2" t="n">
        <f aca="false">MAX(CP32+IF($A33=CQ$4,1,-1),CQ32-1,CP33-1)</f>
        <v>-81</v>
      </c>
    </row>
    <row r="34" customFormat="false" ht="15" hidden="false" customHeight="false" outlineLevel="0" collapsed="false">
      <c r="A34" s="4" t="s">
        <v>89</v>
      </c>
      <c r="B34" s="12" t="n">
        <v>-29</v>
      </c>
      <c r="C34" s="2" t="n">
        <f aca="false">MAX(B33+IF($A34=C$4,1,-1),C33-1,B34-1)</f>
        <v>-29</v>
      </c>
      <c r="D34" s="2" t="n">
        <f aca="false">MAX(C33+IF($A34=D$4,1,-1),D33-1,C34-1)</f>
        <v>-27</v>
      </c>
      <c r="E34" s="2" t="n">
        <f aca="false">MAX(D33+IF($A34=E$4,1,-1),E33-1,D34-1)</f>
        <v>-25</v>
      </c>
      <c r="F34" s="2" t="n">
        <f aca="false">MAX(E33+IF($A34=F$4,1,-1),F33-1,E34-1)</f>
        <v>-23</v>
      </c>
      <c r="G34" s="2" t="n">
        <f aca="false">MAX(F33+IF($A34=G$4,1,-1),G33-1,F34-1)</f>
        <v>-23</v>
      </c>
      <c r="H34" s="2" t="n">
        <f aca="false">MAX(G33+IF($A34=H$4,1,-1),H33-1,G34-1)</f>
        <v>-23</v>
      </c>
      <c r="I34" s="2" t="n">
        <f aca="false">MAX(H33+IF($A34=I$4,1,-1),I33-1,H34-1)</f>
        <v>-24</v>
      </c>
      <c r="J34" s="2" t="n">
        <f aca="false">MAX(I33+IF($A34=J$4,1,-1),J33-1,I34-1)</f>
        <v>-24</v>
      </c>
      <c r="K34" s="2" t="n">
        <f aca="false">MAX(J33+IF($A34=K$4,1,-1),K33-1,J34-1)</f>
        <v>-22</v>
      </c>
      <c r="L34" s="2" t="n">
        <f aca="false">MAX(K33+IF($A34=L$4,1,-1),L33-1,K34-1)</f>
        <v>-22</v>
      </c>
      <c r="M34" s="2" t="n">
        <f aca="false">MAX(L33+IF($A34=M$4,1,-1),M33-1,L34-1)</f>
        <v>-22</v>
      </c>
      <c r="N34" s="2" t="n">
        <f aca="false">MAX(M33+IF($A34=N$4,1,-1),N33-1,M34-1)</f>
        <v>-21</v>
      </c>
      <c r="O34" s="2" t="n">
        <f aca="false">MAX(N33+IF($A34=O$4,1,-1),O33-1,N34-1)</f>
        <v>-19</v>
      </c>
      <c r="P34" s="2" t="n">
        <f aca="false">MAX(O33+IF($A34=P$4,1,-1),P33-1,O34-1)</f>
        <v>-20</v>
      </c>
      <c r="Q34" s="2" t="n">
        <f aca="false">MAX(P33+IF($A34=Q$4,1,-1),Q33-1,P34-1)</f>
        <v>-21</v>
      </c>
      <c r="R34" s="2" t="n">
        <f aca="false">MAX(Q33+IF($A34=R$4,1,-1),R33-1,Q34-1)</f>
        <v>-21</v>
      </c>
      <c r="S34" s="2" t="n">
        <f aca="false">MAX(R33+IF($A34=S$4,1,-1),S33-1,R34-1)</f>
        <v>-21</v>
      </c>
      <c r="T34" s="2" t="n">
        <f aca="false">MAX(S33+IF($A34=T$4,1,-1),T33-1,S34-1)</f>
        <v>-21</v>
      </c>
      <c r="U34" s="2" t="n">
        <f aca="false">MAX(T33+IF($A34=U$4,1,-1),U33-1,T34-1)</f>
        <v>-21</v>
      </c>
      <c r="V34" s="2" t="n">
        <f aca="false">MAX(U33+IF($A34=V$4,1,-1),V33-1,U34-1)</f>
        <v>-21</v>
      </c>
      <c r="W34" s="2" t="n">
        <f aca="false">MAX(V33+IF($A34=W$4,1,-1),W33-1,V34-1)</f>
        <v>-21</v>
      </c>
      <c r="X34" s="2" t="n">
        <f aca="false">MAX(W33+IF($A34=X$4,1,-1),X33-1,W34-1)</f>
        <v>-21</v>
      </c>
      <c r="Y34" s="2" t="n">
        <f aca="false">MAX(X33+IF($A34=Y$4,1,-1),Y33-1,X34-1)</f>
        <v>-21</v>
      </c>
      <c r="Z34" s="2" t="n">
        <f aca="false">MAX(Y33+IF($A34=Z$4,1,-1),Z33-1,Y34-1)</f>
        <v>-21</v>
      </c>
      <c r="AA34" s="2" t="n">
        <f aca="false">MAX(Z33+IF($A34=AA$4,1,-1),AA33-1,Z34-1)</f>
        <v>-22</v>
      </c>
      <c r="AB34" s="2" t="n">
        <f aca="false">MAX(AA33+IF($A34=AB$4,1,-1),AB33-1,AA34-1)</f>
        <v>-22</v>
      </c>
      <c r="AC34" s="2" t="n">
        <f aca="false">MAX(AB33+IF($A34=AC$4,1,-1),AC33-1,AB34-1)</f>
        <v>-22</v>
      </c>
      <c r="AD34" s="2" t="n">
        <f aca="false">MAX(AC33+IF($A34=AD$4,1,-1),AD33-1,AC34-1)</f>
        <v>-23</v>
      </c>
      <c r="AE34" s="2" t="n">
        <f aca="false">MAX(AD33+IF($A34=AE$4,1,-1),AE33-1,AD34-1)</f>
        <v>-23</v>
      </c>
      <c r="AF34" s="2" t="n">
        <f aca="false">MAX(AE33+IF($A34=AF$4,1,-1),AF33-1,AE34-1)</f>
        <v>-23</v>
      </c>
      <c r="AG34" s="2" t="n">
        <f aca="false">MAX(AF33+IF($A34=AG$4,1,-1),AG33-1,AF34-1)</f>
        <v>-23</v>
      </c>
      <c r="AH34" s="2" t="n">
        <f aca="false">MAX(AG33+IF($A34=AH$4,1,-1),AH33-1,AG34-1)</f>
        <v>-24</v>
      </c>
      <c r="AI34" s="2" t="n">
        <f aca="false">MAX(AH33+IF($A34=AI$4,1,-1),AI33-1,AH34-1)</f>
        <v>-25</v>
      </c>
      <c r="AJ34" s="2" t="n">
        <f aca="false">MAX(AI33+IF($A34=AJ$4,1,-1),AJ33-1,AI34-1)</f>
        <v>-26</v>
      </c>
      <c r="AK34" s="2" t="n">
        <f aca="false">MAX(AJ33+IF($A34=AK$4,1,-1),AK33-1,AJ34-1)</f>
        <v>-27</v>
      </c>
      <c r="AL34" s="2" t="n">
        <f aca="false">MAX(AK33+IF($A34=AL$4,1,-1),AL33-1,AK34-1)</f>
        <v>-28</v>
      </c>
      <c r="AM34" s="2" t="n">
        <f aca="false">MAX(AL33+IF($A34=AM$4,1,-1),AM33-1,AL34-1)</f>
        <v>-29</v>
      </c>
      <c r="AN34" s="2" t="n">
        <f aca="false">MAX(AM33+IF($A34=AN$4,1,-1),AN33-1,AM34-1)</f>
        <v>-30</v>
      </c>
      <c r="AO34" s="2" t="n">
        <f aca="false">MAX(AN33+IF($A34=AO$4,1,-1),AO33-1,AN34-1)</f>
        <v>-31</v>
      </c>
      <c r="AP34" s="2" t="n">
        <f aca="false">MAX(AO33+IF($A34=AP$4,1,-1),AP33-1,AO34-1)</f>
        <v>-32</v>
      </c>
      <c r="AQ34" s="2" t="n">
        <f aca="false">MAX(AP33+IF($A34=AQ$4,1,-1),AQ33-1,AP34-1)</f>
        <v>-33</v>
      </c>
      <c r="AR34" s="2" t="n">
        <f aca="false">MAX(AQ33+IF($A34=AR$4,1,-1),AR33-1,AQ34-1)</f>
        <v>-34</v>
      </c>
      <c r="AS34" s="2" t="n">
        <f aca="false">MAX(AR33+IF($A34=AS$4,1,-1),AS33-1,AR34-1)</f>
        <v>-35</v>
      </c>
      <c r="AT34" s="2" t="n">
        <f aca="false">MAX(AS33+IF($A34=AT$4,1,-1),AT33-1,AS34-1)</f>
        <v>-36</v>
      </c>
      <c r="AU34" s="2" t="n">
        <f aca="false">MAX(AT33+IF($A34=AU$4,1,-1),AU33-1,AT34-1)</f>
        <v>-37</v>
      </c>
      <c r="AV34" s="2" t="n">
        <f aca="false">MAX(AU33+IF($A34=AV$4,1,-1),AV33-1,AU34-1)</f>
        <v>-37</v>
      </c>
      <c r="AW34" s="2" t="n">
        <f aca="false">MAX(AV33+IF($A34=AW$4,1,-1),AW33-1,AV34-1)</f>
        <v>-37</v>
      </c>
      <c r="AX34" s="2" t="n">
        <f aca="false">MAX(AW33+IF($A34=AX$4,1,-1),AX33-1,AW34-1)</f>
        <v>-38</v>
      </c>
      <c r="AY34" s="2" t="n">
        <f aca="false">MAX(AX33+IF($A34=AY$4,1,-1),AY33-1,AX34-1)</f>
        <v>-39</v>
      </c>
      <c r="AZ34" s="2" t="n">
        <f aca="false">MAX(AY33+IF($A34=AZ$4,1,-1),AZ33-1,AY34-1)</f>
        <v>-40</v>
      </c>
      <c r="BA34" s="2" t="n">
        <f aca="false">MAX(AZ33+IF($A34=BA$4,1,-1),BA33-1,AZ34-1)</f>
        <v>-41</v>
      </c>
      <c r="BB34" s="2" t="n">
        <f aca="false">MAX(BA33+IF($A34=BB$4,1,-1),BB33-1,BA34-1)</f>
        <v>-42</v>
      </c>
      <c r="BC34" s="2" t="n">
        <f aca="false">MAX(BB33+IF($A34=BC$4,1,-1),BC33-1,BB34-1)</f>
        <v>-43</v>
      </c>
      <c r="BD34" s="2" t="n">
        <f aca="false">MAX(BC33+IF($A34=BD$4,1,-1),BD33-1,BC34-1)</f>
        <v>-44</v>
      </c>
      <c r="BE34" s="2" t="n">
        <f aca="false">MAX(BD33+IF($A34=BE$4,1,-1),BE33-1,BD34-1)</f>
        <v>-45</v>
      </c>
      <c r="BF34" s="2" t="n">
        <f aca="false">MAX(BE33+IF($A34=BF$4,1,-1),BF33-1,BE34-1)</f>
        <v>-46</v>
      </c>
      <c r="BG34" s="2" t="n">
        <f aca="false">MAX(BF33+IF($A34=BG$4,1,-1),BG33-1,BF34-1)</f>
        <v>-47</v>
      </c>
      <c r="BH34" s="2" t="n">
        <f aca="false">MAX(BG33+IF($A34=BH$4,1,-1),BH33-1,BG34-1)</f>
        <v>-48</v>
      </c>
      <c r="BI34" s="2" t="n">
        <f aca="false">MAX(BH33+IF($A34=BI$4,1,-1),BI33-1,BH34-1)</f>
        <v>-49</v>
      </c>
      <c r="BJ34" s="2" t="n">
        <f aca="false">MAX(BI33+IF($A34=BJ$4,1,-1),BJ33-1,BI34-1)</f>
        <v>-50</v>
      </c>
      <c r="BK34" s="2" t="n">
        <f aca="false">MAX(BJ33+IF($A34=BK$4,1,-1),BK33-1,BJ34-1)</f>
        <v>-51</v>
      </c>
      <c r="BL34" s="2" t="n">
        <f aca="false">MAX(BK33+IF($A34=BL$4,1,-1),BL33-1,BK34-1)</f>
        <v>-50</v>
      </c>
      <c r="BM34" s="2" t="n">
        <f aca="false">MAX(BL33+IF($A34=BM$4,1,-1),BM33-1,BL34-1)</f>
        <v>-51</v>
      </c>
      <c r="BN34" s="2" t="n">
        <f aca="false">MAX(BM33+IF($A34=BN$4,1,-1),BN33-1,BM34-1)</f>
        <v>-52</v>
      </c>
      <c r="BO34" s="2" t="n">
        <f aca="false">MAX(BN33+IF($A34=BO$4,1,-1),BO33-1,BN34-1)</f>
        <v>-53</v>
      </c>
      <c r="BP34" s="2" t="n">
        <f aca="false">MAX(BO33+IF($A34=BP$4,1,-1),BP33-1,BO34-1)</f>
        <v>-54</v>
      </c>
      <c r="BQ34" s="2" t="n">
        <f aca="false">MAX(BP33+IF($A34=BQ$4,1,-1),BQ33-1,BP34-1)</f>
        <v>-55</v>
      </c>
      <c r="BR34" s="2" t="n">
        <f aca="false">MAX(BQ33+IF($A34=BR$4,1,-1),BR33-1,BQ34-1)</f>
        <v>-56</v>
      </c>
      <c r="BS34" s="2" t="n">
        <f aca="false">MAX(BR33+IF($A34=BS$4,1,-1),BS33-1,BR34-1)</f>
        <v>-57</v>
      </c>
      <c r="BT34" s="2" t="n">
        <f aca="false">MAX(BS33+IF($A34=BT$4,1,-1),BT33-1,BS34-1)</f>
        <v>-58</v>
      </c>
      <c r="BU34" s="2" t="n">
        <f aca="false">MAX(BT33+IF($A34=BU$4,1,-1),BU33-1,BT34-1)</f>
        <v>-59</v>
      </c>
      <c r="BV34" s="2" t="n">
        <f aca="false">MAX(BU33+IF($A34=BV$4,1,-1),BV33-1,BU34-1)</f>
        <v>-60</v>
      </c>
      <c r="BW34" s="2" t="n">
        <f aca="false">MAX(BV33+IF($A34=BW$4,1,-1),BW33-1,BV34-1)</f>
        <v>-61</v>
      </c>
      <c r="BX34" s="2" t="n">
        <f aca="false">MAX(BW33+IF($A34=BX$4,1,-1),BX33-1,BW34-1)</f>
        <v>-62</v>
      </c>
      <c r="BY34" s="2" t="n">
        <f aca="false">MAX(BX33+IF($A34=BY$4,1,-1),BY33-1,BX34-1)</f>
        <v>-63</v>
      </c>
      <c r="BZ34" s="2" t="n">
        <f aca="false">MAX(BY33+IF($A34=BZ$4,1,-1),BZ33-1,BY34-1)</f>
        <v>-64</v>
      </c>
      <c r="CA34" s="2" t="n">
        <f aca="false">MAX(BZ33+IF($A34=CA$4,1,-1),CA33-1,BZ34-1)</f>
        <v>-65</v>
      </c>
      <c r="CB34" s="2" t="n">
        <f aca="false">MAX(CA33+IF($A34=CB$4,1,-1),CB33-1,CA34-1)</f>
        <v>-66</v>
      </c>
      <c r="CC34" s="2" t="n">
        <f aca="false">MAX(CB33+IF($A34=CC$4,1,-1),CC33-1,CB34-1)</f>
        <v>-67</v>
      </c>
      <c r="CD34" s="2" t="n">
        <f aca="false">MAX(CC33+IF($A34=CD$4,1,-1),CD33-1,CC34-1)</f>
        <v>-68</v>
      </c>
      <c r="CE34" s="2" t="n">
        <f aca="false">MAX(CD33+IF($A34=CE$4,1,-1),CE33-1,CD34-1)</f>
        <v>-69</v>
      </c>
      <c r="CF34" s="2" t="n">
        <f aca="false">MAX(CE33+IF($A34=CF$4,1,-1),CF33-1,CE34-1)</f>
        <v>-70</v>
      </c>
      <c r="CG34" s="2" t="n">
        <f aca="false">MAX(CF33+IF($A34=CG$4,1,-1),CG33-1,CF34-1)</f>
        <v>-71</v>
      </c>
      <c r="CH34" s="2" t="n">
        <f aca="false">MAX(CG33+IF($A34=CH$4,1,-1),CH33-1,CG34-1)</f>
        <v>-72</v>
      </c>
      <c r="CI34" s="2" t="n">
        <f aca="false">MAX(CH33+IF($A34=CI$4,1,-1),CI33-1,CH34-1)</f>
        <v>-73</v>
      </c>
      <c r="CJ34" s="2" t="n">
        <f aca="false">MAX(CI33+IF($A34=CJ$4,1,-1),CJ33-1,CI34-1)</f>
        <v>-74</v>
      </c>
      <c r="CK34" s="2" t="n">
        <f aca="false">MAX(CJ33+IF($A34=CK$4,1,-1),CK33-1,CJ34-1)</f>
        <v>-75</v>
      </c>
      <c r="CL34" s="2" t="n">
        <f aca="false">MAX(CK33+IF($A34=CL$4,1,-1),CL33-1,CK34-1)</f>
        <v>-76</v>
      </c>
      <c r="CM34" s="2" t="n">
        <f aca="false">MAX(CL33+IF($A34=CM$4,1,-1),CM33-1,CL34-1)</f>
        <v>-77</v>
      </c>
      <c r="CN34" s="2" t="n">
        <f aca="false">MAX(CM33+IF($A34=CN$4,1,-1),CN33-1,CM34-1)</f>
        <v>-78</v>
      </c>
      <c r="CO34" s="2" t="n">
        <f aca="false">MAX(CN33+IF($A34=CO$4,1,-1),CO33-1,CN34-1)</f>
        <v>-79</v>
      </c>
      <c r="CP34" s="2" t="n">
        <f aca="false">MAX(CO33+IF($A34=CP$4,1,-1),CP33-1,CO34-1)</f>
        <v>-80</v>
      </c>
      <c r="CQ34" s="2" t="n">
        <f aca="false">MAX(CP33+IF($A34=CQ$4,1,-1),CQ33-1,CP34-1)</f>
        <v>-81</v>
      </c>
    </row>
    <row r="35" customFormat="false" ht="15" hidden="false" customHeight="false" outlineLevel="0" collapsed="false">
      <c r="A35" s="4" t="s">
        <v>67</v>
      </c>
      <c r="B35" s="12" t="n">
        <v>-30</v>
      </c>
      <c r="C35" s="2" t="n">
        <f aca="false">MAX(B34+IF($A35=C$4,1,-1),C34-1,B35-1)</f>
        <v>-30</v>
      </c>
      <c r="D35" s="2" t="n">
        <f aca="false">MAX(C34+IF($A35=D$4,1,-1),D34-1,C35-1)</f>
        <v>-28</v>
      </c>
      <c r="E35" s="2" t="n">
        <f aca="false">MAX(D34+IF($A35=E$4,1,-1),E34-1,D35-1)</f>
        <v>-26</v>
      </c>
      <c r="F35" s="2" t="n">
        <f aca="false">MAX(E34+IF($A35=F$4,1,-1),F34-1,E35-1)</f>
        <v>-24</v>
      </c>
      <c r="G35" s="2" t="n">
        <f aca="false">MAX(F34+IF($A35=G$4,1,-1),G34-1,F35-1)</f>
        <v>-24</v>
      </c>
      <c r="H35" s="2" t="n">
        <f aca="false">MAX(G34+IF($A35=H$4,1,-1),H34-1,G35-1)</f>
        <v>-24</v>
      </c>
      <c r="I35" s="2" t="n">
        <f aca="false">MAX(H34+IF($A35=I$4,1,-1),I34-1,H35-1)</f>
        <v>-24</v>
      </c>
      <c r="J35" s="2" t="n">
        <f aca="false">MAX(I34+IF($A35=J$4,1,-1),J34-1,I35-1)</f>
        <v>-25</v>
      </c>
      <c r="K35" s="2" t="n">
        <f aca="false">MAX(J34+IF($A35=K$4,1,-1),K34-1,J35-1)</f>
        <v>-23</v>
      </c>
      <c r="L35" s="2" t="n">
        <f aca="false">MAX(K34+IF($A35=L$4,1,-1),L34-1,K35-1)</f>
        <v>-23</v>
      </c>
      <c r="M35" s="2" t="n">
        <f aca="false">MAX(L34+IF($A35=M$4,1,-1),M34-1,L35-1)</f>
        <v>-23</v>
      </c>
      <c r="N35" s="2" t="n">
        <f aca="false">MAX(M34+IF($A35=N$4,1,-1),N34-1,M35-1)</f>
        <v>-22</v>
      </c>
      <c r="O35" s="2" t="n">
        <f aca="false">MAX(N34+IF($A35=O$4,1,-1),O34-1,N35-1)</f>
        <v>-20</v>
      </c>
      <c r="P35" s="2" t="n">
        <f aca="false">MAX(O34+IF($A35=P$4,1,-1),P34-1,O35-1)</f>
        <v>-20</v>
      </c>
      <c r="Q35" s="2" t="n">
        <f aca="false">MAX(P34+IF($A35=Q$4,1,-1),Q34-1,P35-1)</f>
        <v>-21</v>
      </c>
      <c r="R35" s="2" t="n">
        <f aca="false">MAX(Q34+IF($A35=R$4,1,-1),R34-1,Q35-1)</f>
        <v>-22</v>
      </c>
      <c r="S35" s="2" t="n">
        <f aca="false">MAX(R34+IF($A35=S$4,1,-1),S34-1,R35-1)</f>
        <v>-22</v>
      </c>
      <c r="T35" s="2" t="n">
        <f aca="false">MAX(S34+IF($A35=T$4,1,-1),T34-1,S35-1)</f>
        <v>-22</v>
      </c>
      <c r="U35" s="2" t="n">
        <f aca="false">MAX(T34+IF($A35=U$4,1,-1),U34-1,T35-1)</f>
        <v>-22</v>
      </c>
      <c r="V35" s="2" t="n">
        <f aca="false">MAX(U34+IF($A35=V$4,1,-1),V34-1,U35-1)</f>
        <v>-22</v>
      </c>
      <c r="W35" s="2" t="n">
        <f aca="false">MAX(V34+IF($A35=W$4,1,-1),W34-1,V35-1)</f>
        <v>-22</v>
      </c>
      <c r="X35" s="2" t="n">
        <f aca="false">MAX(W34+IF($A35=X$4,1,-1),X34-1,W35-1)</f>
        <v>-22</v>
      </c>
      <c r="Y35" s="2" t="n">
        <f aca="false">MAX(X34+IF($A35=Y$4,1,-1),Y34-1,X35-1)</f>
        <v>-22</v>
      </c>
      <c r="Z35" s="2" t="n">
        <f aca="false">MAX(Y34+IF($A35=Z$4,1,-1),Z34-1,Y35-1)</f>
        <v>-22</v>
      </c>
      <c r="AA35" s="2" t="n">
        <f aca="false">MAX(Z34+IF($A35=AA$4,1,-1),AA34-1,Z35-1)</f>
        <v>-22</v>
      </c>
      <c r="AB35" s="2" t="n">
        <f aca="false">MAX(AA34+IF($A35=AB$4,1,-1),AB34-1,AA35-1)</f>
        <v>-23</v>
      </c>
      <c r="AC35" s="2" t="n">
        <f aca="false">MAX(AB34+IF($A35=AC$4,1,-1),AC34-1,AB35-1)</f>
        <v>-23</v>
      </c>
      <c r="AD35" s="2" t="n">
        <f aca="false">MAX(AC34+IF($A35=AD$4,1,-1),AD34-1,AC35-1)</f>
        <v>-23</v>
      </c>
      <c r="AE35" s="2" t="n">
        <f aca="false">MAX(AD34+IF($A35=AE$4,1,-1),AE34-1,AD35-1)</f>
        <v>-24</v>
      </c>
      <c r="AF35" s="2" t="n">
        <f aca="false">MAX(AE34+IF($A35=AF$4,1,-1),AF34-1,AE35-1)</f>
        <v>-24</v>
      </c>
      <c r="AG35" s="2" t="n">
        <f aca="false">MAX(AF34+IF($A35=AG$4,1,-1),AG34-1,AF35-1)</f>
        <v>-24</v>
      </c>
      <c r="AH35" s="2" t="n">
        <f aca="false">MAX(AG34+IF($A35=AH$4,1,-1),AH34-1,AG35-1)</f>
        <v>-24</v>
      </c>
      <c r="AI35" s="2" t="n">
        <f aca="false">MAX(AH34+IF($A35=AI$4,1,-1),AI34-1,AH35-1)</f>
        <v>-25</v>
      </c>
      <c r="AJ35" s="2" t="n">
        <f aca="false">MAX(AI34+IF($A35=AJ$4,1,-1),AJ34-1,AI35-1)</f>
        <v>-26</v>
      </c>
      <c r="AK35" s="2" t="n">
        <f aca="false">MAX(AJ34+IF($A35=AK$4,1,-1),AK34-1,AJ35-1)</f>
        <v>-27</v>
      </c>
      <c r="AL35" s="2" t="n">
        <f aca="false">MAX(AK34+IF($A35=AL$4,1,-1),AL34-1,AK35-1)</f>
        <v>-28</v>
      </c>
      <c r="AM35" s="2" t="n">
        <f aca="false">MAX(AL34+IF($A35=AM$4,1,-1),AM34-1,AL35-1)</f>
        <v>-29</v>
      </c>
      <c r="AN35" s="2" t="n">
        <f aca="false">MAX(AM34+IF($A35=AN$4,1,-1),AN34-1,AM35-1)</f>
        <v>-30</v>
      </c>
      <c r="AO35" s="2" t="n">
        <f aca="false">MAX(AN34+IF($A35=AO$4,1,-1),AO34-1,AN35-1)</f>
        <v>-31</v>
      </c>
      <c r="AP35" s="2" t="n">
        <f aca="false">MAX(AO34+IF($A35=AP$4,1,-1),AP34-1,AO35-1)</f>
        <v>-32</v>
      </c>
      <c r="AQ35" s="2" t="n">
        <f aca="false">MAX(AP34+IF($A35=AQ$4,1,-1),AQ34-1,AP35-1)</f>
        <v>-33</v>
      </c>
      <c r="AR35" s="2" t="n">
        <f aca="false">MAX(AQ34+IF($A35=AR$4,1,-1),AR34-1,AQ35-1)</f>
        <v>-34</v>
      </c>
      <c r="AS35" s="2" t="n">
        <f aca="false">MAX(AR34+IF($A35=AS$4,1,-1),AS34-1,AR35-1)</f>
        <v>-35</v>
      </c>
      <c r="AT35" s="2" t="n">
        <f aca="false">MAX(AS34+IF($A35=AT$4,1,-1),AT34-1,AS35-1)</f>
        <v>-36</v>
      </c>
      <c r="AU35" s="2" t="n">
        <f aca="false">MAX(AT34+IF($A35=AU$4,1,-1),AU34-1,AT35-1)</f>
        <v>-37</v>
      </c>
      <c r="AV35" s="2" t="n">
        <f aca="false">MAX(AU34+IF($A35=AV$4,1,-1),AV34-1,AU35-1)</f>
        <v>-38</v>
      </c>
      <c r="AW35" s="2" t="n">
        <f aca="false">MAX(AV34+IF($A35=AW$4,1,-1),AW34-1,AV35-1)</f>
        <v>-38</v>
      </c>
      <c r="AX35" s="2" t="n">
        <f aca="false">MAX(AW34+IF($A35=AX$4,1,-1),AX34-1,AW35-1)</f>
        <v>-38</v>
      </c>
      <c r="AY35" s="2" t="n">
        <f aca="false">MAX(AX34+IF($A35=AY$4,1,-1),AY34-1,AX35-1)</f>
        <v>-39</v>
      </c>
      <c r="AZ35" s="2" t="n">
        <f aca="false">MAX(AY34+IF($A35=AZ$4,1,-1),AZ34-1,AY35-1)</f>
        <v>-40</v>
      </c>
      <c r="BA35" s="2" t="n">
        <f aca="false">MAX(AZ34+IF($A35=BA$4,1,-1),BA34-1,AZ35-1)</f>
        <v>-41</v>
      </c>
      <c r="BB35" s="2" t="n">
        <f aca="false">MAX(BA34+IF($A35=BB$4,1,-1),BB34-1,BA35-1)</f>
        <v>-42</v>
      </c>
      <c r="BC35" s="2" t="n">
        <f aca="false">MAX(BB34+IF($A35=BC$4,1,-1),BC34-1,BB35-1)</f>
        <v>-43</v>
      </c>
      <c r="BD35" s="2" t="n">
        <f aca="false">MAX(BC34+IF($A35=BD$4,1,-1),BD34-1,BC35-1)</f>
        <v>-44</v>
      </c>
      <c r="BE35" s="2" t="n">
        <f aca="false">MAX(BD34+IF($A35=BE$4,1,-1),BE34-1,BD35-1)</f>
        <v>-45</v>
      </c>
      <c r="BF35" s="2" t="n">
        <f aca="false">MAX(BE34+IF($A35=BF$4,1,-1),BF34-1,BE35-1)</f>
        <v>-46</v>
      </c>
      <c r="BG35" s="2" t="n">
        <f aca="false">MAX(BF34+IF($A35=BG$4,1,-1),BG34-1,BF35-1)</f>
        <v>-47</v>
      </c>
      <c r="BH35" s="2" t="n">
        <f aca="false">MAX(BG34+IF($A35=BH$4,1,-1),BH34-1,BG35-1)</f>
        <v>-48</v>
      </c>
      <c r="BI35" s="2" t="n">
        <f aca="false">MAX(BH34+IF($A35=BI$4,1,-1),BI34-1,BH35-1)</f>
        <v>-49</v>
      </c>
      <c r="BJ35" s="2" t="n">
        <f aca="false">MAX(BI34+IF($A35=BJ$4,1,-1),BJ34-1,BI35-1)</f>
        <v>-50</v>
      </c>
      <c r="BK35" s="2" t="n">
        <f aca="false">MAX(BJ34+IF($A35=BK$4,1,-1),BK34-1,BJ35-1)</f>
        <v>-51</v>
      </c>
      <c r="BL35" s="2" t="n">
        <f aca="false">MAX(BK34+IF($A35=BL$4,1,-1),BL34-1,BK35-1)</f>
        <v>-51</v>
      </c>
      <c r="BM35" s="2" t="n">
        <f aca="false">MAX(BL34+IF($A35=BM$4,1,-1),BM34-1,BL35-1)</f>
        <v>-51</v>
      </c>
      <c r="BN35" s="2" t="n">
        <f aca="false">MAX(BM34+IF($A35=BN$4,1,-1),BN34-1,BM35-1)</f>
        <v>-52</v>
      </c>
      <c r="BO35" s="2" t="n">
        <f aca="false">MAX(BN34+IF($A35=BO$4,1,-1),BO34-1,BN35-1)</f>
        <v>-53</v>
      </c>
      <c r="BP35" s="2" t="n">
        <f aca="false">MAX(BO34+IF($A35=BP$4,1,-1),BP34-1,BO35-1)</f>
        <v>-54</v>
      </c>
      <c r="BQ35" s="2" t="n">
        <f aca="false">MAX(BP34+IF($A35=BQ$4,1,-1),BQ34-1,BP35-1)</f>
        <v>-55</v>
      </c>
      <c r="BR35" s="2" t="n">
        <f aca="false">MAX(BQ34+IF($A35=BR$4,1,-1),BR34-1,BQ35-1)</f>
        <v>-56</v>
      </c>
      <c r="BS35" s="2" t="n">
        <f aca="false">MAX(BR34+IF($A35=BS$4,1,-1),BS34-1,BR35-1)</f>
        <v>-57</v>
      </c>
      <c r="BT35" s="2" t="n">
        <f aca="false">MAX(BS34+IF($A35=BT$4,1,-1),BT34-1,BS35-1)</f>
        <v>-58</v>
      </c>
      <c r="BU35" s="2" t="n">
        <f aca="false">MAX(BT34+IF($A35=BU$4,1,-1),BU34-1,BT35-1)</f>
        <v>-59</v>
      </c>
      <c r="BV35" s="2" t="n">
        <f aca="false">MAX(BU34+IF($A35=BV$4,1,-1),BV34-1,BU35-1)</f>
        <v>-60</v>
      </c>
      <c r="BW35" s="2" t="n">
        <f aca="false">MAX(BV34+IF($A35=BW$4,1,-1),BW34-1,BV35-1)</f>
        <v>-61</v>
      </c>
      <c r="BX35" s="2" t="n">
        <f aca="false">MAX(BW34+IF($A35=BX$4,1,-1),BX34-1,BW35-1)</f>
        <v>-62</v>
      </c>
      <c r="BY35" s="2" t="n">
        <f aca="false">MAX(BX34+IF($A35=BY$4,1,-1),BY34-1,BX35-1)</f>
        <v>-63</v>
      </c>
      <c r="BZ35" s="2" t="n">
        <f aca="false">MAX(BY34+IF($A35=BZ$4,1,-1),BZ34-1,BY35-1)</f>
        <v>-64</v>
      </c>
      <c r="CA35" s="2" t="n">
        <f aca="false">MAX(BZ34+IF($A35=CA$4,1,-1),CA34-1,BZ35-1)</f>
        <v>-65</v>
      </c>
      <c r="CB35" s="2" t="n">
        <f aca="false">MAX(CA34+IF($A35=CB$4,1,-1),CB34-1,CA35-1)</f>
        <v>-66</v>
      </c>
      <c r="CC35" s="2" t="n">
        <f aca="false">MAX(CB34+IF($A35=CC$4,1,-1),CC34-1,CB35-1)</f>
        <v>-67</v>
      </c>
      <c r="CD35" s="2" t="n">
        <f aca="false">MAX(CC34+IF($A35=CD$4,1,-1),CD34-1,CC35-1)</f>
        <v>-68</v>
      </c>
      <c r="CE35" s="2" t="n">
        <f aca="false">MAX(CD34+IF($A35=CE$4,1,-1),CE34-1,CD35-1)</f>
        <v>-69</v>
      </c>
      <c r="CF35" s="2" t="n">
        <f aca="false">MAX(CE34+IF($A35=CF$4,1,-1),CF34-1,CE35-1)</f>
        <v>-70</v>
      </c>
      <c r="CG35" s="2" t="n">
        <f aca="false">MAX(CF34+IF($A35=CG$4,1,-1),CG34-1,CF35-1)</f>
        <v>-71</v>
      </c>
      <c r="CH35" s="2" t="n">
        <f aca="false">MAX(CG34+IF($A35=CH$4,1,-1),CH34-1,CG35-1)</f>
        <v>-72</v>
      </c>
      <c r="CI35" s="2" t="n">
        <f aca="false">MAX(CH34+IF($A35=CI$4,1,-1),CI34-1,CH35-1)</f>
        <v>-73</v>
      </c>
      <c r="CJ35" s="2" t="n">
        <f aca="false">MAX(CI34+IF($A35=CJ$4,1,-1),CJ34-1,CI35-1)</f>
        <v>-74</v>
      </c>
      <c r="CK35" s="2" t="n">
        <f aca="false">MAX(CJ34+IF($A35=CK$4,1,-1),CK34-1,CJ35-1)</f>
        <v>-75</v>
      </c>
      <c r="CL35" s="2" t="n">
        <f aca="false">MAX(CK34+IF($A35=CL$4,1,-1),CL34-1,CK35-1)</f>
        <v>-76</v>
      </c>
      <c r="CM35" s="2" t="n">
        <f aca="false">MAX(CL34+IF($A35=CM$4,1,-1),CM34-1,CL35-1)</f>
        <v>-77</v>
      </c>
      <c r="CN35" s="2" t="n">
        <f aca="false">MAX(CM34+IF($A35=CN$4,1,-1),CN34-1,CM35-1)</f>
        <v>-78</v>
      </c>
      <c r="CO35" s="2" t="n">
        <f aca="false">MAX(CN34+IF($A35=CO$4,1,-1),CO34-1,CN35-1)</f>
        <v>-79</v>
      </c>
      <c r="CP35" s="2" t="n">
        <f aca="false">MAX(CO34+IF($A35=CP$4,1,-1),CP34-1,CO35-1)</f>
        <v>-80</v>
      </c>
      <c r="CQ35" s="2" t="n">
        <f aca="false">MAX(CP34+IF($A35=CQ$4,1,-1),CQ34-1,CP35-1)</f>
        <v>-81</v>
      </c>
    </row>
    <row r="36" customFormat="false" ht="15" hidden="false" customHeight="false" outlineLevel="0" collapsed="false">
      <c r="A36" s="4" t="s">
        <v>92</v>
      </c>
      <c r="B36" s="12" t="n">
        <v>-31</v>
      </c>
      <c r="C36" s="2" t="n">
        <f aca="false">MAX(B35+IF($A36=C$4,1,-1),C35-1,B36-1)</f>
        <v>-31</v>
      </c>
      <c r="D36" s="2" t="n">
        <f aca="false">MAX(C35+IF($A36=D$4,1,-1),D35-1,C36-1)</f>
        <v>-29</v>
      </c>
      <c r="E36" s="2" t="n">
        <f aca="false">MAX(D35+IF($A36=E$4,1,-1),E35-1,D36-1)</f>
        <v>-27</v>
      </c>
      <c r="F36" s="2" t="n">
        <f aca="false">MAX(E35+IF($A36=F$4,1,-1),F35-1,E36-1)</f>
        <v>-25</v>
      </c>
      <c r="G36" s="2" t="n">
        <f aca="false">MAX(F35+IF($A36=G$4,1,-1),G35-1,F36-1)</f>
        <v>-25</v>
      </c>
      <c r="H36" s="2" t="n">
        <f aca="false">MAX(G35+IF($A36=H$4,1,-1),H35-1,G36-1)</f>
        <v>-25</v>
      </c>
      <c r="I36" s="2" t="n">
        <f aca="false">MAX(H35+IF($A36=I$4,1,-1),I35-1,H36-1)</f>
        <v>-25</v>
      </c>
      <c r="J36" s="2" t="n">
        <f aca="false">MAX(I35+IF($A36=J$4,1,-1),J35-1,I36-1)</f>
        <v>-25</v>
      </c>
      <c r="K36" s="2" t="n">
        <f aca="false">MAX(J35+IF($A36=K$4,1,-1),K35-1,J36-1)</f>
        <v>-24</v>
      </c>
      <c r="L36" s="2" t="n">
        <f aca="false">MAX(K35+IF($A36=L$4,1,-1),L35-1,K36-1)</f>
        <v>-24</v>
      </c>
      <c r="M36" s="2" t="n">
        <f aca="false">MAX(L35+IF($A36=M$4,1,-1),M35-1,L36-1)</f>
        <v>-24</v>
      </c>
      <c r="N36" s="2" t="n">
        <f aca="false">MAX(M35+IF($A36=N$4,1,-1),N35-1,M36-1)</f>
        <v>-22</v>
      </c>
      <c r="O36" s="2" t="n">
        <f aca="false">MAX(N35+IF($A36=O$4,1,-1),O35-1,N36-1)</f>
        <v>-21</v>
      </c>
      <c r="P36" s="2" t="n">
        <f aca="false">MAX(O35+IF($A36=P$4,1,-1),P35-1,O36-1)</f>
        <v>-21</v>
      </c>
      <c r="Q36" s="2" t="n">
        <f aca="false">MAX(P35+IF($A36=Q$4,1,-1),Q35-1,P36-1)</f>
        <v>-21</v>
      </c>
      <c r="R36" s="2" t="n">
        <f aca="false">MAX(Q35+IF($A36=R$4,1,-1),R35-1,Q36-1)</f>
        <v>-22</v>
      </c>
      <c r="S36" s="2" t="n">
        <f aca="false">MAX(R35+IF($A36=S$4,1,-1),S35-1,R36-1)</f>
        <v>-23</v>
      </c>
      <c r="T36" s="2" t="n">
        <f aca="false">MAX(S35+IF($A36=T$4,1,-1),T35-1,S36-1)</f>
        <v>-23</v>
      </c>
      <c r="U36" s="2" t="n">
        <f aca="false">MAX(T35+IF($A36=U$4,1,-1),U35-1,T36-1)</f>
        <v>-23</v>
      </c>
      <c r="V36" s="2" t="n">
        <f aca="false">MAX(U35+IF($A36=V$4,1,-1),V35-1,U36-1)</f>
        <v>-23</v>
      </c>
      <c r="W36" s="2" t="n">
        <f aca="false">MAX(V35+IF($A36=W$4,1,-1),W35-1,V36-1)</f>
        <v>-23</v>
      </c>
      <c r="X36" s="2" t="n">
        <f aca="false">MAX(W35+IF($A36=X$4,1,-1),X35-1,W36-1)</f>
        <v>-23</v>
      </c>
      <c r="Y36" s="2" t="n">
        <f aca="false">MAX(X35+IF($A36=Y$4,1,-1),Y35-1,X36-1)</f>
        <v>-23</v>
      </c>
      <c r="Z36" s="2" t="n">
        <f aca="false">MAX(Y35+IF($A36=Z$4,1,-1),Z35-1,Y36-1)</f>
        <v>-23</v>
      </c>
      <c r="AA36" s="2" t="n">
        <f aca="false">MAX(Z35+IF($A36=AA$4,1,-1),AA35-1,Z36-1)</f>
        <v>-23</v>
      </c>
      <c r="AB36" s="2" t="n">
        <f aca="false">MAX(AA35+IF($A36=AB$4,1,-1),AB35-1,AA36-1)</f>
        <v>-23</v>
      </c>
      <c r="AC36" s="2" t="n">
        <f aca="false">MAX(AB35+IF($A36=AC$4,1,-1),AC35-1,AB36-1)</f>
        <v>-24</v>
      </c>
      <c r="AD36" s="2" t="n">
        <f aca="false">MAX(AC35+IF($A36=AD$4,1,-1),AD35-1,AC36-1)</f>
        <v>-24</v>
      </c>
      <c r="AE36" s="2" t="n">
        <f aca="false">MAX(AD35+IF($A36=AE$4,1,-1),AE35-1,AD36-1)</f>
        <v>-24</v>
      </c>
      <c r="AF36" s="2" t="n">
        <f aca="false">MAX(AE35+IF($A36=AF$4,1,-1),AF35-1,AE36-1)</f>
        <v>-25</v>
      </c>
      <c r="AG36" s="2" t="n">
        <f aca="false">MAX(AF35+IF($A36=AG$4,1,-1),AG35-1,AF36-1)</f>
        <v>-25</v>
      </c>
      <c r="AH36" s="2" t="n">
        <f aca="false">MAX(AG35+IF($A36=AH$4,1,-1),AH35-1,AG36-1)</f>
        <v>-25</v>
      </c>
      <c r="AI36" s="2" t="n">
        <f aca="false">MAX(AH35+IF($A36=AI$4,1,-1),AI35-1,AH36-1)</f>
        <v>-25</v>
      </c>
      <c r="AJ36" s="2" t="n">
        <f aca="false">MAX(AI35+IF($A36=AJ$4,1,-1),AJ35-1,AI36-1)</f>
        <v>-26</v>
      </c>
      <c r="AK36" s="2" t="n">
        <f aca="false">MAX(AJ35+IF($A36=AK$4,1,-1),AK35-1,AJ36-1)</f>
        <v>-27</v>
      </c>
      <c r="AL36" s="2" t="n">
        <f aca="false">MAX(AK35+IF($A36=AL$4,1,-1),AL35-1,AK36-1)</f>
        <v>-28</v>
      </c>
      <c r="AM36" s="2" t="n">
        <f aca="false">MAX(AL35+IF($A36=AM$4,1,-1),AM35-1,AL36-1)</f>
        <v>-29</v>
      </c>
      <c r="AN36" s="2" t="n">
        <f aca="false">MAX(AM35+IF($A36=AN$4,1,-1),AN35-1,AM36-1)</f>
        <v>-30</v>
      </c>
      <c r="AO36" s="2" t="n">
        <f aca="false">MAX(AN35+IF($A36=AO$4,1,-1),AO35-1,AN36-1)</f>
        <v>-31</v>
      </c>
      <c r="AP36" s="2" t="n">
        <f aca="false">MAX(AO35+IF($A36=AP$4,1,-1),AP35-1,AO36-1)</f>
        <v>-32</v>
      </c>
      <c r="AQ36" s="2" t="n">
        <f aca="false">MAX(AP35+IF($A36=AQ$4,1,-1),AQ35-1,AP36-1)</f>
        <v>-33</v>
      </c>
      <c r="AR36" s="2" t="n">
        <f aca="false">MAX(AQ35+IF($A36=AR$4,1,-1),AR35-1,AQ36-1)</f>
        <v>-34</v>
      </c>
      <c r="AS36" s="2" t="n">
        <f aca="false">MAX(AR35+IF($A36=AS$4,1,-1),AS35-1,AR36-1)</f>
        <v>-35</v>
      </c>
      <c r="AT36" s="2" t="n">
        <f aca="false">MAX(AS35+IF($A36=AT$4,1,-1),AT35-1,AS36-1)</f>
        <v>-36</v>
      </c>
      <c r="AU36" s="2" t="n">
        <f aca="false">MAX(AT35+IF($A36=AU$4,1,-1),AU35-1,AT36-1)</f>
        <v>-37</v>
      </c>
      <c r="AV36" s="2" t="n">
        <f aca="false">MAX(AU35+IF($A36=AV$4,1,-1),AV35-1,AU36-1)</f>
        <v>-38</v>
      </c>
      <c r="AW36" s="2" t="n">
        <f aca="false">MAX(AV35+IF($A36=AW$4,1,-1),AW35-1,AV36-1)</f>
        <v>-39</v>
      </c>
      <c r="AX36" s="2" t="n">
        <f aca="false">MAX(AW35+IF($A36=AX$4,1,-1),AX35-1,AW36-1)</f>
        <v>-39</v>
      </c>
      <c r="AY36" s="2" t="n">
        <f aca="false">MAX(AX35+IF($A36=AY$4,1,-1),AY35-1,AX36-1)</f>
        <v>-39</v>
      </c>
      <c r="AZ36" s="2" t="n">
        <f aca="false">MAX(AY35+IF($A36=AZ$4,1,-1),AZ35-1,AY36-1)</f>
        <v>-40</v>
      </c>
      <c r="BA36" s="2" t="n">
        <f aca="false">MAX(AZ35+IF($A36=BA$4,1,-1),BA35-1,AZ36-1)</f>
        <v>-41</v>
      </c>
      <c r="BB36" s="2" t="n">
        <f aca="false">MAX(BA35+IF($A36=BB$4,1,-1),BB35-1,BA36-1)</f>
        <v>-42</v>
      </c>
      <c r="BC36" s="2" t="n">
        <f aca="false">MAX(BB35+IF($A36=BC$4,1,-1),BC35-1,BB36-1)</f>
        <v>-43</v>
      </c>
      <c r="BD36" s="2" t="n">
        <f aca="false">MAX(BC35+IF($A36=BD$4,1,-1),BD35-1,BC36-1)</f>
        <v>-44</v>
      </c>
      <c r="BE36" s="2" t="n">
        <f aca="false">MAX(BD35+IF($A36=BE$4,1,-1),BE35-1,BD36-1)</f>
        <v>-45</v>
      </c>
      <c r="BF36" s="2" t="n">
        <f aca="false">MAX(BE35+IF($A36=BF$4,1,-1),BF35-1,BE36-1)</f>
        <v>-46</v>
      </c>
      <c r="BG36" s="2" t="n">
        <f aca="false">MAX(BF35+IF($A36=BG$4,1,-1),BG35-1,BF36-1)</f>
        <v>-47</v>
      </c>
      <c r="BH36" s="2" t="n">
        <f aca="false">MAX(BG35+IF($A36=BH$4,1,-1),BH35-1,BG36-1)</f>
        <v>-48</v>
      </c>
      <c r="BI36" s="2" t="n">
        <f aca="false">MAX(BH35+IF($A36=BI$4,1,-1),BI35-1,BH36-1)</f>
        <v>-47</v>
      </c>
      <c r="BJ36" s="2" t="n">
        <f aca="false">MAX(BI35+IF($A36=BJ$4,1,-1),BJ35-1,BI36-1)</f>
        <v>-48</v>
      </c>
      <c r="BK36" s="2" t="n">
        <f aca="false">MAX(BJ35+IF($A36=BK$4,1,-1),BK35-1,BJ36-1)</f>
        <v>-49</v>
      </c>
      <c r="BL36" s="2" t="n">
        <f aca="false">MAX(BK35+IF($A36=BL$4,1,-1),BL35-1,BK36-1)</f>
        <v>-50</v>
      </c>
      <c r="BM36" s="2" t="n">
        <f aca="false">MAX(BL35+IF($A36=BM$4,1,-1),BM35-1,BL36-1)</f>
        <v>-51</v>
      </c>
      <c r="BN36" s="2" t="n">
        <f aca="false">MAX(BM35+IF($A36=BN$4,1,-1),BN35-1,BM36-1)</f>
        <v>-52</v>
      </c>
      <c r="BO36" s="2" t="n">
        <f aca="false">MAX(BN35+IF($A36=BO$4,1,-1),BO35-1,BN36-1)</f>
        <v>-53</v>
      </c>
      <c r="BP36" s="2" t="n">
        <f aca="false">MAX(BO35+IF($A36=BP$4,1,-1),BP35-1,BO36-1)</f>
        <v>-54</v>
      </c>
      <c r="BQ36" s="2" t="n">
        <f aca="false">MAX(BP35+IF($A36=BQ$4,1,-1),BQ35-1,BP36-1)</f>
        <v>-55</v>
      </c>
      <c r="BR36" s="2" t="n">
        <f aca="false">MAX(BQ35+IF($A36=BR$4,1,-1),BR35-1,BQ36-1)</f>
        <v>-56</v>
      </c>
      <c r="BS36" s="2" t="n">
        <f aca="false">MAX(BR35+IF($A36=BS$4,1,-1),BS35-1,BR36-1)</f>
        <v>-57</v>
      </c>
      <c r="BT36" s="2" t="n">
        <f aca="false">MAX(BS35+IF($A36=BT$4,1,-1),BT35-1,BS36-1)</f>
        <v>-58</v>
      </c>
      <c r="BU36" s="2" t="n">
        <f aca="false">MAX(BT35+IF($A36=BU$4,1,-1),BU35-1,BT36-1)</f>
        <v>-59</v>
      </c>
      <c r="BV36" s="2" t="n">
        <f aca="false">MAX(BU35+IF($A36=BV$4,1,-1),BV35-1,BU36-1)</f>
        <v>-60</v>
      </c>
      <c r="BW36" s="2" t="n">
        <f aca="false">MAX(BV35+IF($A36=BW$4,1,-1),BW35-1,BV36-1)</f>
        <v>-61</v>
      </c>
      <c r="BX36" s="2" t="n">
        <f aca="false">MAX(BW35+IF($A36=BX$4,1,-1),BX35-1,BW36-1)</f>
        <v>-62</v>
      </c>
      <c r="BY36" s="2" t="n">
        <f aca="false">MAX(BX35+IF($A36=BY$4,1,-1),BY35-1,BX36-1)</f>
        <v>-63</v>
      </c>
      <c r="BZ36" s="2" t="n">
        <f aca="false">MAX(BY35+IF($A36=BZ$4,1,-1),BZ35-1,BY36-1)</f>
        <v>-64</v>
      </c>
      <c r="CA36" s="2" t="n">
        <f aca="false">MAX(BZ35+IF($A36=CA$4,1,-1),CA35-1,BZ36-1)</f>
        <v>-65</v>
      </c>
      <c r="CB36" s="2" t="n">
        <f aca="false">MAX(CA35+IF($A36=CB$4,1,-1),CB35-1,CA36-1)</f>
        <v>-66</v>
      </c>
      <c r="CC36" s="2" t="n">
        <f aca="false">MAX(CB35+IF($A36=CC$4,1,-1),CC35-1,CB36-1)</f>
        <v>-67</v>
      </c>
      <c r="CD36" s="2" t="n">
        <f aca="false">MAX(CC35+IF($A36=CD$4,1,-1),CD35-1,CC36-1)</f>
        <v>-68</v>
      </c>
      <c r="CE36" s="2" t="n">
        <f aca="false">MAX(CD35+IF($A36=CE$4,1,-1),CE35-1,CD36-1)</f>
        <v>-69</v>
      </c>
      <c r="CF36" s="2" t="n">
        <f aca="false">MAX(CE35+IF($A36=CF$4,1,-1),CF35-1,CE36-1)</f>
        <v>-70</v>
      </c>
      <c r="CG36" s="2" t="n">
        <f aca="false">MAX(CF35+IF($A36=CG$4,1,-1),CG35-1,CF36-1)</f>
        <v>-71</v>
      </c>
      <c r="CH36" s="2" t="n">
        <f aca="false">MAX(CG35+IF($A36=CH$4,1,-1),CH35-1,CG36-1)</f>
        <v>-72</v>
      </c>
      <c r="CI36" s="2" t="n">
        <f aca="false">MAX(CH35+IF($A36=CI$4,1,-1),CI35-1,CH36-1)</f>
        <v>-73</v>
      </c>
      <c r="CJ36" s="2" t="n">
        <f aca="false">MAX(CI35+IF($A36=CJ$4,1,-1),CJ35-1,CI36-1)</f>
        <v>-74</v>
      </c>
      <c r="CK36" s="2" t="n">
        <f aca="false">MAX(CJ35+IF($A36=CK$4,1,-1),CK35-1,CJ36-1)</f>
        <v>-75</v>
      </c>
      <c r="CL36" s="2" t="n">
        <f aca="false">MAX(CK35+IF($A36=CL$4,1,-1),CL35-1,CK36-1)</f>
        <v>-76</v>
      </c>
      <c r="CM36" s="2" t="n">
        <f aca="false">MAX(CL35+IF($A36=CM$4,1,-1),CM35-1,CL36-1)</f>
        <v>-77</v>
      </c>
      <c r="CN36" s="2" t="n">
        <f aca="false">MAX(CM35+IF($A36=CN$4,1,-1),CN35-1,CM36-1)</f>
        <v>-78</v>
      </c>
      <c r="CO36" s="2" t="n">
        <f aca="false">MAX(CN35+IF($A36=CO$4,1,-1),CO35-1,CN36-1)</f>
        <v>-79</v>
      </c>
      <c r="CP36" s="2" t="n">
        <f aca="false">MAX(CO35+IF($A36=CP$4,1,-1),CP35-1,CO36-1)</f>
        <v>-80</v>
      </c>
      <c r="CQ36" s="2" t="n">
        <f aca="false">MAX(CP35+IF($A36=CQ$4,1,-1),CQ35-1,CP36-1)</f>
        <v>-81</v>
      </c>
    </row>
    <row r="37" customFormat="false" ht="15" hidden="false" customHeight="false" outlineLevel="0" collapsed="false">
      <c r="A37" s="4" t="s">
        <v>163</v>
      </c>
      <c r="B37" s="12" t="n">
        <v>-32</v>
      </c>
      <c r="C37" s="2" t="n">
        <f aca="false">MAX(B36+IF($A37=C$4,1,-1),C36-1,B37-1)</f>
        <v>-32</v>
      </c>
      <c r="D37" s="2" t="n">
        <f aca="false">MAX(C36+IF($A37=D$4,1,-1),D36-1,C37-1)</f>
        <v>-30</v>
      </c>
      <c r="E37" s="2" t="n">
        <f aca="false">MAX(D36+IF($A37=E$4,1,-1),E36-1,D37-1)</f>
        <v>-28</v>
      </c>
      <c r="F37" s="2" t="n">
        <f aca="false">MAX(E36+IF($A37=F$4,1,-1),F36-1,E37-1)</f>
        <v>-26</v>
      </c>
      <c r="G37" s="2" t="n">
        <f aca="false">MAX(F36+IF($A37=G$4,1,-1),G36-1,F37-1)</f>
        <v>-26</v>
      </c>
      <c r="H37" s="2" t="n">
        <f aca="false">MAX(G36+IF($A37=H$4,1,-1),H36-1,G37-1)</f>
        <v>-26</v>
      </c>
      <c r="I37" s="2" t="n">
        <f aca="false">MAX(H36+IF($A37=I$4,1,-1),I36-1,H37-1)</f>
        <v>-26</v>
      </c>
      <c r="J37" s="2" t="n">
        <f aca="false">MAX(I36+IF($A37=J$4,1,-1),J36-1,I37-1)</f>
        <v>-26</v>
      </c>
      <c r="K37" s="2" t="n">
        <f aca="false">MAX(J36+IF($A37=K$4,1,-1),K36-1,J37-1)</f>
        <v>-25</v>
      </c>
      <c r="L37" s="2" t="n">
        <f aca="false">MAX(K36+IF($A37=L$4,1,-1),L36-1,K37-1)</f>
        <v>-25</v>
      </c>
      <c r="M37" s="2" t="n">
        <f aca="false">MAX(L36+IF($A37=M$4,1,-1),M36-1,L37-1)</f>
        <v>-25</v>
      </c>
      <c r="N37" s="2" t="n">
        <f aca="false">MAX(M36+IF($A37=N$4,1,-1),N36-1,M37-1)</f>
        <v>-23</v>
      </c>
      <c r="O37" s="2" t="n">
        <f aca="false">MAX(N36+IF($A37=O$4,1,-1),O36-1,N37-1)</f>
        <v>-22</v>
      </c>
      <c r="P37" s="2" t="n">
        <f aca="false">MAX(O36+IF($A37=P$4,1,-1),P36-1,O37-1)</f>
        <v>-22</v>
      </c>
      <c r="Q37" s="2" t="n">
        <f aca="false">MAX(P36+IF($A37=Q$4,1,-1),Q36-1,P37-1)</f>
        <v>-22</v>
      </c>
      <c r="R37" s="2" t="n">
        <f aca="false">MAX(Q36+IF($A37=R$4,1,-1),R36-1,Q37-1)</f>
        <v>-22</v>
      </c>
      <c r="S37" s="2" t="n">
        <f aca="false">MAX(R36+IF($A37=S$4,1,-1),S36-1,R37-1)</f>
        <v>-23</v>
      </c>
      <c r="T37" s="2" t="n">
        <f aca="false">MAX(S36+IF($A37=T$4,1,-1),T36-1,S37-1)</f>
        <v>-24</v>
      </c>
      <c r="U37" s="2" t="n">
        <f aca="false">MAX(T36+IF($A37=U$4,1,-1),U36-1,T37-1)</f>
        <v>-24</v>
      </c>
      <c r="V37" s="2" t="n">
        <f aca="false">MAX(U36+IF($A37=V$4,1,-1),V36-1,U37-1)</f>
        <v>-24</v>
      </c>
      <c r="W37" s="2" t="n">
        <f aca="false">MAX(V36+IF($A37=W$4,1,-1),W36-1,V37-1)</f>
        <v>-24</v>
      </c>
      <c r="X37" s="2" t="n">
        <f aca="false">MAX(W36+IF($A37=X$4,1,-1),X36-1,W37-1)</f>
        <v>-24</v>
      </c>
      <c r="Y37" s="2" t="n">
        <f aca="false">MAX(X36+IF($A37=Y$4,1,-1),Y36-1,X37-1)</f>
        <v>-24</v>
      </c>
      <c r="Z37" s="2" t="n">
        <f aca="false">MAX(Y36+IF($A37=Z$4,1,-1),Z36-1,Y37-1)</f>
        <v>-24</v>
      </c>
      <c r="AA37" s="2" t="n">
        <f aca="false">MAX(Z36+IF($A37=AA$4,1,-1),AA36-1,Z37-1)</f>
        <v>-24</v>
      </c>
      <c r="AB37" s="2" t="n">
        <f aca="false">MAX(AA36+IF($A37=AB$4,1,-1),AB36-1,AA37-1)</f>
        <v>-24</v>
      </c>
      <c r="AC37" s="2" t="n">
        <f aca="false">MAX(AB36+IF($A37=AC$4,1,-1),AC36-1,AB37-1)</f>
        <v>-24</v>
      </c>
      <c r="AD37" s="2" t="n">
        <f aca="false">MAX(AC36+IF($A37=AD$4,1,-1),AD36-1,AC37-1)</f>
        <v>-25</v>
      </c>
      <c r="AE37" s="2" t="n">
        <f aca="false">MAX(AD36+IF($A37=AE$4,1,-1),AE36-1,AD37-1)</f>
        <v>-25</v>
      </c>
      <c r="AF37" s="2" t="n">
        <f aca="false">MAX(AE36+IF($A37=AF$4,1,-1),AF36-1,AE37-1)</f>
        <v>-25</v>
      </c>
      <c r="AG37" s="2" t="n">
        <f aca="false">MAX(AF36+IF($A37=AG$4,1,-1),AG36-1,AF37-1)</f>
        <v>-26</v>
      </c>
      <c r="AH37" s="2" t="n">
        <f aca="false">MAX(AG36+IF($A37=AH$4,1,-1),AH36-1,AG37-1)</f>
        <v>-26</v>
      </c>
      <c r="AI37" s="2" t="n">
        <f aca="false">MAX(AH36+IF($A37=AI$4,1,-1),AI36-1,AH37-1)</f>
        <v>-26</v>
      </c>
      <c r="AJ37" s="2" t="n">
        <f aca="false">MAX(AI36+IF($A37=AJ$4,1,-1),AJ36-1,AI37-1)</f>
        <v>-26</v>
      </c>
      <c r="AK37" s="2" t="n">
        <f aca="false">MAX(AJ36+IF($A37=AK$4,1,-1),AK36-1,AJ37-1)</f>
        <v>-27</v>
      </c>
      <c r="AL37" s="2" t="n">
        <f aca="false">MAX(AK36+IF($A37=AL$4,1,-1),AL36-1,AK37-1)</f>
        <v>-28</v>
      </c>
      <c r="AM37" s="2" t="n">
        <f aca="false">MAX(AL36+IF($A37=AM$4,1,-1),AM36-1,AL37-1)</f>
        <v>-29</v>
      </c>
      <c r="AN37" s="2" t="n">
        <f aca="false">MAX(AM36+IF($A37=AN$4,1,-1),AN36-1,AM37-1)</f>
        <v>-30</v>
      </c>
      <c r="AO37" s="2" t="n">
        <f aca="false">MAX(AN36+IF($A37=AO$4,1,-1),AO36-1,AN37-1)</f>
        <v>-31</v>
      </c>
      <c r="AP37" s="2" t="n">
        <f aca="false">MAX(AO36+IF($A37=AP$4,1,-1),AP36-1,AO37-1)</f>
        <v>-32</v>
      </c>
      <c r="AQ37" s="2" t="n">
        <f aca="false">MAX(AP36+IF($A37=AQ$4,1,-1),AQ36-1,AP37-1)</f>
        <v>-33</v>
      </c>
      <c r="AR37" s="2" t="n">
        <f aca="false">MAX(AQ36+IF($A37=AR$4,1,-1),AR36-1,AQ37-1)</f>
        <v>-34</v>
      </c>
      <c r="AS37" s="2" t="n">
        <f aca="false">MAX(AR36+IF($A37=AS$4,1,-1),AS36-1,AR37-1)</f>
        <v>-35</v>
      </c>
      <c r="AT37" s="2" t="n">
        <f aca="false">MAX(AS36+IF($A37=AT$4,1,-1),AT36-1,AS37-1)</f>
        <v>-36</v>
      </c>
      <c r="AU37" s="2" t="n">
        <f aca="false">MAX(AT36+IF($A37=AU$4,1,-1),AU36-1,AT37-1)</f>
        <v>-37</v>
      </c>
      <c r="AV37" s="2" t="n">
        <f aca="false">MAX(AU36+IF($A37=AV$4,1,-1),AV36-1,AU37-1)</f>
        <v>-38</v>
      </c>
      <c r="AW37" s="2" t="n">
        <f aca="false">MAX(AV36+IF($A37=AW$4,1,-1),AW36-1,AV37-1)</f>
        <v>-39</v>
      </c>
      <c r="AX37" s="2" t="n">
        <f aca="false">MAX(AW36+IF($A37=AX$4,1,-1),AX36-1,AW37-1)</f>
        <v>-40</v>
      </c>
      <c r="AY37" s="2" t="n">
        <f aca="false">MAX(AX36+IF($A37=AY$4,1,-1),AY36-1,AX37-1)</f>
        <v>-40</v>
      </c>
      <c r="AZ37" s="2" t="n">
        <f aca="false">MAX(AY36+IF($A37=AZ$4,1,-1),AZ36-1,AY37-1)</f>
        <v>-40</v>
      </c>
      <c r="BA37" s="2" t="n">
        <f aca="false">MAX(AZ36+IF($A37=BA$4,1,-1),BA36-1,AZ37-1)</f>
        <v>-41</v>
      </c>
      <c r="BB37" s="2" t="n">
        <f aca="false">MAX(BA36+IF($A37=BB$4,1,-1),BB36-1,BA37-1)</f>
        <v>-42</v>
      </c>
      <c r="BC37" s="2" t="n">
        <f aca="false">MAX(BB36+IF($A37=BC$4,1,-1),BC36-1,BB37-1)</f>
        <v>-43</v>
      </c>
      <c r="BD37" s="2" t="n">
        <f aca="false">MAX(BC36+IF($A37=BD$4,1,-1),BD36-1,BC37-1)</f>
        <v>-44</v>
      </c>
      <c r="BE37" s="2" t="n">
        <f aca="false">MAX(BD36+IF($A37=BE$4,1,-1),BE36-1,BD37-1)</f>
        <v>-45</v>
      </c>
      <c r="BF37" s="2" t="n">
        <f aca="false">MAX(BE36+IF($A37=BF$4,1,-1),BF36-1,BE37-1)</f>
        <v>-46</v>
      </c>
      <c r="BG37" s="2" t="n">
        <f aca="false">MAX(BF36+IF($A37=BG$4,1,-1),BG36-1,BF37-1)</f>
        <v>-47</v>
      </c>
      <c r="BH37" s="2" t="n">
        <f aca="false">MAX(BG36+IF($A37=BH$4,1,-1),BH36-1,BG37-1)</f>
        <v>-48</v>
      </c>
      <c r="BI37" s="2" t="n">
        <f aca="false">MAX(BH36+IF($A37=BI$4,1,-1),BI36-1,BH37-1)</f>
        <v>-48</v>
      </c>
      <c r="BJ37" s="2" t="n">
        <f aca="false">MAX(BI36+IF($A37=BJ$4,1,-1),BJ36-1,BI37-1)</f>
        <v>-48</v>
      </c>
      <c r="BK37" s="2" t="n">
        <f aca="false">MAX(BJ36+IF($A37=BK$4,1,-1),BK36-1,BJ37-1)</f>
        <v>-49</v>
      </c>
      <c r="BL37" s="2" t="n">
        <f aca="false">MAX(BK36+IF($A37=BL$4,1,-1),BL36-1,BK37-1)</f>
        <v>-50</v>
      </c>
      <c r="BM37" s="2" t="n">
        <f aca="false">MAX(BL36+IF($A37=BM$4,1,-1),BM36-1,BL37-1)</f>
        <v>-51</v>
      </c>
      <c r="BN37" s="2" t="n">
        <f aca="false">MAX(BM36+IF($A37=BN$4,1,-1),BN36-1,BM37-1)</f>
        <v>-52</v>
      </c>
      <c r="BO37" s="2" t="n">
        <f aca="false">MAX(BN36+IF($A37=BO$4,1,-1),BO36-1,BN37-1)</f>
        <v>-53</v>
      </c>
      <c r="BP37" s="2" t="n">
        <f aca="false">MAX(BO36+IF($A37=BP$4,1,-1),BP36-1,BO37-1)</f>
        <v>-54</v>
      </c>
      <c r="BQ37" s="2" t="n">
        <f aca="false">MAX(BP36+IF($A37=BQ$4,1,-1),BQ36-1,BP37-1)</f>
        <v>-55</v>
      </c>
      <c r="BR37" s="2" t="n">
        <f aca="false">MAX(BQ36+IF($A37=BR$4,1,-1),BR36-1,BQ37-1)</f>
        <v>-56</v>
      </c>
      <c r="BS37" s="2" t="n">
        <f aca="false">MAX(BR36+IF($A37=BS$4,1,-1),BS36-1,BR37-1)</f>
        <v>-57</v>
      </c>
      <c r="BT37" s="2" t="n">
        <f aca="false">MAX(BS36+IF($A37=BT$4,1,-1),BT36-1,BS37-1)</f>
        <v>-58</v>
      </c>
      <c r="BU37" s="2" t="n">
        <f aca="false">MAX(BT36+IF($A37=BU$4,1,-1),BU36-1,BT37-1)</f>
        <v>-59</v>
      </c>
      <c r="BV37" s="2" t="n">
        <f aca="false">MAX(BU36+IF($A37=BV$4,1,-1),BV36-1,BU37-1)</f>
        <v>-60</v>
      </c>
      <c r="BW37" s="2" t="n">
        <f aca="false">MAX(BV36+IF($A37=BW$4,1,-1),BW36-1,BV37-1)</f>
        <v>-61</v>
      </c>
      <c r="BX37" s="2" t="n">
        <f aca="false">MAX(BW36+IF($A37=BX$4,1,-1),BX36-1,BW37-1)</f>
        <v>-62</v>
      </c>
      <c r="BY37" s="2" t="n">
        <f aca="false">MAX(BX36+IF($A37=BY$4,1,-1),BY36-1,BX37-1)</f>
        <v>-63</v>
      </c>
      <c r="BZ37" s="2" t="n">
        <f aca="false">MAX(BY36+IF($A37=BZ$4,1,-1),BZ36-1,BY37-1)</f>
        <v>-64</v>
      </c>
      <c r="CA37" s="2" t="n">
        <f aca="false">MAX(BZ36+IF($A37=CA$4,1,-1),CA36-1,BZ37-1)</f>
        <v>-65</v>
      </c>
      <c r="CB37" s="2" t="n">
        <f aca="false">MAX(CA36+IF($A37=CB$4,1,-1),CB36-1,CA37-1)</f>
        <v>-66</v>
      </c>
      <c r="CC37" s="2" t="n">
        <f aca="false">MAX(CB36+IF($A37=CC$4,1,-1),CC36-1,CB37-1)</f>
        <v>-67</v>
      </c>
      <c r="CD37" s="2" t="n">
        <f aca="false">MAX(CC36+IF($A37=CD$4,1,-1),CD36-1,CC37-1)</f>
        <v>-68</v>
      </c>
      <c r="CE37" s="2" t="n">
        <f aca="false">MAX(CD36+IF($A37=CE$4,1,-1),CE36-1,CD37-1)</f>
        <v>-69</v>
      </c>
      <c r="CF37" s="2" t="n">
        <f aca="false">MAX(CE36+IF($A37=CF$4,1,-1),CF36-1,CE37-1)</f>
        <v>-70</v>
      </c>
      <c r="CG37" s="2" t="n">
        <f aca="false">MAX(CF36+IF($A37=CG$4,1,-1),CG36-1,CF37-1)</f>
        <v>-71</v>
      </c>
      <c r="CH37" s="2" t="n">
        <f aca="false">MAX(CG36+IF($A37=CH$4,1,-1),CH36-1,CG37-1)</f>
        <v>-72</v>
      </c>
      <c r="CI37" s="2" t="n">
        <f aca="false">MAX(CH36+IF($A37=CI$4,1,-1),CI36-1,CH37-1)</f>
        <v>-73</v>
      </c>
      <c r="CJ37" s="2" t="n">
        <f aca="false">MAX(CI36+IF($A37=CJ$4,1,-1),CJ36-1,CI37-1)</f>
        <v>-74</v>
      </c>
      <c r="CK37" s="2" t="n">
        <f aca="false">MAX(CJ36+IF($A37=CK$4,1,-1),CK36-1,CJ37-1)</f>
        <v>-75</v>
      </c>
      <c r="CL37" s="2" t="n">
        <f aca="false">MAX(CK36+IF($A37=CL$4,1,-1),CL36-1,CK37-1)</f>
        <v>-76</v>
      </c>
      <c r="CM37" s="2" t="n">
        <f aca="false">MAX(CL36+IF($A37=CM$4,1,-1),CM36-1,CL37-1)</f>
        <v>-77</v>
      </c>
      <c r="CN37" s="2" t="n">
        <f aca="false">MAX(CM36+IF($A37=CN$4,1,-1),CN36-1,CM37-1)</f>
        <v>-78</v>
      </c>
      <c r="CO37" s="2" t="n">
        <f aca="false">MAX(CN36+IF($A37=CO$4,1,-1),CO36-1,CN37-1)</f>
        <v>-79</v>
      </c>
      <c r="CP37" s="2" t="n">
        <f aca="false">MAX(CO36+IF($A37=CP$4,1,-1),CP36-1,CO37-1)</f>
        <v>-80</v>
      </c>
      <c r="CQ37" s="2" t="n">
        <f aca="false">MAX(CP36+IF($A37=CQ$4,1,-1),CQ36-1,CP37-1)</f>
        <v>-81</v>
      </c>
    </row>
    <row r="38" customFormat="false" ht="15" hidden="false" customHeight="false" outlineLevel="0" collapsed="false">
      <c r="A38" s="4" t="s">
        <v>164</v>
      </c>
      <c r="B38" s="12" t="n">
        <v>-33</v>
      </c>
      <c r="C38" s="2" t="n">
        <f aca="false">MAX(B37+IF($A38=C$4,1,-1),C37-1,B38-1)</f>
        <v>-33</v>
      </c>
      <c r="D38" s="2" t="n">
        <f aca="false">MAX(C37+IF($A38=D$4,1,-1),D37-1,C38-1)</f>
        <v>-31</v>
      </c>
      <c r="E38" s="2" t="n">
        <f aca="false">MAX(D37+IF($A38=E$4,1,-1),E37-1,D38-1)</f>
        <v>-29</v>
      </c>
      <c r="F38" s="2" t="n">
        <f aca="false">MAX(E37+IF($A38=F$4,1,-1),F37-1,E38-1)</f>
        <v>-27</v>
      </c>
      <c r="G38" s="2" t="n">
        <f aca="false">MAX(F37+IF($A38=G$4,1,-1),G37-1,F38-1)</f>
        <v>-27</v>
      </c>
      <c r="H38" s="2" t="n">
        <f aca="false">MAX(G37+IF($A38=H$4,1,-1),H37-1,G38-1)</f>
        <v>-27</v>
      </c>
      <c r="I38" s="2" t="n">
        <f aca="false">MAX(H37+IF($A38=I$4,1,-1),I37-1,H38-1)</f>
        <v>-27</v>
      </c>
      <c r="J38" s="2" t="n">
        <f aca="false">MAX(I37+IF($A38=J$4,1,-1),J37-1,I38-1)</f>
        <v>-27</v>
      </c>
      <c r="K38" s="2" t="n">
        <f aca="false">MAX(J37+IF($A38=K$4,1,-1),K37-1,J38-1)</f>
        <v>-26</v>
      </c>
      <c r="L38" s="2" t="n">
        <f aca="false">MAX(K37+IF($A38=L$4,1,-1),L37-1,K38-1)</f>
        <v>-26</v>
      </c>
      <c r="M38" s="2" t="n">
        <f aca="false">MAX(L37+IF($A38=M$4,1,-1),M37-1,L38-1)</f>
        <v>-26</v>
      </c>
      <c r="N38" s="2" t="n">
        <f aca="false">MAX(M37+IF($A38=N$4,1,-1),N37-1,M38-1)</f>
        <v>-24</v>
      </c>
      <c r="O38" s="2" t="n">
        <f aca="false">MAX(N37+IF($A38=O$4,1,-1),O37-1,N38-1)</f>
        <v>-23</v>
      </c>
      <c r="P38" s="2" t="n">
        <f aca="false">MAX(O37+IF($A38=P$4,1,-1),P37-1,O38-1)</f>
        <v>-23</v>
      </c>
      <c r="Q38" s="2" t="n">
        <f aca="false">MAX(P37+IF($A38=Q$4,1,-1),Q37-1,P38-1)</f>
        <v>-23</v>
      </c>
      <c r="R38" s="2" t="n">
        <f aca="false">MAX(Q37+IF($A38=R$4,1,-1),R37-1,Q38-1)</f>
        <v>-23</v>
      </c>
      <c r="S38" s="2" t="n">
        <f aca="false">MAX(R37+IF($A38=S$4,1,-1),S37-1,R38-1)</f>
        <v>-23</v>
      </c>
      <c r="T38" s="2" t="n">
        <f aca="false">MAX(S37+IF($A38=T$4,1,-1),T37-1,S38-1)</f>
        <v>-24</v>
      </c>
      <c r="U38" s="2" t="n">
        <f aca="false">MAX(T37+IF($A38=U$4,1,-1),U37-1,T38-1)</f>
        <v>-25</v>
      </c>
      <c r="V38" s="2" t="n">
        <f aca="false">MAX(U37+IF($A38=V$4,1,-1),V37-1,U38-1)</f>
        <v>-25</v>
      </c>
      <c r="W38" s="2" t="n">
        <f aca="false">MAX(V37+IF($A38=W$4,1,-1),W37-1,V38-1)</f>
        <v>-25</v>
      </c>
      <c r="X38" s="2" t="n">
        <f aca="false">MAX(W37+IF($A38=X$4,1,-1),X37-1,W38-1)</f>
        <v>-25</v>
      </c>
      <c r="Y38" s="2" t="n">
        <f aca="false">MAX(X37+IF($A38=Y$4,1,-1),Y37-1,X38-1)</f>
        <v>-25</v>
      </c>
      <c r="Z38" s="2" t="n">
        <f aca="false">MAX(Y37+IF($A38=Z$4,1,-1),Z37-1,Y38-1)</f>
        <v>-25</v>
      </c>
      <c r="AA38" s="2" t="n">
        <f aca="false">MAX(Z37+IF($A38=AA$4,1,-1),AA37-1,Z38-1)</f>
        <v>-25</v>
      </c>
      <c r="AB38" s="2" t="n">
        <f aca="false">MAX(AA37+IF($A38=AB$4,1,-1),AB37-1,AA38-1)</f>
        <v>-25</v>
      </c>
      <c r="AC38" s="2" t="n">
        <f aca="false">MAX(AB37+IF($A38=AC$4,1,-1),AC37-1,AB38-1)</f>
        <v>-25</v>
      </c>
      <c r="AD38" s="2" t="n">
        <f aca="false">MAX(AC37+IF($A38=AD$4,1,-1),AD37-1,AC38-1)</f>
        <v>-25</v>
      </c>
      <c r="AE38" s="2" t="n">
        <f aca="false">MAX(AD37+IF($A38=AE$4,1,-1),AE37-1,AD38-1)</f>
        <v>-26</v>
      </c>
      <c r="AF38" s="2" t="n">
        <f aca="false">MAX(AE37+IF($A38=AF$4,1,-1),AF37-1,AE38-1)</f>
        <v>-26</v>
      </c>
      <c r="AG38" s="2" t="n">
        <f aca="false">MAX(AF37+IF($A38=AG$4,1,-1),AG37-1,AF38-1)</f>
        <v>-26</v>
      </c>
      <c r="AH38" s="2" t="n">
        <f aca="false">MAX(AG37+IF($A38=AH$4,1,-1),AH37-1,AG38-1)</f>
        <v>-27</v>
      </c>
      <c r="AI38" s="2" t="n">
        <f aca="false">MAX(AH37+IF($A38=AI$4,1,-1),AI37-1,AH38-1)</f>
        <v>-27</v>
      </c>
      <c r="AJ38" s="2" t="n">
        <f aca="false">MAX(AI37+IF($A38=AJ$4,1,-1),AJ37-1,AI38-1)</f>
        <v>-27</v>
      </c>
      <c r="AK38" s="2" t="n">
        <f aca="false">MAX(AJ37+IF($A38=AK$4,1,-1),AK37-1,AJ38-1)</f>
        <v>-27</v>
      </c>
      <c r="AL38" s="2" t="n">
        <f aca="false">MAX(AK37+IF($A38=AL$4,1,-1),AL37-1,AK38-1)</f>
        <v>-28</v>
      </c>
      <c r="AM38" s="2" t="n">
        <f aca="false">MAX(AL37+IF($A38=AM$4,1,-1),AM37-1,AL38-1)</f>
        <v>-29</v>
      </c>
      <c r="AN38" s="2" t="n">
        <f aca="false">MAX(AM37+IF($A38=AN$4,1,-1),AN37-1,AM38-1)</f>
        <v>-30</v>
      </c>
      <c r="AO38" s="2" t="n">
        <f aca="false">MAX(AN37+IF($A38=AO$4,1,-1),AO37-1,AN38-1)</f>
        <v>-31</v>
      </c>
      <c r="AP38" s="2" t="n">
        <f aca="false">MAX(AO37+IF($A38=AP$4,1,-1),AP37-1,AO38-1)</f>
        <v>-32</v>
      </c>
      <c r="AQ38" s="2" t="n">
        <f aca="false">MAX(AP37+IF($A38=AQ$4,1,-1),AQ37-1,AP38-1)</f>
        <v>-33</v>
      </c>
      <c r="AR38" s="2" t="n">
        <f aca="false">MAX(AQ37+IF($A38=AR$4,1,-1),AR37-1,AQ38-1)</f>
        <v>-34</v>
      </c>
      <c r="AS38" s="2" t="n">
        <f aca="false">MAX(AR37+IF($A38=AS$4,1,-1),AS37-1,AR38-1)</f>
        <v>-35</v>
      </c>
      <c r="AT38" s="2" t="n">
        <f aca="false">MAX(AS37+IF($A38=AT$4,1,-1),AT37-1,AS38-1)</f>
        <v>-36</v>
      </c>
      <c r="AU38" s="2" t="n">
        <f aca="false">MAX(AT37+IF($A38=AU$4,1,-1),AU37-1,AT38-1)</f>
        <v>-37</v>
      </c>
      <c r="AV38" s="2" t="n">
        <f aca="false">MAX(AU37+IF($A38=AV$4,1,-1),AV37-1,AU38-1)</f>
        <v>-38</v>
      </c>
      <c r="AW38" s="2" t="n">
        <f aca="false">MAX(AV37+IF($A38=AW$4,1,-1),AW37-1,AV38-1)</f>
        <v>-39</v>
      </c>
      <c r="AX38" s="2" t="n">
        <f aca="false">MAX(AW37+IF($A38=AX$4,1,-1),AX37-1,AW38-1)</f>
        <v>-40</v>
      </c>
      <c r="AY38" s="2" t="n">
        <f aca="false">MAX(AX37+IF($A38=AY$4,1,-1),AY37-1,AX38-1)</f>
        <v>-41</v>
      </c>
      <c r="AZ38" s="2" t="n">
        <f aca="false">MAX(AY37+IF($A38=AZ$4,1,-1),AZ37-1,AY38-1)</f>
        <v>-41</v>
      </c>
      <c r="BA38" s="2" t="n">
        <f aca="false">MAX(AZ37+IF($A38=BA$4,1,-1),BA37-1,AZ38-1)</f>
        <v>-41</v>
      </c>
      <c r="BB38" s="2" t="n">
        <f aca="false">MAX(BA37+IF($A38=BB$4,1,-1),BB37-1,BA38-1)</f>
        <v>-42</v>
      </c>
      <c r="BC38" s="2" t="n">
        <f aca="false">MAX(BB37+IF($A38=BC$4,1,-1),BC37-1,BB38-1)</f>
        <v>-43</v>
      </c>
      <c r="BD38" s="2" t="n">
        <f aca="false">MAX(BC37+IF($A38=BD$4,1,-1),BD37-1,BC38-1)</f>
        <v>-44</v>
      </c>
      <c r="BE38" s="2" t="n">
        <f aca="false">MAX(BD37+IF($A38=BE$4,1,-1),BE37-1,BD38-1)</f>
        <v>-45</v>
      </c>
      <c r="BF38" s="2" t="n">
        <f aca="false">MAX(BE37+IF($A38=BF$4,1,-1),BF37-1,BE38-1)</f>
        <v>-46</v>
      </c>
      <c r="BG38" s="2" t="n">
        <f aca="false">MAX(BF37+IF($A38=BG$4,1,-1),BG37-1,BF38-1)</f>
        <v>-47</v>
      </c>
      <c r="BH38" s="2" t="n">
        <f aca="false">MAX(BG37+IF($A38=BH$4,1,-1),BH37-1,BG38-1)</f>
        <v>-48</v>
      </c>
      <c r="BI38" s="2" t="n">
        <f aca="false">MAX(BH37+IF($A38=BI$4,1,-1),BI37-1,BH38-1)</f>
        <v>-49</v>
      </c>
      <c r="BJ38" s="2" t="n">
        <f aca="false">MAX(BI37+IF($A38=BJ$4,1,-1),BJ37-1,BI38-1)</f>
        <v>-49</v>
      </c>
      <c r="BK38" s="2" t="n">
        <f aca="false">MAX(BJ37+IF($A38=BK$4,1,-1),BK37-1,BJ38-1)</f>
        <v>-49</v>
      </c>
      <c r="BL38" s="2" t="n">
        <f aca="false">MAX(BK37+IF($A38=BL$4,1,-1),BL37-1,BK38-1)</f>
        <v>-50</v>
      </c>
      <c r="BM38" s="2" t="n">
        <f aca="false">MAX(BL37+IF($A38=BM$4,1,-1),BM37-1,BL38-1)</f>
        <v>-51</v>
      </c>
      <c r="BN38" s="2" t="n">
        <f aca="false">MAX(BM37+IF($A38=BN$4,1,-1),BN37-1,BM38-1)</f>
        <v>-52</v>
      </c>
      <c r="BO38" s="2" t="n">
        <f aca="false">MAX(BN37+IF($A38=BO$4,1,-1),BO37-1,BN38-1)</f>
        <v>-53</v>
      </c>
      <c r="BP38" s="2" t="n">
        <f aca="false">MAX(BO37+IF($A38=BP$4,1,-1),BP37-1,BO38-1)</f>
        <v>-54</v>
      </c>
      <c r="BQ38" s="2" t="n">
        <f aca="false">MAX(BP37+IF($A38=BQ$4,1,-1),BQ37-1,BP38-1)</f>
        <v>-55</v>
      </c>
      <c r="BR38" s="2" t="n">
        <f aca="false">MAX(BQ37+IF($A38=BR$4,1,-1),BR37-1,BQ38-1)</f>
        <v>-56</v>
      </c>
      <c r="BS38" s="2" t="n">
        <f aca="false">MAX(BR37+IF($A38=BS$4,1,-1),BS37-1,BR38-1)</f>
        <v>-57</v>
      </c>
      <c r="BT38" s="2" t="n">
        <f aca="false">MAX(BS37+IF($A38=BT$4,1,-1),BT37-1,BS38-1)</f>
        <v>-58</v>
      </c>
      <c r="BU38" s="2" t="n">
        <f aca="false">MAX(BT37+IF($A38=BU$4,1,-1),BU37-1,BT38-1)</f>
        <v>-59</v>
      </c>
      <c r="BV38" s="2" t="n">
        <f aca="false">MAX(BU37+IF($A38=BV$4,1,-1),BV37-1,BU38-1)</f>
        <v>-60</v>
      </c>
      <c r="BW38" s="2" t="n">
        <f aca="false">MAX(BV37+IF($A38=BW$4,1,-1),BW37-1,BV38-1)</f>
        <v>-61</v>
      </c>
      <c r="BX38" s="2" t="n">
        <f aca="false">MAX(BW37+IF($A38=BX$4,1,-1),BX37-1,BW38-1)</f>
        <v>-62</v>
      </c>
      <c r="BY38" s="2" t="n">
        <f aca="false">MAX(BX37+IF($A38=BY$4,1,-1),BY37-1,BX38-1)</f>
        <v>-63</v>
      </c>
      <c r="BZ38" s="2" t="n">
        <f aca="false">MAX(BY37+IF($A38=BZ$4,1,-1),BZ37-1,BY38-1)</f>
        <v>-64</v>
      </c>
      <c r="CA38" s="2" t="n">
        <f aca="false">MAX(BZ37+IF($A38=CA$4,1,-1),CA37-1,BZ38-1)</f>
        <v>-65</v>
      </c>
      <c r="CB38" s="2" t="n">
        <f aca="false">MAX(CA37+IF($A38=CB$4,1,-1),CB37-1,CA38-1)</f>
        <v>-66</v>
      </c>
      <c r="CC38" s="2" t="n">
        <f aca="false">MAX(CB37+IF($A38=CC$4,1,-1),CC37-1,CB38-1)</f>
        <v>-67</v>
      </c>
      <c r="CD38" s="2" t="n">
        <f aca="false">MAX(CC37+IF($A38=CD$4,1,-1),CD37-1,CC38-1)</f>
        <v>-68</v>
      </c>
      <c r="CE38" s="2" t="n">
        <f aca="false">MAX(CD37+IF($A38=CE$4,1,-1),CE37-1,CD38-1)</f>
        <v>-69</v>
      </c>
      <c r="CF38" s="2" t="n">
        <f aca="false">MAX(CE37+IF($A38=CF$4,1,-1),CF37-1,CE38-1)</f>
        <v>-70</v>
      </c>
      <c r="CG38" s="2" t="n">
        <f aca="false">MAX(CF37+IF($A38=CG$4,1,-1),CG37-1,CF38-1)</f>
        <v>-71</v>
      </c>
      <c r="CH38" s="2" t="n">
        <f aca="false">MAX(CG37+IF($A38=CH$4,1,-1),CH37-1,CG38-1)</f>
        <v>-72</v>
      </c>
      <c r="CI38" s="2" t="n">
        <f aca="false">MAX(CH37+IF($A38=CI$4,1,-1),CI37-1,CH38-1)</f>
        <v>-73</v>
      </c>
      <c r="CJ38" s="2" t="n">
        <f aca="false">MAX(CI37+IF($A38=CJ$4,1,-1),CJ37-1,CI38-1)</f>
        <v>-74</v>
      </c>
      <c r="CK38" s="2" t="n">
        <f aca="false">MAX(CJ37+IF($A38=CK$4,1,-1),CK37-1,CJ38-1)</f>
        <v>-75</v>
      </c>
      <c r="CL38" s="2" t="n">
        <f aca="false">MAX(CK37+IF($A38=CL$4,1,-1),CL37-1,CK38-1)</f>
        <v>-76</v>
      </c>
      <c r="CM38" s="2" t="n">
        <f aca="false">MAX(CL37+IF($A38=CM$4,1,-1),CM37-1,CL38-1)</f>
        <v>-77</v>
      </c>
      <c r="CN38" s="2" t="n">
        <f aca="false">MAX(CM37+IF($A38=CN$4,1,-1),CN37-1,CM38-1)</f>
        <v>-78</v>
      </c>
      <c r="CO38" s="2" t="n">
        <f aca="false">MAX(CN37+IF($A38=CO$4,1,-1),CO37-1,CN38-1)</f>
        <v>-79</v>
      </c>
      <c r="CP38" s="2" t="n">
        <f aca="false">MAX(CO37+IF($A38=CP$4,1,-1),CP37-1,CO38-1)</f>
        <v>-80</v>
      </c>
      <c r="CQ38" s="2" t="n">
        <f aca="false">MAX(CP37+IF($A38=CQ$4,1,-1),CQ37-1,CP38-1)</f>
        <v>-81</v>
      </c>
    </row>
    <row r="39" customFormat="false" ht="15" hidden="false" customHeight="false" outlineLevel="0" collapsed="false">
      <c r="A39" s="4" t="s">
        <v>165</v>
      </c>
      <c r="B39" s="12" t="n">
        <v>-34</v>
      </c>
      <c r="C39" s="2" t="n">
        <f aca="false">MAX(B38+IF($A39=C$4,1,-1),C38-1,B39-1)</f>
        <v>-34</v>
      </c>
      <c r="D39" s="2" t="n">
        <f aca="false">MAX(C38+IF($A39=D$4,1,-1),D38-1,C39-1)</f>
        <v>-32</v>
      </c>
      <c r="E39" s="2" t="n">
        <f aca="false">MAX(D38+IF($A39=E$4,1,-1),E38-1,D39-1)</f>
        <v>-30</v>
      </c>
      <c r="F39" s="2" t="n">
        <f aca="false">MAX(E38+IF($A39=F$4,1,-1),F38-1,E39-1)</f>
        <v>-28</v>
      </c>
      <c r="G39" s="2" t="n">
        <f aca="false">MAX(F38+IF($A39=G$4,1,-1),G38-1,F39-1)</f>
        <v>-28</v>
      </c>
      <c r="H39" s="2" t="n">
        <f aca="false">MAX(G38+IF($A39=H$4,1,-1),H38-1,G39-1)</f>
        <v>-28</v>
      </c>
      <c r="I39" s="2" t="n">
        <f aca="false">MAX(H38+IF($A39=I$4,1,-1),I38-1,H39-1)</f>
        <v>-28</v>
      </c>
      <c r="J39" s="2" t="n">
        <f aca="false">MAX(I38+IF($A39=J$4,1,-1),J38-1,I39-1)</f>
        <v>-28</v>
      </c>
      <c r="K39" s="2" t="n">
        <f aca="false">MAX(J38+IF($A39=K$4,1,-1),K38-1,J39-1)</f>
        <v>-27</v>
      </c>
      <c r="L39" s="2" t="n">
        <f aca="false">MAX(K38+IF($A39=L$4,1,-1),L38-1,K39-1)</f>
        <v>-27</v>
      </c>
      <c r="M39" s="2" t="n">
        <f aca="false">MAX(L38+IF($A39=M$4,1,-1),M38-1,L39-1)</f>
        <v>-27</v>
      </c>
      <c r="N39" s="2" t="n">
        <f aca="false">MAX(M38+IF($A39=N$4,1,-1),N38-1,M39-1)</f>
        <v>-25</v>
      </c>
      <c r="O39" s="2" t="n">
        <f aca="false">MAX(N38+IF($A39=O$4,1,-1),O38-1,N39-1)</f>
        <v>-24</v>
      </c>
      <c r="P39" s="2" t="n">
        <f aca="false">MAX(O38+IF($A39=P$4,1,-1),P38-1,O39-1)</f>
        <v>-24</v>
      </c>
      <c r="Q39" s="2" t="n">
        <f aca="false">MAX(P38+IF($A39=Q$4,1,-1),Q38-1,P39-1)</f>
        <v>-24</v>
      </c>
      <c r="R39" s="2" t="n">
        <f aca="false">MAX(Q38+IF($A39=R$4,1,-1),R38-1,Q39-1)</f>
        <v>-24</v>
      </c>
      <c r="S39" s="2" t="n">
        <f aca="false">MAX(R38+IF($A39=S$4,1,-1),S38-1,R39-1)</f>
        <v>-24</v>
      </c>
      <c r="T39" s="2" t="n">
        <f aca="false">MAX(S38+IF($A39=T$4,1,-1),T38-1,S39-1)</f>
        <v>-24</v>
      </c>
      <c r="U39" s="2" t="n">
        <f aca="false">MAX(T38+IF($A39=U$4,1,-1),U38-1,T39-1)</f>
        <v>-25</v>
      </c>
      <c r="V39" s="2" t="n">
        <f aca="false">MAX(U38+IF($A39=V$4,1,-1),V38-1,U39-1)</f>
        <v>-26</v>
      </c>
      <c r="W39" s="2" t="n">
        <f aca="false">MAX(V38+IF($A39=W$4,1,-1),W38-1,V39-1)</f>
        <v>-26</v>
      </c>
      <c r="X39" s="2" t="n">
        <f aca="false">MAX(W38+IF($A39=X$4,1,-1),X38-1,W39-1)</f>
        <v>-26</v>
      </c>
      <c r="Y39" s="2" t="n">
        <f aca="false">MAX(X38+IF($A39=Y$4,1,-1),Y38-1,X39-1)</f>
        <v>-26</v>
      </c>
      <c r="Z39" s="2" t="n">
        <f aca="false">MAX(Y38+IF($A39=Z$4,1,-1),Z38-1,Y39-1)</f>
        <v>-26</v>
      </c>
      <c r="AA39" s="2" t="n">
        <f aca="false">MAX(Z38+IF($A39=AA$4,1,-1),AA38-1,Z39-1)</f>
        <v>-26</v>
      </c>
      <c r="AB39" s="2" t="n">
        <f aca="false">MAX(AA38+IF($A39=AB$4,1,-1),AB38-1,AA39-1)</f>
        <v>-26</v>
      </c>
      <c r="AC39" s="2" t="n">
        <f aca="false">MAX(AB38+IF($A39=AC$4,1,-1),AC38-1,AB39-1)</f>
        <v>-26</v>
      </c>
      <c r="AD39" s="2" t="n">
        <f aca="false">MAX(AC38+IF($A39=AD$4,1,-1),AD38-1,AC39-1)</f>
        <v>-26</v>
      </c>
      <c r="AE39" s="2" t="n">
        <f aca="false">MAX(AD38+IF($A39=AE$4,1,-1),AE38-1,AD39-1)</f>
        <v>-26</v>
      </c>
      <c r="AF39" s="2" t="n">
        <f aca="false">MAX(AE38+IF($A39=AF$4,1,-1),AF38-1,AE39-1)</f>
        <v>-27</v>
      </c>
      <c r="AG39" s="2" t="n">
        <f aca="false">MAX(AF38+IF($A39=AG$4,1,-1),AG38-1,AF39-1)</f>
        <v>-27</v>
      </c>
      <c r="AH39" s="2" t="n">
        <f aca="false">MAX(AG38+IF($A39=AH$4,1,-1),AH38-1,AG39-1)</f>
        <v>-27</v>
      </c>
      <c r="AI39" s="2" t="n">
        <f aca="false">MAX(AH38+IF($A39=AI$4,1,-1),AI38-1,AH39-1)</f>
        <v>-28</v>
      </c>
      <c r="AJ39" s="2" t="n">
        <f aca="false">MAX(AI38+IF($A39=AJ$4,1,-1),AJ38-1,AI39-1)</f>
        <v>-28</v>
      </c>
      <c r="AK39" s="2" t="n">
        <f aca="false">MAX(AJ38+IF($A39=AK$4,1,-1),AK38-1,AJ39-1)</f>
        <v>-28</v>
      </c>
      <c r="AL39" s="2" t="n">
        <f aca="false">MAX(AK38+IF($A39=AL$4,1,-1),AL38-1,AK39-1)</f>
        <v>-28</v>
      </c>
      <c r="AM39" s="2" t="n">
        <f aca="false">MAX(AL38+IF($A39=AM$4,1,-1),AM38-1,AL39-1)</f>
        <v>-29</v>
      </c>
      <c r="AN39" s="2" t="n">
        <f aca="false">MAX(AM38+IF($A39=AN$4,1,-1),AN38-1,AM39-1)</f>
        <v>-30</v>
      </c>
      <c r="AO39" s="2" t="n">
        <f aca="false">MAX(AN38+IF($A39=AO$4,1,-1),AO38-1,AN39-1)</f>
        <v>-31</v>
      </c>
      <c r="AP39" s="2" t="n">
        <f aca="false">MAX(AO38+IF($A39=AP$4,1,-1),AP38-1,AO39-1)</f>
        <v>-32</v>
      </c>
      <c r="AQ39" s="2" t="n">
        <f aca="false">MAX(AP38+IF($A39=AQ$4,1,-1),AQ38-1,AP39-1)</f>
        <v>-33</v>
      </c>
      <c r="AR39" s="2" t="n">
        <f aca="false">MAX(AQ38+IF($A39=AR$4,1,-1),AR38-1,AQ39-1)</f>
        <v>-34</v>
      </c>
      <c r="AS39" s="2" t="n">
        <f aca="false">MAX(AR38+IF($A39=AS$4,1,-1),AS38-1,AR39-1)</f>
        <v>-35</v>
      </c>
      <c r="AT39" s="2" t="n">
        <f aca="false">MAX(AS38+IF($A39=AT$4,1,-1),AT38-1,AS39-1)</f>
        <v>-36</v>
      </c>
      <c r="AU39" s="2" t="n">
        <f aca="false">MAX(AT38+IF($A39=AU$4,1,-1),AU38-1,AT39-1)</f>
        <v>-37</v>
      </c>
      <c r="AV39" s="2" t="n">
        <f aca="false">MAX(AU38+IF($A39=AV$4,1,-1),AV38-1,AU39-1)</f>
        <v>-38</v>
      </c>
      <c r="AW39" s="2" t="n">
        <f aca="false">MAX(AV38+IF($A39=AW$4,1,-1),AW38-1,AV39-1)</f>
        <v>-39</v>
      </c>
      <c r="AX39" s="2" t="n">
        <f aca="false">MAX(AW38+IF($A39=AX$4,1,-1),AX38-1,AW39-1)</f>
        <v>-40</v>
      </c>
      <c r="AY39" s="2" t="n">
        <f aca="false">MAX(AX38+IF($A39=AY$4,1,-1),AY38-1,AX39-1)</f>
        <v>-41</v>
      </c>
      <c r="AZ39" s="2" t="n">
        <f aca="false">MAX(AY38+IF($A39=AZ$4,1,-1),AZ38-1,AY39-1)</f>
        <v>-42</v>
      </c>
      <c r="BA39" s="2" t="n">
        <f aca="false">MAX(AZ38+IF($A39=BA$4,1,-1),BA38-1,AZ39-1)</f>
        <v>-42</v>
      </c>
      <c r="BB39" s="2" t="n">
        <f aca="false">MAX(BA38+IF($A39=BB$4,1,-1),BB38-1,BA39-1)</f>
        <v>-42</v>
      </c>
      <c r="BC39" s="2" t="n">
        <f aca="false">MAX(BB38+IF($A39=BC$4,1,-1),BC38-1,BB39-1)</f>
        <v>-43</v>
      </c>
      <c r="BD39" s="2" t="n">
        <f aca="false">MAX(BC38+IF($A39=BD$4,1,-1),BD38-1,BC39-1)</f>
        <v>-44</v>
      </c>
      <c r="BE39" s="2" t="n">
        <f aca="false">MAX(BD38+IF($A39=BE$4,1,-1),BE38-1,BD39-1)</f>
        <v>-45</v>
      </c>
      <c r="BF39" s="2" t="n">
        <f aca="false">MAX(BE38+IF($A39=BF$4,1,-1),BF38-1,BE39-1)</f>
        <v>-46</v>
      </c>
      <c r="BG39" s="2" t="n">
        <f aca="false">MAX(BF38+IF($A39=BG$4,1,-1),BG38-1,BF39-1)</f>
        <v>-47</v>
      </c>
      <c r="BH39" s="2" t="n">
        <f aca="false">MAX(BG38+IF($A39=BH$4,1,-1),BH38-1,BG39-1)</f>
        <v>-48</v>
      </c>
      <c r="BI39" s="2" t="n">
        <f aca="false">MAX(BH38+IF($A39=BI$4,1,-1),BI38-1,BH39-1)</f>
        <v>-49</v>
      </c>
      <c r="BJ39" s="2" t="n">
        <f aca="false">MAX(BI38+IF($A39=BJ$4,1,-1),BJ38-1,BI39-1)</f>
        <v>-50</v>
      </c>
      <c r="BK39" s="2" t="n">
        <f aca="false">MAX(BJ38+IF($A39=BK$4,1,-1),BK38-1,BJ39-1)</f>
        <v>-50</v>
      </c>
      <c r="BL39" s="2" t="n">
        <f aca="false">MAX(BK38+IF($A39=BL$4,1,-1),BL38-1,BK39-1)</f>
        <v>-50</v>
      </c>
      <c r="BM39" s="2" t="n">
        <f aca="false">MAX(BL38+IF($A39=BM$4,1,-1),BM38-1,BL39-1)</f>
        <v>-51</v>
      </c>
      <c r="BN39" s="2" t="n">
        <f aca="false">MAX(BM38+IF($A39=BN$4,1,-1),BN38-1,BM39-1)</f>
        <v>-52</v>
      </c>
      <c r="BO39" s="2" t="n">
        <f aca="false">MAX(BN38+IF($A39=BO$4,1,-1),BO38-1,BN39-1)</f>
        <v>-53</v>
      </c>
      <c r="BP39" s="2" t="n">
        <f aca="false">MAX(BO38+IF($A39=BP$4,1,-1),BP38-1,BO39-1)</f>
        <v>-54</v>
      </c>
      <c r="BQ39" s="2" t="n">
        <f aca="false">MAX(BP38+IF($A39=BQ$4,1,-1),BQ38-1,BP39-1)</f>
        <v>-55</v>
      </c>
      <c r="BR39" s="2" t="n">
        <f aca="false">MAX(BQ38+IF($A39=BR$4,1,-1),BR38-1,BQ39-1)</f>
        <v>-56</v>
      </c>
      <c r="BS39" s="2" t="n">
        <f aca="false">MAX(BR38+IF($A39=BS$4,1,-1),BS38-1,BR39-1)</f>
        <v>-57</v>
      </c>
      <c r="BT39" s="2" t="n">
        <f aca="false">MAX(BS38+IF($A39=BT$4,1,-1),BT38-1,BS39-1)</f>
        <v>-58</v>
      </c>
      <c r="BU39" s="2" t="n">
        <f aca="false">MAX(BT38+IF($A39=BU$4,1,-1),BU38-1,BT39-1)</f>
        <v>-59</v>
      </c>
      <c r="BV39" s="2" t="n">
        <f aca="false">MAX(BU38+IF($A39=BV$4,1,-1),BV38-1,BU39-1)</f>
        <v>-60</v>
      </c>
      <c r="BW39" s="2" t="n">
        <f aca="false">MAX(BV38+IF($A39=BW$4,1,-1),BW38-1,BV39-1)</f>
        <v>-61</v>
      </c>
      <c r="BX39" s="2" t="n">
        <f aca="false">MAX(BW38+IF($A39=BX$4,1,-1),BX38-1,BW39-1)</f>
        <v>-62</v>
      </c>
      <c r="BY39" s="2" t="n">
        <f aca="false">MAX(BX38+IF($A39=BY$4,1,-1),BY38-1,BX39-1)</f>
        <v>-63</v>
      </c>
      <c r="BZ39" s="2" t="n">
        <f aca="false">MAX(BY38+IF($A39=BZ$4,1,-1),BZ38-1,BY39-1)</f>
        <v>-64</v>
      </c>
      <c r="CA39" s="2" t="n">
        <f aca="false">MAX(BZ38+IF($A39=CA$4,1,-1),CA38-1,BZ39-1)</f>
        <v>-65</v>
      </c>
      <c r="CB39" s="2" t="n">
        <f aca="false">MAX(CA38+IF($A39=CB$4,1,-1),CB38-1,CA39-1)</f>
        <v>-66</v>
      </c>
      <c r="CC39" s="2" t="n">
        <f aca="false">MAX(CB38+IF($A39=CC$4,1,-1),CC38-1,CB39-1)</f>
        <v>-67</v>
      </c>
      <c r="CD39" s="2" t="n">
        <f aca="false">MAX(CC38+IF($A39=CD$4,1,-1),CD38-1,CC39-1)</f>
        <v>-68</v>
      </c>
      <c r="CE39" s="2" t="n">
        <f aca="false">MAX(CD38+IF($A39=CE$4,1,-1),CE38-1,CD39-1)</f>
        <v>-69</v>
      </c>
      <c r="CF39" s="2" t="n">
        <f aca="false">MAX(CE38+IF($A39=CF$4,1,-1),CF38-1,CE39-1)</f>
        <v>-70</v>
      </c>
      <c r="CG39" s="2" t="n">
        <f aca="false">MAX(CF38+IF($A39=CG$4,1,-1),CG38-1,CF39-1)</f>
        <v>-71</v>
      </c>
      <c r="CH39" s="2" t="n">
        <f aca="false">MAX(CG38+IF($A39=CH$4,1,-1),CH38-1,CG39-1)</f>
        <v>-72</v>
      </c>
      <c r="CI39" s="2" t="n">
        <f aca="false">MAX(CH38+IF($A39=CI$4,1,-1),CI38-1,CH39-1)</f>
        <v>-73</v>
      </c>
      <c r="CJ39" s="2" t="n">
        <f aca="false">MAX(CI38+IF($A39=CJ$4,1,-1),CJ38-1,CI39-1)</f>
        <v>-74</v>
      </c>
      <c r="CK39" s="2" t="n">
        <f aca="false">MAX(CJ38+IF($A39=CK$4,1,-1),CK38-1,CJ39-1)</f>
        <v>-75</v>
      </c>
      <c r="CL39" s="2" t="n">
        <f aca="false">MAX(CK38+IF($A39=CL$4,1,-1),CL38-1,CK39-1)</f>
        <v>-76</v>
      </c>
      <c r="CM39" s="2" t="n">
        <f aca="false">MAX(CL38+IF($A39=CM$4,1,-1),CM38-1,CL39-1)</f>
        <v>-77</v>
      </c>
      <c r="CN39" s="2" t="n">
        <f aca="false">MAX(CM38+IF($A39=CN$4,1,-1),CN38-1,CM39-1)</f>
        <v>-78</v>
      </c>
      <c r="CO39" s="2" t="n">
        <f aca="false">MAX(CN38+IF($A39=CO$4,1,-1),CO38-1,CN39-1)</f>
        <v>-79</v>
      </c>
      <c r="CP39" s="2" t="n">
        <f aca="false">MAX(CO38+IF($A39=CP$4,1,-1),CP38-1,CO39-1)</f>
        <v>-80</v>
      </c>
      <c r="CQ39" s="2" t="n">
        <f aca="false">MAX(CP38+IF($A39=CQ$4,1,-1),CQ38-1,CP39-1)</f>
        <v>-81</v>
      </c>
    </row>
    <row r="40" customFormat="false" ht="15" hidden="false" customHeight="false" outlineLevel="0" collapsed="false">
      <c r="A40" s="4" t="s">
        <v>155</v>
      </c>
      <c r="B40" s="12" t="n">
        <v>-35</v>
      </c>
      <c r="C40" s="2" t="n">
        <f aca="false">MAX(B39+IF($A40=C$4,1,-1),C39-1,B40-1)</f>
        <v>-35</v>
      </c>
      <c r="D40" s="2" t="n">
        <f aca="false">MAX(C39+IF($A40=D$4,1,-1),D39-1,C40-1)</f>
        <v>-33</v>
      </c>
      <c r="E40" s="2" t="n">
        <f aca="false">MAX(D39+IF($A40=E$4,1,-1),E39-1,D40-1)</f>
        <v>-31</v>
      </c>
      <c r="F40" s="2" t="n">
        <f aca="false">MAX(E39+IF($A40=F$4,1,-1),F39-1,E40-1)</f>
        <v>-29</v>
      </c>
      <c r="G40" s="2" t="n">
        <f aca="false">MAX(F39+IF($A40=G$4,1,-1),G39-1,F40-1)</f>
        <v>-29</v>
      </c>
      <c r="H40" s="2" t="n">
        <f aca="false">MAX(G39+IF($A40=H$4,1,-1),H39-1,G40-1)</f>
        <v>-29</v>
      </c>
      <c r="I40" s="2" t="n">
        <f aca="false">MAX(H39+IF($A40=I$4,1,-1),I39-1,H40-1)</f>
        <v>-29</v>
      </c>
      <c r="J40" s="2" t="n">
        <f aca="false">MAX(I39+IF($A40=J$4,1,-1),J39-1,I40-1)</f>
        <v>-29</v>
      </c>
      <c r="K40" s="2" t="n">
        <f aca="false">MAX(J39+IF($A40=K$4,1,-1),K39-1,J40-1)</f>
        <v>-28</v>
      </c>
      <c r="L40" s="2" t="n">
        <f aca="false">MAX(K39+IF($A40=L$4,1,-1),L39-1,K40-1)</f>
        <v>-28</v>
      </c>
      <c r="M40" s="2" t="n">
        <f aca="false">MAX(L39+IF($A40=M$4,1,-1),M39-1,L40-1)</f>
        <v>-28</v>
      </c>
      <c r="N40" s="2" t="n">
        <f aca="false">MAX(M39+IF($A40=N$4,1,-1),N39-1,M40-1)</f>
        <v>-26</v>
      </c>
      <c r="O40" s="2" t="n">
        <f aca="false">MAX(N39+IF($A40=O$4,1,-1),O39-1,N40-1)</f>
        <v>-25</v>
      </c>
      <c r="P40" s="2" t="n">
        <f aca="false">MAX(O39+IF($A40=P$4,1,-1),P39-1,O40-1)</f>
        <v>-25</v>
      </c>
      <c r="Q40" s="2" t="n">
        <f aca="false">MAX(P39+IF($A40=Q$4,1,-1),Q39-1,P40-1)</f>
        <v>-25</v>
      </c>
      <c r="R40" s="2" t="n">
        <f aca="false">MAX(Q39+IF($A40=R$4,1,-1),R39-1,Q40-1)</f>
        <v>-25</v>
      </c>
      <c r="S40" s="2" t="n">
        <f aca="false">MAX(R39+IF($A40=S$4,1,-1),S39-1,R40-1)</f>
        <v>-25</v>
      </c>
      <c r="T40" s="2" t="n">
        <f aca="false">MAX(S39+IF($A40=T$4,1,-1),T39-1,S40-1)</f>
        <v>-25</v>
      </c>
      <c r="U40" s="2" t="n">
        <f aca="false">MAX(T39+IF($A40=U$4,1,-1),U39-1,T40-1)</f>
        <v>-25</v>
      </c>
      <c r="V40" s="2" t="n">
        <f aca="false">MAX(U39+IF($A40=V$4,1,-1),V39-1,U40-1)</f>
        <v>-26</v>
      </c>
      <c r="W40" s="2" t="n">
        <f aca="false">MAX(V39+IF($A40=W$4,1,-1),W39-1,V40-1)</f>
        <v>-27</v>
      </c>
      <c r="X40" s="2" t="n">
        <f aca="false">MAX(W39+IF($A40=X$4,1,-1),X39-1,W40-1)</f>
        <v>-27</v>
      </c>
      <c r="Y40" s="2" t="n">
        <f aca="false">MAX(X39+IF($A40=Y$4,1,-1),Y39-1,X40-1)</f>
        <v>-27</v>
      </c>
      <c r="Z40" s="2" t="n">
        <f aca="false">MAX(Y39+IF($A40=Z$4,1,-1),Z39-1,Y40-1)</f>
        <v>-27</v>
      </c>
      <c r="AA40" s="2" t="n">
        <f aca="false">MAX(Z39+IF($A40=AA$4,1,-1),AA39-1,Z40-1)</f>
        <v>-27</v>
      </c>
      <c r="AB40" s="2" t="n">
        <f aca="false">MAX(AA39+IF($A40=AB$4,1,-1),AB39-1,AA40-1)</f>
        <v>-27</v>
      </c>
      <c r="AC40" s="2" t="n">
        <f aca="false">MAX(AB39+IF($A40=AC$4,1,-1),AC39-1,AB40-1)</f>
        <v>-27</v>
      </c>
      <c r="AD40" s="2" t="n">
        <f aca="false">MAX(AC39+IF($A40=AD$4,1,-1),AD39-1,AC40-1)</f>
        <v>-27</v>
      </c>
      <c r="AE40" s="2" t="n">
        <f aca="false">MAX(AD39+IF($A40=AE$4,1,-1),AE39-1,AD40-1)</f>
        <v>-27</v>
      </c>
      <c r="AF40" s="2" t="n">
        <f aca="false">MAX(AE39+IF($A40=AF$4,1,-1),AF39-1,AE40-1)</f>
        <v>-27</v>
      </c>
      <c r="AG40" s="2" t="n">
        <f aca="false">MAX(AF39+IF($A40=AG$4,1,-1),AG39-1,AF40-1)</f>
        <v>-28</v>
      </c>
      <c r="AH40" s="2" t="n">
        <f aca="false">MAX(AG39+IF($A40=AH$4,1,-1),AH39-1,AG40-1)</f>
        <v>-28</v>
      </c>
      <c r="AI40" s="2" t="n">
        <f aca="false">MAX(AH39+IF($A40=AI$4,1,-1),AI39-1,AH40-1)</f>
        <v>-28</v>
      </c>
      <c r="AJ40" s="2" t="n">
        <f aca="false">MAX(AI39+IF($A40=AJ$4,1,-1),AJ39-1,AI40-1)</f>
        <v>-29</v>
      </c>
      <c r="AK40" s="2" t="n">
        <f aca="false">MAX(AJ39+IF($A40=AK$4,1,-1),AK39-1,AJ40-1)</f>
        <v>-29</v>
      </c>
      <c r="AL40" s="2" t="n">
        <f aca="false">MAX(AK39+IF($A40=AL$4,1,-1),AL39-1,AK40-1)</f>
        <v>-29</v>
      </c>
      <c r="AM40" s="2" t="n">
        <f aca="false">MAX(AL39+IF($A40=AM$4,1,-1),AM39-1,AL40-1)</f>
        <v>-29</v>
      </c>
      <c r="AN40" s="2" t="n">
        <f aca="false">MAX(AM39+IF($A40=AN$4,1,-1),AN39-1,AM40-1)</f>
        <v>-30</v>
      </c>
      <c r="AO40" s="2" t="n">
        <f aca="false">MAX(AN39+IF($A40=AO$4,1,-1),AO39-1,AN40-1)</f>
        <v>-31</v>
      </c>
      <c r="AP40" s="2" t="n">
        <f aca="false">MAX(AO39+IF($A40=AP$4,1,-1),AP39-1,AO40-1)</f>
        <v>-32</v>
      </c>
      <c r="AQ40" s="2" t="n">
        <f aca="false">MAX(AP39+IF($A40=AQ$4,1,-1),AQ39-1,AP40-1)</f>
        <v>-33</v>
      </c>
      <c r="AR40" s="2" t="n">
        <f aca="false">MAX(AQ39+IF($A40=AR$4,1,-1),AR39-1,AQ40-1)</f>
        <v>-34</v>
      </c>
      <c r="AS40" s="2" t="n">
        <f aca="false">MAX(AR39+IF($A40=AS$4,1,-1),AS39-1,AR40-1)</f>
        <v>-35</v>
      </c>
      <c r="AT40" s="2" t="n">
        <f aca="false">MAX(AS39+IF($A40=AT$4,1,-1),AT39-1,AS40-1)</f>
        <v>-36</v>
      </c>
      <c r="AU40" s="2" t="n">
        <f aca="false">MAX(AT39+IF($A40=AU$4,1,-1),AU39-1,AT40-1)</f>
        <v>-37</v>
      </c>
      <c r="AV40" s="2" t="n">
        <f aca="false">MAX(AU39+IF($A40=AV$4,1,-1),AV39-1,AU40-1)</f>
        <v>-38</v>
      </c>
      <c r="AW40" s="2" t="n">
        <f aca="false">MAX(AV39+IF($A40=AW$4,1,-1),AW39-1,AV40-1)</f>
        <v>-39</v>
      </c>
      <c r="AX40" s="2" t="n">
        <f aca="false">MAX(AW39+IF($A40=AX$4,1,-1),AX39-1,AW40-1)</f>
        <v>-40</v>
      </c>
      <c r="AY40" s="2" t="n">
        <f aca="false">MAX(AX39+IF($A40=AY$4,1,-1),AY39-1,AX40-1)</f>
        <v>-41</v>
      </c>
      <c r="AZ40" s="2" t="n">
        <f aca="false">MAX(AY39+IF($A40=AZ$4,1,-1),AZ39-1,AY40-1)</f>
        <v>-42</v>
      </c>
      <c r="BA40" s="2" t="n">
        <f aca="false">MAX(AZ39+IF($A40=BA$4,1,-1),BA39-1,AZ40-1)</f>
        <v>-43</v>
      </c>
      <c r="BB40" s="2" t="n">
        <f aca="false">MAX(BA39+IF($A40=BB$4,1,-1),BB39-1,BA40-1)</f>
        <v>-43</v>
      </c>
      <c r="BC40" s="2" t="n">
        <f aca="false">MAX(BB39+IF($A40=BC$4,1,-1),BC39-1,BB40-1)</f>
        <v>-43</v>
      </c>
      <c r="BD40" s="2" t="n">
        <f aca="false">MAX(BC39+IF($A40=BD$4,1,-1),BD39-1,BC40-1)</f>
        <v>-44</v>
      </c>
      <c r="BE40" s="2" t="n">
        <f aca="false">MAX(BD39+IF($A40=BE$4,1,-1),BE39-1,BD40-1)</f>
        <v>-45</v>
      </c>
      <c r="BF40" s="2" t="n">
        <f aca="false">MAX(BE39+IF($A40=BF$4,1,-1),BF39-1,BE40-1)</f>
        <v>-46</v>
      </c>
      <c r="BG40" s="2" t="n">
        <f aca="false">MAX(BF39+IF($A40=BG$4,1,-1),BG39-1,BF40-1)</f>
        <v>-47</v>
      </c>
      <c r="BH40" s="2" t="n">
        <f aca="false">MAX(BG39+IF($A40=BH$4,1,-1),BH39-1,BG40-1)</f>
        <v>-48</v>
      </c>
      <c r="BI40" s="2" t="n">
        <f aca="false">MAX(BH39+IF($A40=BI$4,1,-1),BI39-1,BH40-1)</f>
        <v>-49</v>
      </c>
      <c r="BJ40" s="2" t="n">
        <f aca="false">MAX(BI39+IF($A40=BJ$4,1,-1),BJ39-1,BI40-1)</f>
        <v>-50</v>
      </c>
      <c r="BK40" s="2" t="n">
        <f aca="false">MAX(BJ39+IF($A40=BK$4,1,-1),BK39-1,BJ40-1)</f>
        <v>-51</v>
      </c>
      <c r="BL40" s="2" t="n">
        <f aca="false">MAX(BK39+IF($A40=BL$4,1,-1),BL39-1,BK40-1)</f>
        <v>-51</v>
      </c>
      <c r="BM40" s="2" t="n">
        <f aca="false">MAX(BL39+IF($A40=BM$4,1,-1),BM39-1,BL40-1)</f>
        <v>-51</v>
      </c>
      <c r="BN40" s="2" t="n">
        <f aca="false">MAX(BM39+IF($A40=BN$4,1,-1),BN39-1,BM40-1)</f>
        <v>-52</v>
      </c>
      <c r="BO40" s="2" t="n">
        <f aca="false">MAX(BN39+IF($A40=BO$4,1,-1),BO39-1,BN40-1)</f>
        <v>-53</v>
      </c>
      <c r="BP40" s="2" t="n">
        <f aca="false">MAX(BO39+IF($A40=BP$4,1,-1),BP39-1,BO40-1)</f>
        <v>-54</v>
      </c>
      <c r="BQ40" s="2" t="n">
        <f aca="false">MAX(BP39+IF($A40=BQ$4,1,-1),BQ39-1,BP40-1)</f>
        <v>-55</v>
      </c>
      <c r="BR40" s="2" t="n">
        <f aca="false">MAX(BQ39+IF($A40=BR$4,1,-1),BR39-1,BQ40-1)</f>
        <v>-56</v>
      </c>
      <c r="BS40" s="2" t="n">
        <f aca="false">MAX(BR39+IF($A40=BS$4,1,-1),BS39-1,BR40-1)</f>
        <v>-57</v>
      </c>
      <c r="BT40" s="2" t="n">
        <f aca="false">MAX(BS39+IF($A40=BT$4,1,-1),BT39-1,BS40-1)</f>
        <v>-58</v>
      </c>
      <c r="BU40" s="2" t="n">
        <f aca="false">MAX(BT39+IF($A40=BU$4,1,-1),BU39-1,BT40-1)</f>
        <v>-59</v>
      </c>
      <c r="BV40" s="2" t="n">
        <f aca="false">MAX(BU39+IF($A40=BV$4,1,-1),BV39-1,BU40-1)</f>
        <v>-60</v>
      </c>
      <c r="BW40" s="2" t="n">
        <f aca="false">MAX(BV39+IF($A40=BW$4,1,-1),BW39-1,BV40-1)</f>
        <v>-61</v>
      </c>
      <c r="BX40" s="2" t="n">
        <f aca="false">MAX(BW39+IF($A40=BX$4,1,-1),BX39-1,BW40-1)</f>
        <v>-62</v>
      </c>
      <c r="BY40" s="2" t="n">
        <f aca="false">MAX(BX39+IF($A40=BY$4,1,-1),BY39-1,BX40-1)</f>
        <v>-63</v>
      </c>
      <c r="BZ40" s="2" t="n">
        <f aca="false">MAX(BY39+IF($A40=BZ$4,1,-1),BZ39-1,BY40-1)</f>
        <v>-64</v>
      </c>
      <c r="CA40" s="2" t="n">
        <f aca="false">MAX(BZ39+IF($A40=CA$4,1,-1),CA39-1,BZ40-1)</f>
        <v>-65</v>
      </c>
      <c r="CB40" s="2" t="n">
        <f aca="false">MAX(CA39+IF($A40=CB$4,1,-1),CB39-1,CA40-1)</f>
        <v>-66</v>
      </c>
      <c r="CC40" s="2" t="n">
        <f aca="false">MAX(CB39+IF($A40=CC$4,1,-1),CC39-1,CB40-1)</f>
        <v>-67</v>
      </c>
      <c r="CD40" s="2" t="n">
        <f aca="false">MAX(CC39+IF($A40=CD$4,1,-1),CD39-1,CC40-1)</f>
        <v>-68</v>
      </c>
      <c r="CE40" s="2" t="n">
        <f aca="false">MAX(CD39+IF($A40=CE$4,1,-1),CE39-1,CD40-1)</f>
        <v>-69</v>
      </c>
      <c r="CF40" s="2" t="n">
        <f aca="false">MAX(CE39+IF($A40=CF$4,1,-1),CF39-1,CE40-1)</f>
        <v>-70</v>
      </c>
      <c r="CG40" s="2" t="n">
        <f aca="false">MAX(CF39+IF($A40=CG$4,1,-1),CG39-1,CF40-1)</f>
        <v>-71</v>
      </c>
      <c r="CH40" s="2" t="n">
        <f aca="false">MAX(CG39+IF($A40=CH$4,1,-1),CH39-1,CG40-1)</f>
        <v>-72</v>
      </c>
      <c r="CI40" s="2" t="n">
        <f aca="false">MAX(CH39+IF($A40=CI$4,1,-1),CI39-1,CH40-1)</f>
        <v>-73</v>
      </c>
      <c r="CJ40" s="2" t="n">
        <f aca="false">MAX(CI39+IF($A40=CJ$4,1,-1),CJ39-1,CI40-1)</f>
        <v>-74</v>
      </c>
      <c r="CK40" s="2" t="n">
        <f aca="false">MAX(CJ39+IF($A40=CK$4,1,-1),CK39-1,CJ40-1)</f>
        <v>-75</v>
      </c>
      <c r="CL40" s="2" t="n">
        <f aca="false">MAX(CK39+IF($A40=CL$4,1,-1),CL39-1,CK40-1)</f>
        <v>-76</v>
      </c>
      <c r="CM40" s="2" t="n">
        <f aca="false">MAX(CL39+IF($A40=CM$4,1,-1),CM39-1,CL40-1)</f>
        <v>-77</v>
      </c>
      <c r="CN40" s="2" t="n">
        <f aca="false">MAX(CM39+IF($A40=CN$4,1,-1),CN39-1,CM40-1)</f>
        <v>-78</v>
      </c>
      <c r="CO40" s="2" t="n">
        <f aca="false">MAX(CN39+IF($A40=CO$4,1,-1),CO39-1,CN40-1)</f>
        <v>-79</v>
      </c>
      <c r="CP40" s="2" t="n">
        <f aca="false">MAX(CO39+IF($A40=CP$4,1,-1),CP39-1,CO40-1)</f>
        <v>-80</v>
      </c>
      <c r="CQ40" s="2" t="n">
        <f aca="false">MAX(CP39+IF($A40=CQ$4,1,-1),CQ39-1,CP40-1)</f>
        <v>-81</v>
      </c>
    </row>
    <row r="41" customFormat="false" ht="15" hidden="false" customHeight="false" outlineLevel="0" collapsed="false">
      <c r="A41" s="4" t="s">
        <v>166</v>
      </c>
      <c r="B41" s="12" t="n">
        <v>-36</v>
      </c>
      <c r="C41" s="2" t="n">
        <f aca="false">MAX(B40+IF($A41=C$4,1,-1),C40-1,B41-1)</f>
        <v>-36</v>
      </c>
      <c r="D41" s="2" t="n">
        <f aca="false">MAX(C40+IF($A41=D$4,1,-1),D40-1,C41-1)</f>
        <v>-34</v>
      </c>
      <c r="E41" s="2" t="n">
        <f aca="false">MAX(D40+IF($A41=E$4,1,-1),E40-1,D41-1)</f>
        <v>-32</v>
      </c>
      <c r="F41" s="2" t="n">
        <f aca="false">MAX(E40+IF($A41=F$4,1,-1),F40-1,E41-1)</f>
        <v>-30</v>
      </c>
      <c r="G41" s="2" t="n">
        <f aca="false">MAX(F40+IF($A41=G$4,1,-1),G40-1,F41-1)</f>
        <v>-30</v>
      </c>
      <c r="H41" s="2" t="n">
        <f aca="false">MAX(G40+IF($A41=H$4,1,-1),H40-1,G41-1)</f>
        <v>-30</v>
      </c>
      <c r="I41" s="2" t="n">
        <f aca="false">MAX(H40+IF($A41=I$4,1,-1),I40-1,H41-1)</f>
        <v>-30</v>
      </c>
      <c r="J41" s="2" t="n">
        <f aca="false">MAX(I40+IF($A41=J$4,1,-1),J40-1,I41-1)</f>
        <v>-30</v>
      </c>
      <c r="K41" s="2" t="n">
        <f aca="false">MAX(J40+IF($A41=K$4,1,-1),K40-1,J41-1)</f>
        <v>-29</v>
      </c>
      <c r="L41" s="2" t="n">
        <f aca="false">MAX(K40+IF($A41=L$4,1,-1),L40-1,K41-1)</f>
        <v>-29</v>
      </c>
      <c r="M41" s="2" t="n">
        <f aca="false">MAX(L40+IF($A41=M$4,1,-1),M40-1,L41-1)</f>
        <v>-29</v>
      </c>
      <c r="N41" s="2" t="n">
        <f aca="false">MAX(M40+IF($A41=N$4,1,-1),N40-1,M41-1)</f>
        <v>-27</v>
      </c>
      <c r="O41" s="2" t="n">
        <f aca="false">MAX(N40+IF($A41=O$4,1,-1),O40-1,N41-1)</f>
        <v>-26</v>
      </c>
      <c r="P41" s="2" t="n">
        <f aca="false">MAX(O40+IF($A41=P$4,1,-1),P40-1,O41-1)</f>
        <v>-26</v>
      </c>
      <c r="Q41" s="2" t="n">
        <f aca="false">MAX(P40+IF($A41=Q$4,1,-1),Q40-1,P41-1)</f>
        <v>-26</v>
      </c>
      <c r="R41" s="2" t="n">
        <f aca="false">MAX(Q40+IF($A41=R$4,1,-1),R40-1,Q41-1)</f>
        <v>-26</v>
      </c>
      <c r="S41" s="2" t="n">
        <f aca="false">MAX(R40+IF($A41=S$4,1,-1),S40-1,R41-1)</f>
        <v>-26</v>
      </c>
      <c r="T41" s="2" t="n">
        <f aca="false">MAX(S40+IF($A41=T$4,1,-1),T40-1,S41-1)</f>
        <v>-26</v>
      </c>
      <c r="U41" s="2" t="n">
        <f aca="false">MAX(T40+IF($A41=U$4,1,-1),U40-1,T41-1)</f>
        <v>-26</v>
      </c>
      <c r="V41" s="2" t="n">
        <f aca="false">MAX(U40+IF($A41=V$4,1,-1),V40-1,U41-1)</f>
        <v>-26</v>
      </c>
      <c r="W41" s="2" t="n">
        <f aca="false">MAX(V40+IF($A41=W$4,1,-1),W40-1,V41-1)</f>
        <v>-27</v>
      </c>
      <c r="X41" s="2" t="n">
        <f aca="false">MAX(W40+IF($A41=X$4,1,-1),X40-1,W41-1)</f>
        <v>-28</v>
      </c>
      <c r="Y41" s="2" t="n">
        <f aca="false">MAX(X40+IF($A41=Y$4,1,-1),Y40-1,X41-1)</f>
        <v>-28</v>
      </c>
      <c r="Z41" s="2" t="n">
        <f aca="false">MAX(Y40+IF($A41=Z$4,1,-1),Z40-1,Y41-1)</f>
        <v>-28</v>
      </c>
      <c r="AA41" s="2" t="n">
        <f aca="false">MAX(Z40+IF($A41=AA$4,1,-1),AA40-1,Z41-1)</f>
        <v>-28</v>
      </c>
      <c r="AB41" s="2" t="n">
        <f aca="false">MAX(AA40+IF($A41=AB$4,1,-1),AB40-1,AA41-1)</f>
        <v>-28</v>
      </c>
      <c r="AC41" s="2" t="n">
        <f aca="false">MAX(AB40+IF($A41=AC$4,1,-1),AC40-1,AB41-1)</f>
        <v>-28</v>
      </c>
      <c r="AD41" s="2" t="n">
        <f aca="false">MAX(AC40+IF($A41=AD$4,1,-1),AD40-1,AC41-1)</f>
        <v>-28</v>
      </c>
      <c r="AE41" s="2" t="n">
        <f aca="false">MAX(AD40+IF($A41=AE$4,1,-1),AE40-1,AD41-1)</f>
        <v>-28</v>
      </c>
      <c r="AF41" s="2" t="n">
        <f aca="false">MAX(AE40+IF($A41=AF$4,1,-1),AF40-1,AE41-1)</f>
        <v>-28</v>
      </c>
      <c r="AG41" s="2" t="n">
        <f aca="false">MAX(AF40+IF($A41=AG$4,1,-1),AG40-1,AF41-1)</f>
        <v>-28</v>
      </c>
      <c r="AH41" s="2" t="n">
        <f aca="false">MAX(AG40+IF($A41=AH$4,1,-1),AH40-1,AG41-1)</f>
        <v>-29</v>
      </c>
      <c r="AI41" s="2" t="n">
        <f aca="false">MAX(AH40+IF($A41=AI$4,1,-1),AI40-1,AH41-1)</f>
        <v>-29</v>
      </c>
      <c r="AJ41" s="2" t="n">
        <f aca="false">MAX(AI40+IF($A41=AJ$4,1,-1),AJ40-1,AI41-1)</f>
        <v>-29</v>
      </c>
      <c r="AK41" s="2" t="n">
        <f aca="false">MAX(AJ40+IF($A41=AK$4,1,-1),AK40-1,AJ41-1)</f>
        <v>-30</v>
      </c>
      <c r="AL41" s="2" t="n">
        <f aca="false">MAX(AK40+IF($A41=AL$4,1,-1),AL40-1,AK41-1)</f>
        <v>-30</v>
      </c>
      <c r="AM41" s="2" t="n">
        <f aca="false">MAX(AL40+IF($A41=AM$4,1,-1),AM40-1,AL41-1)</f>
        <v>-30</v>
      </c>
      <c r="AN41" s="2" t="n">
        <f aca="false">MAX(AM40+IF($A41=AN$4,1,-1),AN40-1,AM41-1)</f>
        <v>-30</v>
      </c>
      <c r="AO41" s="2" t="n">
        <f aca="false">MAX(AN40+IF($A41=AO$4,1,-1),AO40-1,AN41-1)</f>
        <v>-31</v>
      </c>
      <c r="AP41" s="2" t="n">
        <f aca="false">MAX(AO40+IF($A41=AP$4,1,-1),AP40-1,AO41-1)</f>
        <v>-32</v>
      </c>
      <c r="AQ41" s="2" t="n">
        <f aca="false">MAX(AP40+IF($A41=AQ$4,1,-1),AQ40-1,AP41-1)</f>
        <v>-33</v>
      </c>
      <c r="AR41" s="2" t="n">
        <f aca="false">MAX(AQ40+IF($A41=AR$4,1,-1),AR40-1,AQ41-1)</f>
        <v>-34</v>
      </c>
      <c r="AS41" s="2" t="n">
        <f aca="false">MAX(AR40+IF($A41=AS$4,1,-1),AS40-1,AR41-1)</f>
        <v>-35</v>
      </c>
      <c r="AT41" s="2" t="n">
        <f aca="false">MAX(AS40+IF($A41=AT$4,1,-1),AT40-1,AS41-1)</f>
        <v>-36</v>
      </c>
      <c r="AU41" s="2" t="n">
        <f aca="false">MAX(AT40+IF($A41=AU$4,1,-1),AU40-1,AT41-1)</f>
        <v>-37</v>
      </c>
      <c r="AV41" s="2" t="n">
        <f aca="false">MAX(AU40+IF($A41=AV$4,1,-1),AV40-1,AU41-1)</f>
        <v>-38</v>
      </c>
      <c r="AW41" s="2" t="n">
        <f aca="false">MAX(AV40+IF($A41=AW$4,1,-1),AW40-1,AV41-1)</f>
        <v>-39</v>
      </c>
      <c r="AX41" s="2" t="n">
        <f aca="false">MAX(AW40+IF($A41=AX$4,1,-1),AX40-1,AW41-1)</f>
        <v>-40</v>
      </c>
      <c r="AY41" s="2" t="n">
        <f aca="false">MAX(AX40+IF($A41=AY$4,1,-1),AY40-1,AX41-1)</f>
        <v>-41</v>
      </c>
      <c r="AZ41" s="2" t="n">
        <f aca="false">MAX(AY40+IF($A41=AZ$4,1,-1),AZ40-1,AY41-1)</f>
        <v>-42</v>
      </c>
      <c r="BA41" s="2" t="n">
        <f aca="false">MAX(AZ40+IF($A41=BA$4,1,-1),BA40-1,AZ41-1)</f>
        <v>-43</v>
      </c>
      <c r="BB41" s="2" t="n">
        <f aca="false">MAX(BA40+IF($A41=BB$4,1,-1),BB40-1,BA41-1)</f>
        <v>-44</v>
      </c>
      <c r="BC41" s="2" t="n">
        <f aca="false">MAX(BB40+IF($A41=BC$4,1,-1),BC40-1,BB41-1)</f>
        <v>-44</v>
      </c>
      <c r="BD41" s="2" t="n">
        <f aca="false">MAX(BC40+IF($A41=BD$4,1,-1),BD40-1,BC41-1)</f>
        <v>-44</v>
      </c>
      <c r="BE41" s="2" t="n">
        <f aca="false">MAX(BD40+IF($A41=BE$4,1,-1),BE40-1,BD41-1)</f>
        <v>-45</v>
      </c>
      <c r="BF41" s="2" t="n">
        <f aca="false">MAX(BE40+IF($A41=BF$4,1,-1),BF40-1,BE41-1)</f>
        <v>-46</v>
      </c>
      <c r="BG41" s="2" t="n">
        <f aca="false">MAX(BF40+IF($A41=BG$4,1,-1),BG40-1,BF41-1)</f>
        <v>-47</v>
      </c>
      <c r="BH41" s="2" t="n">
        <f aca="false">MAX(BG40+IF($A41=BH$4,1,-1),BH40-1,BG41-1)</f>
        <v>-48</v>
      </c>
      <c r="BI41" s="2" t="n">
        <f aca="false">MAX(BH40+IF($A41=BI$4,1,-1),BI40-1,BH41-1)</f>
        <v>-49</v>
      </c>
      <c r="BJ41" s="2" t="n">
        <f aca="false">MAX(BI40+IF($A41=BJ$4,1,-1),BJ40-1,BI41-1)</f>
        <v>-50</v>
      </c>
      <c r="BK41" s="2" t="n">
        <f aca="false">MAX(BJ40+IF($A41=BK$4,1,-1),BK40-1,BJ41-1)</f>
        <v>-51</v>
      </c>
      <c r="BL41" s="2" t="n">
        <f aca="false">MAX(BK40+IF($A41=BL$4,1,-1),BL40-1,BK41-1)</f>
        <v>-52</v>
      </c>
      <c r="BM41" s="2" t="n">
        <f aca="false">MAX(BL40+IF($A41=BM$4,1,-1),BM40-1,BL41-1)</f>
        <v>-52</v>
      </c>
      <c r="BN41" s="2" t="n">
        <f aca="false">MAX(BM40+IF($A41=BN$4,1,-1),BN40-1,BM41-1)</f>
        <v>-52</v>
      </c>
      <c r="BO41" s="2" t="n">
        <f aca="false">MAX(BN40+IF($A41=BO$4,1,-1),BO40-1,BN41-1)</f>
        <v>-53</v>
      </c>
      <c r="BP41" s="2" t="n">
        <f aca="false">MAX(BO40+IF($A41=BP$4,1,-1),BP40-1,BO41-1)</f>
        <v>-54</v>
      </c>
      <c r="BQ41" s="2" t="n">
        <f aca="false">MAX(BP40+IF($A41=BQ$4,1,-1),BQ40-1,BP41-1)</f>
        <v>-55</v>
      </c>
      <c r="BR41" s="2" t="n">
        <f aca="false">MAX(BQ40+IF($A41=BR$4,1,-1),BR40-1,BQ41-1)</f>
        <v>-56</v>
      </c>
      <c r="BS41" s="2" t="n">
        <f aca="false">MAX(BR40+IF($A41=BS$4,1,-1),BS40-1,BR41-1)</f>
        <v>-57</v>
      </c>
      <c r="BT41" s="2" t="n">
        <f aca="false">MAX(BS40+IF($A41=BT$4,1,-1),BT40-1,BS41-1)</f>
        <v>-58</v>
      </c>
      <c r="BU41" s="2" t="n">
        <f aca="false">MAX(BT40+IF($A41=BU$4,1,-1),BU40-1,BT41-1)</f>
        <v>-59</v>
      </c>
      <c r="BV41" s="2" t="n">
        <f aca="false">MAX(BU40+IF($A41=BV$4,1,-1),BV40-1,BU41-1)</f>
        <v>-60</v>
      </c>
      <c r="BW41" s="2" t="n">
        <f aca="false">MAX(BV40+IF($A41=BW$4,1,-1),BW40-1,BV41-1)</f>
        <v>-61</v>
      </c>
      <c r="BX41" s="2" t="n">
        <f aca="false">MAX(BW40+IF($A41=BX$4,1,-1),BX40-1,BW41-1)</f>
        <v>-62</v>
      </c>
      <c r="BY41" s="2" t="n">
        <f aca="false">MAX(BX40+IF($A41=BY$4,1,-1),BY40-1,BX41-1)</f>
        <v>-63</v>
      </c>
      <c r="BZ41" s="2" t="n">
        <f aca="false">MAX(BY40+IF($A41=BZ$4,1,-1),BZ40-1,BY41-1)</f>
        <v>-64</v>
      </c>
      <c r="CA41" s="2" t="n">
        <f aca="false">MAX(BZ40+IF($A41=CA$4,1,-1),CA40-1,BZ41-1)</f>
        <v>-65</v>
      </c>
      <c r="CB41" s="2" t="n">
        <f aca="false">MAX(CA40+IF($A41=CB$4,1,-1),CB40-1,CA41-1)</f>
        <v>-66</v>
      </c>
      <c r="CC41" s="2" t="n">
        <f aca="false">MAX(CB40+IF($A41=CC$4,1,-1),CC40-1,CB41-1)</f>
        <v>-67</v>
      </c>
      <c r="CD41" s="2" t="n">
        <f aca="false">MAX(CC40+IF($A41=CD$4,1,-1),CD40-1,CC41-1)</f>
        <v>-68</v>
      </c>
      <c r="CE41" s="2" t="n">
        <f aca="false">MAX(CD40+IF($A41=CE$4,1,-1),CE40-1,CD41-1)</f>
        <v>-69</v>
      </c>
      <c r="CF41" s="2" t="n">
        <f aca="false">MAX(CE40+IF($A41=CF$4,1,-1),CF40-1,CE41-1)</f>
        <v>-70</v>
      </c>
      <c r="CG41" s="2" t="n">
        <f aca="false">MAX(CF40+IF($A41=CG$4,1,-1),CG40-1,CF41-1)</f>
        <v>-71</v>
      </c>
      <c r="CH41" s="2" t="n">
        <f aca="false">MAX(CG40+IF($A41=CH$4,1,-1),CH40-1,CG41-1)</f>
        <v>-72</v>
      </c>
      <c r="CI41" s="2" t="n">
        <f aca="false">MAX(CH40+IF($A41=CI$4,1,-1),CI40-1,CH41-1)</f>
        <v>-73</v>
      </c>
      <c r="CJ41" s="2" t="n">
        <f aca="false">MAX(CI40+IF($A41=CJ$4,1,-1),CJ40-1,CI41-1)</f>
        <v>-74</v>
      </c>
      <c r="CK41" s="2" t="n">
        <f aca="false">MAX(CJ40+IF($A41=CK$4,1,-1),CK40-1,CJ41-1)</f>
        <v>-75</v>
      </c>
      <c r="CL41" s="2" t="n">
        <f aca="false">MAX(CK40+IF($A41=CL$4,1,-1),CL40-1,CK41-1)</f>
        <v>-76</v>
      </c>
      <c r="CM41" s="2" t="n">
        <f aca="false">MAX(CL40+IF($A41=CM$4,1,-1),CM40-1,CL41-1)</f>
        <v>-77</v>
      </c>
      <c r="CN41" s="2" t="n">
        <f aca="false">MAX(CM40+IF($A41=CN$4,1,-1),CN40-1,CM41-1)</f>
        <v>-78</v>
      </c>
      <c r="CO41" s="2" t="n">
        <f aca="false">MAX(CN40+IF($A41=CO$4,1,-1),CO40-1,CN41-1)</f>
        <v>-79</v>
      </c>
      <c r="CP41" s="2" t="n">
        <f aca="false">MAX(CO40+IF($A41=CP$4,1,-1),CP40-1,CO41-1)</f>
        <v>-80</v>
      </c>
      <c r="CQ41" s="2" t="n">
        <f aca="false">MAX(CP40+IF($A41=CQ$4,1,-1),CQ40-1,CP41-1)</f>
        <v>-81</v>
      </c>
    </row>
    <row r="42" customFormat="false" ht="15" hidden="false" customHeight="false" outlineLevel="0" collapsed="false">
      <c r="A42" s="4" t="s">
        <v>167</v>
      </c>
      <c r="B42" s="12" t="n">
        <v>-37</v>
      </c>
      <c r="C42" s="2" t="n">
        <f aca="false">MAX(B41+IF($A42=C$4,1,-1),C41-1,B42-1)</f>
        <v>-37</v>
      </c>
      <c r="D42" s="2" t="n">
        <f aca="false">MAX(C41+IF($A42=D$4,1,-1),D41-1,C42-1)</f>
        <v>-35</v>
      </c>
      <c r="E42" s="2" t="n">
        <f aca="false">MAX(D41+IF($A42=E$4,1,-1),E41-1,D42-1)</f>
        <v>-33</v>
      </c>
      <c r="F42" s="2" t="n">
        <f aca="false">MAX(E41+IF($A42=F$4,1,-1),F41-1,E42-1)</f>
        <v>-31</v>
      </c>
      <c r="G42" s="2" t="n">
        <f aca="false">MAX(F41+IF($A42=G$4,1,-1),G41-1,F42-1)</f>
        <v>-31</v>
      </c>
      <c r="H42" s="2" t="n">
        <f aca="false">MAX(G41+IF($A42=H$4,1,-1),H41-1,G42-1)</f>
        <v>-31</v>
      </c>
      <c r="I42" s="2" t="n">
        <f aca="false">MAX(H41+IF($A42=I$4,1,-1),I41-1,H42-1)</f>
        <v>-31</v>
      </c>
      <c r="J42" s="2" t="n">
        <f aca="false">MAX(I41+IF($A42=J$4,1,-1),J41-1,I42-1)</f>
        <v>-31</v>
      </c>
      <c r="K42" s="2" t="n">
        <f aca="false">MAX(J41+IF($A42=K$4,1,-1),K41-1,J42-1)</f>
        <v>-30</v>
      </c>
      <c r="L42" s="2" t="n">
        <f aca="false">MAX(K41+IF($A42=L$4,1,-1),L41-1,K42-1)</f>
        <v>-30</v>
      </c>
      <c r="M42" s="2" t="n">
        <f aca="false">MAX(L41+IF($A42=M$4,1,-1),M41-1,L42-1)</f>
        <v>-30</v>
      </c>
      <c r="N42" s="2" t="n">
        <f aca="false">MAX(M41+IF($A42=N$4,1,-1),N41-1,M42-1)</f>
        <v>-28</v>
      </c>
      <c r="O42" s="2" t="n">
        <f aca="false">MAX(N41+IF($A42=O$4,1,-1),O41-1,N42-1)</f>
        <v>-27</v>
      </c>
      <c r="P42" s="2" t="n">
        <f aca="false">MAX(O41+IF($A42=P$4,1,-1),P41-1,O42-1)</f>
        <v>-27</v>
      </c>
      <c r="Q42" s="2" t="n">
        <f aca="false">MAX(P41+IF($A42=Q$4,1,-1),Q41-1,P42-1)</f>
        <v>-27</v>
      </c>
      <c r="R42" s="2" t="n">
        <f aca="false">MAX(Q41+IF($A42=R$4,1,-1),R41-1,Q42-1)</f>
        <v>-27</v>
      </c>
      <c r="S42" s="2" t="n">
        <f aca="false">MAX(R41+IF($A42=S$4,1,-1),S41-1,R42-1)</f>
        <v>-27</v>
      </c>
      <c r="T42" s="2" t="n">
        <f aca="false">MAX(S41+IF($A42=T$4,1,-1),T41-1,S42-1)</f>
        <v>-27</v>
      </c>
      <c r="U42" s="2" t="n">
        <f aca="false">MAX(T41+IF($A42=U$4,1,-1),U41-1,T42-1)</f>
        <v>-27</v>
      </c>
      <c r="V42" s="2" t="n">
        <f aca="false">MAX(U41+IF($A42=V$4,1,-1),V41-1,U42-1)</f>
        <v>-27</v>
      </c>
      <c r="W42" s="2" t="n">
        <f aca="false">MAX(V41+IF($A42=W$4,1,-1),W41-1,V42-1)</f>
        <v>-27</v>
      </c>
      <c r="X42" s="2" t="n">
        <f aca="false">MAX(W41+IF($A42=X$4,1,-1),X41-1,W42-1)</f>
        <v>-28</v>
      </c>
      <c r="Y42" s="2" t="n">
        <f aca="false">MAX(X41+IF($A42=Y$4,1,-1),Y41-1,X42-1)</f>
        <v>-29</v>
      </c>
      <c r="Z42" s="2" t="n">
        <f aca="false">MAX(Y41+IF($A42=Z$4,1,-1),Z41-1,Y42-1)</f>
        <v>-29</v>
      </c>
      <c r="AA42" s="2" t="n">
        <f aca="false">MAX(Z41+IF($A42=AA$4,1,-1),AA41-1,Z42-1)</f>
        <v>-29</v>
      </c>
      <c r="AB42" s="2" t="n">
        <f aca="false">MAX(AA41+IF($A42=AB$4,1,-1),AB41-1,AA42-1)</f>
        <v>-29</v>
      </c>
      <c r="AC42" s="2" t="n">
        <f aca="false">MAX(AB41+IF($A42=AC$4,1,-1),AC41-1,AB42-1)</f>
        <v>-29</v>
      </c>
      <c r="AD42" s="2" t="n">
        <f aca="false">MAX(AC41+IF($A42=AD$4,1,-1),AD41-1,AC42-1)</f>
        <v>-29</v>
      </c>
      <c r="AE42" s="2" t="n">
        <f aca="false">MAX(AD41+IF($A42=AE$4,1,-1),AE41-1,AD42-1)</f>
        <v>-29</v>
      </c>
      <c r="AF42" s="2" t="n">
        <f aca="false">MAX(AE41+IF($A42=AF$4,1,-1),AF41-1,AE42-1)</f>
        <v>-29</v>
      </c>
      <c r="AG42" s="2" t="n">
        <f aca="false">MAX(AF41+IF($A42=AG$4,1,-1),AG41-1,AF42-1)</f>
        <v>-29</v>
      </c>
      <c r="AH42" s="2" t="n">
        <f aca="false">MAX(AG41+IF($A42=AH$4,1,-1),AH41-1,AG42-1)</f>
        <v>-29</v>
      </c>
      <c r="AI42" s="2" t="n">
        <f aca="false">MAX(AH41+IF($A42=AI$4,1,-1),AI41-1,AH42-1)</f>
        <v>-30</v>
      </c>
      <c r="AJ42" s="2" t="n">
        <f aca="false">MAX(AI41+IF($A42=AJ$4,1,-1),AJ41-1,AI42-1)</f>
        <v>-30</v>
      </c>
      <c r="AK42" s="2" t="n">
        <f aca="false">MAX(AJ41+IF($A42=AK$4,1,-1),AK41-1,AJ42-1)</f>
        <v>-30</v>
      </c>
      <c r="AL42" s="2" t="n">
        <f aca="false">MAX(AK41+IF($A42=AL$4,1,-1),AL41-1,AK42-1)</f>
        <v>-31</v>
      </c>
      <c r="AM42" s="2" t="n">
        <f aca="false">MAX(AL41+IF($A42=AM$4,1,-1),AM41-1,AL42-1)</f>
        <v>-31</v>
      </c>
      <c r="AN42" s="2" t="n">
        <f aca="false">MAX(AM41+IF($A42=AN$4,1,-1),AN41-1,AM42-1)</f>
        <v>-31</v>
      </c>
      <c r="AO42" s="2" t="n">
        <f aca="false">MAX(AN41+IF($A42=AO$4,1,-1),AO41-1,AN42-1)</f>
        <v>-31</v>
      </c>
      <c r="AP42" s="2" t="n">
        <f aca="false">MAX(AO41+IF($A42=AP$4,1,-1),AP41-1,AO42-1)</f>
        <v>-32</v>
      </c>
      <c r="AQ42" s="2" t="n">
        <f aca="false">MAX(AP41+IF($A42=AQ$4,1,-1),AQ41-1,AP42-1)</f>
        <v>-33</v>
      </c>
      <c r="AR42" s="2" t="n">
        <f aca="false">MAX(AQ41+IF($A42=AR$4,1,-1),AR41-1,AQ42-1)</f>
        <v>-34</v>
      </c>
      <c r="AS42" s="2" t="n">
        <f aca="false">MAX(AR41+IF($A42=AS$4,1,-1),AS41-1,AR42-1)</f>
        <v>-35</v>
      </c>
      <c r="AT42" s="2" t="n">
        <f aca="false">MAX(AS41+IF($A42=AT$4,1,-1),AT41-1,AS42-1)</f>
        <v>-36</v>
      </c>
      <c r="AU42" s="2" t="n">
        <f aca="false">MAX(AT41+IF($A42=AU$4,1,-1),AU41-1,AT42-1)</f>
        <v>-37</v>
      </c>
      <c r="AV42" s="2" t="n">
        <f aca="false">MAX(AU41+IF($A42=AV$4,1,-1),AV41-1,AU42-1)</f>
        <v>-38</v>
      </c>
      <c r="AW42" s="2" t="n">
        <f aca="false">MAX(AV41+IF($A42=AW$4,1,-1),AW41-1,AV42-1)</f>
        <v>-39</v>
      </c>
      <c r="AX42" s="2" t="n">
        <f aca="false">MAX(AW41+IF($A42=AX$4,1,-1),AX41-1,AW42-1)</f>
        <v>-40</v>
      </c>
      <c r="AY42" s="2" t="n">
        <f aca="false">MAX(AX41+IF($A42=AY$4,1,-1),AY41-1,AX42-1)</f>
        <v>-41</v>
      </c>
      <c r="AZ42" s="2" t="n">
        <f aca="false">MAX(AY41+IF($A42=AZ$4,1,-1),AZ41-1,AY42-1)</f>
        <v>-42</v>
      </c>
      <c r="BA42" s="2" t="n">
        <f aca="false">MAX(AZ41+IF($A42=BA$4,1,-1),BA41-1,AZ42-1)</f>
        <v>-43</v>
      </c>
      <c r="BB42" s="2" t="n">
        <f aca="false">MAX(BA41+IF($A42=BB$4,1,-1),BB41-1,BA42-1)</f>
        <v>-44</v>
      </c>
      <c r="BC42" s="2" t="n">
        <f aca="false">MAX(BB41+IF($A42=BC$4,1,-1),BC41-1,BB42-1)</f>
        <v>-45</v>
      </c>
      <c r="BD42" s="2" t="n">
        <f aca="false">MAX(BC41+IF($A42=BD$4,1,-1),BD41-1,BC42-1)</f>
        <v>-45</v>
      </c>
      <c r="BE42" s="2" t="n">
        <f aca="false">MAX(BD41+IF($A42=BE$4,1,-1),BE41-1,BD42-1)</f>
        <v>-45</v>
      </c>
      <c r="BF42" s="2" t="n">
        <f aca="false">MAX(BE41+IF($A42=BF$4,1,-1),BF41-1,BE42-1)</f>
        <v>-46</v>
      </c>
      <c r="BG42" s="2" t="n">
        <f aca="false">MAX(BF41+IF($A42=BG$4,1,-1),BG41-1,BF42-1)</f>
        <v>-47</v>
      </c>
      <c r="BH42" s="2" t="n">
        <f aca="false">MAX(BG41+IF($A42=BH$4,1,-1),BH41-1,BG42-1)</f>
        <v>-48</v>
      </c>
      <c r="BI42" s="2" t="n">
        <f aca="false">MAX(BH41+IF($A42=BI$4,1,-1),BI41-1,BH42-1)</f>
        <v>-49</v>
      </c>
      <c r="BJ42" s="2" t="n">
        <f aca="false">MAX(BI41+IF($A42=BJ$4,1,-1),BJ41-1,BI42-1)</f>
        <v>-50</v>
      </c>
      <c r="BK42" s="2" t="n">
        <f aca="false">MAX(BJ41+IF($A42=BK$4,1,-1),BK41-1,BJ42-1)</f>
        <v>-51</v>
      </c>
      <c r="BL42" s="2" t="n">
        <f aca="false">MAX(BK41+IF($A42=BL$4,1,-1),BL41-1,BK42-1)</f>
        <v>-52</v>
      </c>
      <c r="BM42" s="2" t="n">
        <f aca="false">MAX(BL41+IF($A42=BM$4,1,-1),BM41-1,BL42-1)</f>
        <v>-53</v>
      </c>
      <c r="BN42" s="2" t="n">
        <f aca="false">MAX(BM41+IF($A42=BN$4,1,-1),BN41-1,BM42-1)</f>
        <v>-53</v>
      </c>
      <c r="BO42" s="2" t="n">
        <f aca="false">MAX(BN41+IF($A42=BO$4,1,-1),BO41-1,BN42-1)</f>
        <v>-53</v>
      </c>
      <c r="BP42" s="2" t="n">
        <f aca="false">MAX(BO41+IF($A42=BP$4,1,-1),BP41-1,BO42-1)</f>
        <v>-54</v>
      </c>
      <c r="BQ42" s="2" t="n">
        <f aca="false">MAX(BP41+IF($A42=BQ$4,1,-1),BQ41-1,BP42-1)</f>
        <v>-55</v>
      </c>
      <c r="BR42" s="2" t="n">
        <f aca="false">MAX(BQ41+IF($A42=BR$4,1,-1),BR41-1,BQ42-1)</f>
        <v>-56</v>
      </c>
      <c r="BS42" s="2" t="n">
        <f aca="false">MAX(BR41+IF($A42=BS$4,1,-1),BS41-1,BR42-1)</f>
        <v>-57</v>
      </c>
      <c r="BT42" s="2" t="n">
        <f aca="false">MAX(BS41+IF($A42=BT$4,1,-1),BT41-1,BS42-1)</f>
        <v>-58</v>
      </c>
      <c r="BU42" s="2" t="n">
        <f aca="false">MAX(BT41+IF($A42=BU$4,1,-1),BU41-1,BT42-1)</f>
        <v>-59</v>
      </c>
      <c r="BV42" s="2" t="n">
        <f aca="false">MAX(BU41+IF($A42=BV$4,1,-1),BV41-1,BU42-1)</f>
        <v>-60</v>
      </c>
      <c r="BW42" s="2" t="n">
        <f aca="false">MAX(BV41+IF($A42=BW$4,1,-1),BW41-1,BV42-1)</f>
        <v>-61</v>
      </c>
      <c r="BX42" s="2" t="n">
        <f aca="false">MAX(BW41+IF($A42=BX$4,1,-1),BX41-1,BW42-1)</f>
        <v>-62</v>
      </c>
      <c r="BY42" s="2" t="n">
        <f aca="false">MAX(BX41+IF($A42=BY$4,1,-1),BY41-1,BX42-1)</f>
        <v>-63</v>
      </c>
      <c r="BZ42" s="2" t="n">
        <f aca="false">MAX(BY41+IF($A42=BZ$4,1,-1),BZ41-1,BY42-1)</f>
        <v>-64</v>
      </c>
      <c r="CA42" s="2" t="n">
        <f aca="false">MAX(BZ41+IF($A42=CA$4,1,-1),CA41-1,BZ42-1)</f>
        <v>-65</v>
      </c>
      <c r="CB42" s="2" t="n">
        <f aca="false">MAX(CA41+IF($A42=CB$4,1,-1),CB41-1,CA42-1)</f>
        <v>-66</v>
      </c>
      <c r="CC42" s="2" t="n">
        <f aca="false">MAX(CB41+IF($A42=CC$4,1,-1),CC41-1,CB42-1)</f>
        <v>-67</v>
      </c>
      <c r="CD42" s="2" t="n">
        <f aca="false">MAX(CC41+IF($A42=CD$4,1,-1),CD41-1,CC42-1)</f>
        <v>-68</v>
      </c>
      <c r="CE42" s="2" t="n">
        <f aca="false">MAX(CD41+IF($A42=CE$4,1,-1),CE41-1,CD42-1)</f>
        <v>-69</v>
      </c>
      <c r="CF42" s="2" t="n">
        <f aca="false">MAX(CE41+IF($A42=CF$4,1,-1),CF41-1,CE42-1)</f>
        <v>-70</v>
      </c>
      <c r="CG42" s="2" t="n">
        <f aca="false">MAX(CF41+IF($A42=CG$4,1,-1),CG41-1,CF42-1)</f>
        <v>-71</v>
      </c>
      <c r="CH42" s="2" t="n">
        <f aca="false">MAX(CG41+IF($A42=CH$4,1,-1),CH41-1,CG42-1)</f>
        <v>-72</v>
      </c>
      <c r="CI42" s="2" t="n">
        <f aca="false">MAX(CH41+IF($A42=CI$4,1,-1),CI41-1,CH42-1)</f>
        <v>-73</v>
      </c>
      <c r="CJ42" s="2" t="n">
        <f aca="false">MAX(CI41+IF($A42=CJ$4,1,-1),CJ41-1,CI42-1)</f>
        <v>-74</v>
      </c>
      <c r="CK42" s="2" t="n">
        <f aca="false">MAX(CJ41+IF($A42=CK$4,1,-1),CK41-1,CJ42-1)</f>
        <v>-75</v>
      </c>
      <c r="CL42" s="2" t="n">
        <f aca="false">MAX(CK41+IF($A42=CL$4,1,-1),CL41-1,CK42-1)</f>
        <v>-76</v>
      </c>
      <c r="CM42" s="2" t="n">
        <f aca="false">MAX(CL41+IF($A42=CM$4,1,-1),CM41-1,CL42-1)</f>
        <v>-77</v>
      </c>
      <c r="CN42" s="2" t="n">
        <f aca="false">MAX(CM41+IF($A42=CN$4,1,-1),CN41-1,CM42-1)</f>
        <v>-78</v>
      </c>
      <c r="CO42" s="2" t="n">
        <f aca="false">MAX(CN41+IF($A42=CO$4,1,-1),CO41-1,CN42-1)</f>
        <v>-79</v>
      </c>
      <c r="CP42" s="2" t="n">
        <f aca="false">MAX(CO41+IF($A42=CP$4,1,-1),CP41-1,CO42-1)</f>
        <v>-80</v>
      </c>
      <c r="CQ42" s="2" t="n">
        <f aca="false">MAX(CP41+IF($A42=CQ$4,1,-1),CQ41-1,CP42-1)</f>
        <v>-81</v>
      </c>
    </row>
    <row r="43" customFormat="false" ht="15" hidden="false" customHeight="false" outlineLevel="0" collapsed="false">
      <c r="A43" s="4" t="s">
        <v>168</v>
      </c>
      <c r="B43" s="12" t="n">
        <v>-38</v>
      </c>
      <c r="C43" s="2" t="n">
        <f aca="false">MAX(B42+IF($A43=C$4,1,-1),C42-1,B43-1)</f>
        <v>-38</v>
      </c>
      <c r="D43" s="2" t="n">
        <f aca="false">MAX(C42+IF($A43=D$4,1,-1),D42-1,C43-1)</f>
        <v>-36</v>
      </c>
      <c r="E43" s="2" t="n">
        <f aca="false">MAX(D42+IF($A43=E$4,1,-1),E42-1,D43-1)</f>
        <v>-34</v>
      </c>
      <c r="F43" s="2" t="n">
        <f aca="false">MAX(E42+IF($A43=F$4,1,-1),F42-1,E43-1)</f>
        <v>-32</v>
      </c>
      <c r="G43" s="2" t="n">
        <f aca="false">MAX(F42+IF($A43=G$4,1,-1),G42-1,F43-1)</f>
        <v>-32</v>
      </c>
      <c r="H43" s="2" t="n">
        <f aca="false">MAX(G42+IF($A43=H$4,1,-1),H42-1,G43-1)</f>
        <v>-32</v>
      </c>
      <c r="I43" s="2" t="n">
        <f aca="false">MAX(H42+IF($A43=I$4,1,-1),I42-1,H43-1)</f>
        <v>-32</v>
      </c>
      <c r="J43" s="2" t="n">
        <f aca="false">MAX(I42+IF($A43=J$4,1,-1),J42-1,I43-1)</f>
        <v>-32</v>
      </c>
      <c r="K43" s="2" t="n">
        <f aca="false">MAX(J42+IF($A43=K$4,1,-1),K42-1,J43-1)</f>
        <v>-31</v>
      </c>
      <c r="L43" s="2" t="n">
        <f aca="false">MAX(K42+IF($A43=L$4,1,-1),L42-1,K43-1)</f>
        <v>-31</v>
      </c>
      <c r="M43" s="2" t="n">
        <f aca="false">MAX(L42+IF($A43=M$4,1,-1),M42-1,L43-1)</f>
        <v>-31</v>
      </c>
      <c r="N43" s="2" t="n">
        <f aca="false">MAX(M42+IF($A43=N$4,1,-1),N42-1,M43-1)</f>
        <v>-29</v>
      </c>
      <c r="O43" s="2" t="n">
        <f aca="false">MAX(N42+IF($A43=O$4,1,-1),O42-1,N43-1)</f>
        <v>-28</v>
      </c>
      <c r="P43" s="2" t="n">
        <f aca="false">MAX(O42+IF($A43=P$4,1,-1),P42-1,O43-1)</f>
        <v>-28</v>
      </c>
      <c r="Q43" s="2" t="n">
        <f aca="false">MAX(P42+IF($A43=Q$4,1,-1),Q42-1,P43-1)</f>
        <v>-28</v>
      </c>
      <c r="R43" s="2" t="n">
        <f aca="false">MAX(Q42+IF($A43=R$4,1,-1),R42-1,Q43-1)</f>
        <v>-28</v>
      </c>
      <c r="S43" s="2" t="n">
        <f aca="false">MAX(R42+IF($A43=S$4,1,-1),S42-1,R43-1)</f>
        <v>-28</v>
      </c>
      <c r="T43" s="2" t="n">
        <f aca="false">MAX(S42+IF($A43=T$4,1,-1),T42-1,S43-1)</f>
        <v>-28</v>
      </c>
      <c r="U43" s="2" t="n">
        <f aca="false">MAX(T42+IF($A43=U$4,1,-1),U42-1,T43-1)</f>
        <v>-28</v>
      </c>
      <c r="V43" s="2" t="n">
        <f aca="false">MAX(U42+IF($A43=V$4,1,-1),V42-1,U43-1)</f>
        <v>-28</v>
      </c>
      <c r="W43" s="2" t="n">
        <f aca="false">MAX(V42+IF($A43=W$4,1,-1),W42-1,V43-1)</f>
        <v>-28</v>
      </c>
      <c r="X43" s="2" t="n">
        <f aca="false">MAX(W42+IF($A43=X$4,1,-1),X42-1,W43-1)</f>
        <v>-28</v>
      </c>
      <c r="Y43" s="2" t="n">
        <f aca="false">MAX(X42+IF($A43=Y$4,1,-1),Y42-1,X43-1)</f>
        <v>-29</v>
      </c>
      <c r="Z43" s="2" t="n">
        <f aca="false">MAX(Y42+IF($A43=Z$4,1,-1),Z42-1,Y43-1)</f>
        <v>-30</v>
      </c>
      <c r="AA43" s="2" t="n">
        <f aca="false">MAX(Z42+IF($A43=AA$4,1,-1),AA42-1,Z43-1)</f>
        <v>-30</v>
      </c>
      <c r="AB43" s="2" t="n">
        <f aca="false">MAX(AA42+IF($A43=AB$4,1,-1),AB42-1,AA43-1)</f>
        <v>-30</v>
      </c>
      <c r="AC43" s="2" t="n">
        <f aca="false">MAX(AB42+IF($A43=AC$4,1,-1),AC42-1,AB43-1)</f>
        <v>-30</v>
      </c>
      <c r="AD43" s="2" t="n">
        <f aca="false">MAX(AC42+IF($A43=AD$4,1,-1),AD42-1,AC43-1)</f>
        <v>-30</v>
      </c>
      <c r="AE43" s="2" t="n">
        <f aca="false">MAX(AD42+IF($A43=AE$4,1,-1),AE42-1,AD43-1)</f>
        <v>-30</v>
      </c>
      <c r="AF43" s="2" t="n">
        <f aca="false">MAX(AE42+IF($A43=AF$4,1,-1),AF42-1,AE43-1)</f>
        <v>-30</v>
      </c>
      <c r="AG43" s="2" t="n">
        <f aca="false">MAX(AF42+IF($A43=AG$4,1,-1),AG42-1,AF43-1)</f>
        <v>-30</v>
      </c>
      <c r="AH43" s="2" t="n">
        <f aca="false">MAX(AG42+IF($A43=AH$4,1,-1),AH42-1,AG43-1)</f>
        <v>-30</v>
      </c>
      <c r="AI43" s="2" t="n">
        <f aca="false">MAX(AH42+IF($A43=AI$4,1,-1),AI42-1,AH43-1)</f>
        <v>-30</v>
      </c>
      <c r="AJ43" s="2" t="n">
        <f aca="false">MAX(AI42+IF($A43=AJ$4,1,-1),AJ42-1,AI43-1)</f>
        <v>-31</v>
      </c>
      <c r="AK43" s="2" t="n">
        <f aca="false">MAX(AJ42+IF($A43=AK$4,1,-1),AK42-1,AJ43-1)</f>
        <v>-31</v>
      </c>
      <c r="AL43" s="2" t="n">
        <f aca="false">MAX(AK42+IF($A43=AL$4,1,-1),AL42-1,AK43-1)</f>
        <v>-31</v>
      </c>
      <c r="AM43" s="2" t="n">
        <f aca="false">MAX(AL42+IF($A43=AM$4,1,-1),AM42-1,AL43-1)</f>
        <v>-32</v>
      </c>
      <c r="AN43" s="2" t="n">
        <f aca="false">MAX(AM42+IF($A43=AN$4,1,-1),AN42-1,AM43-1)</f>
        <v>-32</v>
      </c>
      <c r="AO43" s="2" t="n">
        <f aca="false">MAX(AN42+IF($A43=AO$4,1,-1),AO42-1,AN43-1)</f>
        <v>-32</v>
      </c>
      <c r="AP43" s="2" t="n">
        <f aca="false">MAX(AO42+IF($A43=AP$4,1,-1),AP42-1,AO43-1)</f>
        <v>-32</v>
      </c>
      <c r="AQ43" s="2" t="n">
        <f aca="false">MAX(AP42+IF($A43=AQ$4,1,-1),AQ42-1,AP43-1)</f>
        <v>-33</v>
      </c>
      <c r="AR43" s="2" t="n">
        <f aca="false">MAX(AQ42+IF($A43=AR$4,1,-1),AR42-1,AQ43-1)</f>
        <v>-34</v>
      </c>
      <c r="AS43" s="2" t="n">
        <f aca="false">MAX(AR42+IF($A43=AS$4,1,-1),AS42-1,AR43-1)</f>
        <v>-35</v>
      </c>
      <c r="AT43" s="2" t="n">
        <f aca="false">MAX(AS42+IF($A43=AT$4,1,-1),AT42-1,AS43-1)</f>
        <v>-36</v>
      </c>
      <c r="AU43" s="2" t="n">
        <f aca="false">MAX(AT42+IF($A43=AU$4,1,-1),AU42-1,AT43-1)</f>
        <v>-37</v>
      </c>
      <c r="AV43" s="2" t="n">
        <f aca="false">MAX(AU42+IF($A43=AV$4,1,-1),AV42-1,AU43-1)</f>
        <v>-38</v>
      </c>
      <c r="AW43" s="2" t="n">
        <f aca="false">MAX(AV42+IF($A43=AW$4,1,-1),AW42-1,AV43-1)</f>
        <v>-39</v>
      </c>
      <c r="AX43" s="2" t="n">
        <f aca="false">MAX(AW42+IF($A43=AX$4,1,-1),AX42-1,AW43-1)</f>
        <v>-40</v>
      </c>
      <c r="AY43" s="2" t="n">
        <f aca="false">MAX(AX42+IF($A43=AY$4,1,-1),AY42-1,AX43-1)</f>
        <v>-41</v>
      </c>
      <c r="AZ43" s="2" t="n">
        <f aca="false">MAX(AY42+IF($A43=AZ$4,1,-1),AZ42-1,AY43-1)</f>
        <v>-42</v>
      </c>
      <c r="BA43" s="2" t="n">
        <f aca="false">MAX(AZ42+IF($A43=BA$4,1,-1),BA42-1,AZ43-1)</f>
        <v>-43</v>
      </c>
      <c r="BB43" s="2" t="n">
        <f aca="false">MAX(BA42+IF($A43=BB$4,1,-1),BB42-1,BA43-1)</f>
        <v>-44</v>
      </c>
      <c r="BC43" s="2" t="n">
        <f aca="false">MAX(BB42+IF($A43=BC$4,1,-1),BC42-1,BB43-1)</f>
        <v>-45</v>
      </c>
      <c r="BD43" s="2" t="n">
        <f aca="false">MAX(BC42+IF($A43=BD$4,1,-1),BD42-1,BC43-1)</f>
        <v>-46</v>
      </c>
      <c r="BE43" s="2" t="n">
        <f aca="false">MAX(BD42+IF($A43=BE$4,1,-1),BE42-1,BD43-1)</f>
        <v>-46</v>
      </c>
      <c r="BF43" s="2" t="n">
        <f aca="false">MAX(BE42+IF($A43=BF$4,1,-1),BF42-1,BE43-1)</f>
        <v>-46</v>
      </c>
      <c r="BG43" s="2" t="n">
        <f aca="false">MAX(BF42+IF($A43=BG$4,1,-1),BG42-1,BF43-1)</f>
        <v>-47</v>
      </c>
      <c r="BH43" s="2" t="n">
        <f aca="false">MAX(BG42+IF($A43=BH$4,1,-1),BH42-1,BG43-1)</f>
        <v>-48</v>
      </c>
      <c r="BI43" s="2" t="n">
        <f aca="false">MAX(BH42+IF($A43=BI$4,1,-1),BI42-1,BH43-1)</f>
        <v>-49</v>
      </c>
      <c r="BJ43" s="2" t="n">
        <f aca="false">MAX(BI42+IF($A43=BJ$4,1,-1),BJ42-1,BI43-1)</f>
        <v>-50</v>
      </c>
      <c r="BK43" s="2" t="n">
        <f aca="false">MAX(BJ42+IF($A43=BK$4,1,-1),BK42-1,BJ43-1)</f>
        <v>-51</v>
      </c>
      <c r="BL43" s="2" t="n">
        <f aca="false">MAX(BK42+IF($A43=BL$4,1,-1),BL42-1,BK43-1)</f>
        <v>-52</v>
      </c>
      <c r="BM43" s="2" t="n">
        <f aca="false">MAX(BL42+IF($A43=BM$4,1,-1),BM42-1,BL43-1)</f>
        <v>-53</v>
      </c>
      <c r="BN43" s="2" t="n">
        <f aca="false">MAX(BM42+IF($A43=BN$4,1,-1),BN42-1,BM43-1)</f>
        <v>-54</v>
      </c>
      <c r="BO43" s="2" t="n">
        <f aca="false">MAX(BN42+IF($A43=BO$4,1,-1),BO42-1,BN43-1)</f>
        <v>-54</v>
      </c>
      <c r="BP43" s="2" t="n">
        <f aca="false">MAX(BO42+IF($A43=BP$4,1,-1),BP42-1,BO43-1)</f>
        <v>-54</v>
      </c>
      <c r="BQ43" s="2" t="n">
        <f aca="false">MAX(BP42+IF($A43=BQ$4,1,-1),BQ42-1,BP43-1)</f>
        <v>-55</v>
      </c>
      <c r="BR43" s="2" t="n">
        <f aca="false">MAX(BQ42+IF($A43=BR$4,1,-1),BR42-1,BQ43-1)</f>
        <v>-56</v>
      </c>
      <c r="BS43" s="2" t="n">
        <f aca="false">MAX(BR42+IF($A43=BS$4,1,-1),BS42-1,BR43-1)</f>
        <v>-57</v>
      </c>
      <c r="BT43" s="2" t="n">
        <f aca="false">MAX(BS42+IF($A43=BT$4,1,-1),BT42-1,BS43-1)</f>
        <v>-58</v>
      </c>
      <c r="BU43" s="2" t="n">
        <f aca="false">MAX(BT42+IF($A43=BU$4,1,-1),BU42-1,BT43-1)</f>
        <v>-59</v>
      </c>
      <c r="BV43" s="2" t="n">
        <f aca="false">MAX(BU42+IF($A43=BV$4,1,-1),BV42-1,BU43-1)</f>
        <v>-60</v>
      </c>
      <c r="BW43" s="2" t="n">
        <f aca="false">MAX(BV42+IF($A43=BW$4,1,-1),BW42-1,BV43-1)</f>
        <v>-61</v>
      </c>
      <c r="BX43" s="2" t="n">
        <f aca="false">MAX(BW42+IF($A43=BX$4,1,-1),BX42-1,BW43-1)</f>
        <v>-62</v>
      </c>
      <c r="BY43" s="2" t="n">
        <f aca="false">MAX(BX42+IF($A43=BY$4,1,-1),BY42-1,BX43-1)</f>
        <v>-63</v>
      </c>
      <c r="BZ43" s="2" t="n">
        <f aca="false">MAX(BY42+IF($A43=BZ$4,1,-1),BZ42-1,BY43-1)</f>
        <v>-64</v>
      </c>
      <c r="CA43" s="2" t="n">
        <f aca="false">MAX(BZ42+IF($A43=CA$4,1,-1),CA42-1,BZ43-1)</f>
        <v>-65</v>
      </c>
      <c r="CB43" s="2" t="n">
        <f aca="false">MAX(CA42+IF($A43=CB$4,1,-1),CB42-1,CA43-1)</f>
        <v>-66</v>
      </c>
      <c r="CC43" s="2" t="n">
        <f aca="false">MAX(CB42+IF($A43=CC$4,1,-1),CC42-1,CB43-1)</f>
        <v>-67</v>
      </c>
      <c r="CD43" s="2" t="n">
        <f aca="false">MAX(CC42+IF($A43=CD$4,1,-1),CD42-1,CC43-1)</f>
        <v>-68</v>
      </c>
      <c r="CE43" s="2" t="n">
        <f aca="false">MAX(CD42+IF($A43=CE$4,1,-1),CE42-1,CD43-1)</f>
        <v>-69</v>
      </c>
      <c r="CF43" s="2" t="n">
        <f aca="false">MAX(CE42+IF($A43=CF$4,1,-1),CF42-1,CE43-1)</f>
        <v>-70</v>
      </c>
      <c r="CG43" s="2" t="n">
        <f aca="false">MAX(CF42+IF($A43=CG$4,1,-1),CG42-1,CF43-1)</f>
        <v>-71</v>
      </c>
      <c r="CH43" s="2" t="n">
        <f aca="false">MAX(CG42+IF($A43=CH$4,1,-1),CH42-1,CG43-1)</f>
        <v>-72</v>
      </c>
      <c r="CI43" s="2" t="n">
        <f aca="false">MAX(CH42+IF($A43=CI$4,1,-1),CI42-1,CH43-1)</f>
        <v>-73</v>
      </c>
      <c r="CJ43" s="2" t="n">
        <f aca="false">MAX(CI42+IF($A43=CJ$4,1,-1),CJ42-1,CI43-1)</f>
        <v>-74</v>
      </c>
      <c r="CK43" s="2" t="n">
        <f aca="false">MAX(CJ42+IF($A43=CK$4,1,-1),CK42-1,CJ43-1)</f>
        <v>-75</v>
      </c>
      <c r="CL43" s="2" t="n">
        <f aca="false">MAX(CK42+IF($A43=CL$4,1,-1),CL42-1,CK43-1)</f>
        <v>-76</v>
      </c>
      <c r="CM43" s="2" t="n">
        <f aca="false">MAX(CL42+IF($A43=CM$4,1,-1),CM42-1,CL43-1)</f>
        <v>-77</v>
      </c>
      <c r="CN43" s="2" t="n">
        <f aca="false">MAX(CM42+IF($A43=CN$4,1,-1),CN42-1,CM43-1)</f>
        <v>-78</v>
      </c>
      <c r="CO43" s="2" t="n">
        <f aca="false">MAX(CN42+IF($A43=CO$4,1,-1),CO42-1,CN43-1)</f>
        <v>-79</v>
      </c>
      <c r="CP43" s="2" t="n">
        <f aca="false">MAX(CO42+IF($A43=CP$4,1,-1),CP42-1,CO43-1)</f>
        <v>-80</v>
      </c>
      <c r="CQ43" s="2" t="n">
        <f aca="false">MAX(CP42+IF($A43=CQ$4,1,-1),CQ42-1,CP43-1)</f>
        <v>-81</v>
      </c>
    </row>
    <row r="44" customFormat="false" ht="15" hidden="false" customHeight="false" outlineLevel="0" collapsed="false">
      <c r="A44" s="4" t="s">
        <v>156</v>
      </c>
      <c r="B44" s="12" t="n">
        <v>-39</v>
      </c>
      <c r="C44" s="2" t="n">
        <f aca="false">MAX(B43+IF($A44=C$4,1,-1),C43-1,B44-1)</f>
        <v>-39</v>
      </c>
      <c r="D44" s="2" t="n">
        <f aca="false">MAX(C43+IF($A44=D$4,1,-1),D43-1,C44-1)</f>
        <v>-37</v>
      </c>
      <c r="E44" s="2" t="n">
        <f aca="false">MAX(D43+IF($A44=E$4,1,-1),E43-1,D44-1)</f>
        <v>-35</v>
      </c>
      <c r="F44" s="2" t="n">
        <f aca="false">MAX(E43+IF($A44=F$4,1,-1),F43-1,E44-1)</f>
        <v>-33</v>
      </c>
      <c r="G44" s="2" t="n">
        <f aca="false">MAX(F43+IF($A44=G$4,1,-1),G43-1,F44-1)</f>
        <v>-33</v>
      </c>
      <c r="H44" s="2" t="n">
        <f aca="false">MAX(G43+IF($A44=H$4,1,-1),H43-1,G44-1)</f>
        <v>-33</v>
      </c>
      <c r="I44" s="2" t="n">
        <f aca="false">MAX(H43+IF($A44=I$4,1,-1),I43-1,H44-1)</f>
        <v>-33</v>
      </c>
      <c r="J44" s="2" t="n">
        <f aca="false">MAX(I43+IF($A44=J$4,1,-1),J43-1,I44-1)</f>
        <v>-33</v>
      </c>
      <c r="K44" s="2" t="n">
        <f aca="false">MAX(J43+IF($A44=K$4,1,-1),K43-1,J44-1)</f>
        <v>-32</v>
      </c>
      <c r="L44" s="2" t="n">
        <f aca="false">MAX(K43+IF($A44=L$4,1,-1),L43-1,K44-1)</f>
        <v>-32</v>
      </c>
      <c r="M44" s="2" t="n">
        <f aca="false">MAX(L43+IF($A44=M$4,1,-1),M43-1,L44-1)</f>
        <v>-32</v>
      </c>
      <c r="N44" s="2" t="n">
        <f aca="false">MAX(M43+IF($A44=N$4,1,-1),N43-1,M44-1)</f>
        <v>-30</v>
      </c>
      <c r="O44" s="2" t="n">
        <f aca="false">MAX(N43+IF($A44=O$4,1,-1),O43-1,N44-1)</f>
        <v>-29</v>
      </c>
      <c r="P44" s="2" t="n">
        <f aca="false">MAX(O43+IF($A44=P$4,1,-1),P43-1,O44-1)</f>
        <v>-29</v>
      </c>
      <c r="Q44" s="2" t="n">
        <f aca="false">MAX(P43+IF($A44=Q$4,1,-1),Q43-1,P44-1)</f>
        <v>-29</v>
      </c>
      <c r="R44" s="2" t="n">
        <f aca="false">MAX(Q43+IF($A44=R$4,1,-1),R43-1,Q44-1)</f>
        <v>-29</v>
      </c>
      <c r="S44" s="2" t="n">
        <f aca="false">MAX(R43+IF($A44=S$4,1,-1),S43-1,R44-1)</f>
        <v>-29</v>
      </c>
      <c r="T44" s="2" t="n">
        <f aca="false">MAX(S43+IF($A44=T$4,1,-1),T43-1,S44-1)</f>
        <v>-29</v>
      </c>
      <c r="U44" s="2" t="n">
        <f aca="false">MAX(T43+IF($A44=U$4,1,-1),U43-1,T44-1)</f>
        <v>-29</v>
      </c>
      <c r="V44" s="2" t="n">
        <f aca="false">MAX(U43+IF($A44=V$4,1,-1),V43-1,U44-1)</f>
        <v>-29</v>
      </c>
      <c r="W44" s="2" t="n">
        <f aca="false">MAX(V43+IF($A44=W$4,1,-1),W43-1,V44-1)</f>
        <v>-29</v>
      </c>
      <c r="X44" s="2" t="n">
        <f aca="false">MAX(W43+IF($A44=X$4,1,-1),X43-1,W44-1)</f>
        <v>-29</v>
      </c>
      <c r="Y44" s="2" t="n">
        <f aca="false">MAX(X43+IF($A44=Y$4,1,-1),Y43-1,X44-1)</f>
        <v>-29</v>
      </c>
      <c r="Z44" s="2" t="n">
        <f aca="false">MAX(Y43+IF($A44=Z$4,1,-1),Z43-1,Y44-1)</f>
        <v>-30</v>
      </c>
      <c r="AA44" s="2" t="n">
        <f aca="false">MAX(Z43+IF($A44=AA$4,1,-1),AA43-1,Z44-1)</f>
        <v>-31</v>
      </c>
      <c r="AB44" s="2" t="n">
        <f aca="false">MAX(AA43+IF($A44=AB$4,1,-1),AB43-1,AA44-1)</f>
        <v>-31</v>
      </c>
      <c r="AC44" s="2" t="n">
        <f aca="false">MAX(AB43+IF($A44=AC$4,1,-1),AC43-1,AB44-1)</f>
        <v>-31</v>
      </c>
      <c r="AD44" s="2" t="n">
        <f aca="false">MAX(AC43+IF($A44=AD$4,1,-1),AD43-1,AC44-1)</f>
        <v>-31</v>
      </c>
      <c r="AE44" s="2" t="n">
        <f aca="false">MAX(AD43+IF($A44=AE$4,1,-1),AE43-1,AD44-1)</f>
        <v>-31</v>
      </c>
      <c r="AF44" s="2" t="n">
        <f aca="false">MAX(AE43+IF($A44=AF$4,1,-1),AF43-1,AE44-1)</f>
        <v>-31</v>
      </c>
      <c r="AG44" s="2" t="n">
        <f aca="false">MAX(AF43+IF($A44=AG$4,1,-1),AG43-1,AF44-1)</f>
        <v>-31</v>
      </c>
      <c r="AH44" s="2" t="n">
        <f aca="false">MAX(AG43+IF($A44=AH$4,1,-1),AH43-1,AG44-1)</f>
        <v>-31</v>
      </c>
      <c r="AI44" s="2" t="n">
        <f aca="false">MAX(AH43+IF($A44=AI$4,1,-1),AI43-1,AH44-1)</f>
        <v>-31</v>
      </c>
      <c r="AJ44" s="2" t="n">
        <f aca="false">MAX(AI43+IF($A44=AJ$4,1,-1),AJ43-1,AI44-1)</f>
        <v>-31</v>
      </c>
      <c r="AK44" s="2" t="n">
        <f aca="false">MAX(AJ43+IF($A44=AK$4,1,-1),AK43-1,AJ44-1)</f>
        <v>-32</v>
      </c>
      <c r="AL44" s="2" t="n">
        <f aca="false">MAX(AK43+IF($A44=AL$4,1,-1),AL43-1,AK44-1)</f>
        <v>-32</v>
      </c>
      <c r="AM44" s="2" t="n">
        <f aca="false">MAX(AL43+IF($A44=AM$4,1,-1),AM43-1,AL44-1)</f>
        <v>-32</v>
      </c>
      <c r="AN44" s="2" t="n">
        <f aca="false">MAX(AM43+IF($A44=AN$4,1,-1),AN43-1,AM44-1)</f>
        <v>-33</v>
      </c>
      <c r="AO44" s="2" t="n">
        <f aca="false">MAX(AN43+IF($A44=AO$4,1,-1),AO43-1,AN44-1)</f>
        <v>-33</v>
      </c>
      <c r="AP44" s="2" t="n">
        <f aca="false">MAX(AO43+IF($A44=AP$4,1,-1),AP43-1,AO44-1)</f>
        <v>-33</v>
      </c>
      <c r="AQ44" s="2" t="n">
        <f aca="false">MAX(AP43+IF($A44=AQ$4,1,-1),AQ43-1,AP44-1)</f>
        <v>-33</v>
      </c>
      <c r="AR44" s="2" t="n">
        <f aca="false">MAX(AQ43+IF($A44=AR$4,1,-1),AR43-1,AQ44-1)</f>
        <v>-34</v>
      </c>
      <c r="AS44" s="2" t="n">
        <f aca="false">MAX(AR43+IF($A44=AS$4,1,-1),AS43-1,AR44-1)</f>
        <v>-35</v>
      </c>
      <c r="AT44" s="2" t="n">
        <f aca="false">MAX(AS43+IF($A44=AT$4,1,-1),AT43-1,AS44-1)</f>
        <v>-36</v>
      </c>
      <c r="AU44" s="2" t="n">
        <f aca="false">MAX(AT43+IF($A44=AU$4,1,-1),AU43-1,AT44-1)</f>
        <v>-37</v>
      </c>
      <c r="AV44" s="2" t="n">
        <f aca="false">MAX(AU43+IF($A44=AV$4,1,-1),AV43-1,AU44-1)</f>
        <v>-38</v>
      </c>
      <c r="AW44" s="2" t="n">
        <f aca="false">MAX(AV43+IF($A44=AW$4,1,-1),AW43-1,AV44-1)</f>
        <v>-39</v>
      </c>
      <c r="AX44" s="2" t="n">
        <f aca="false">MAX(AW43+IF($A44=AX$4,1,-1),AX43-1,AW44-1)</f>
        <v>-40</v>
      </c>
      <c r="AY44" s="2" t="n">
        <f aca="false">MAX(AX43+IF($A44=AY$4,1,-1),AY43-1,AX44-1)</f>
        <v>-41</v>
      </c>
      <c r="AZ44" s="2" t="n">
        <f aca="false">MAX(AY43+IF($A44=AZ$4,1,-1),AZ43-1,AY44-1)</f>
        <v>-42</v>
      </c>
      <c r="BA44" s="2" t="n">
        <f aca="false">MAX(AZ43+IF($A44=BA$4,1,-1),BA43-1,AZ44-1)</f>
        <v>-43</v>
      </c>
      <c r="BB44" s="2" t="n">
        <f aca="false">MAX(BA43+IF($A44=BB$4,1,-1),BB43-1,BA44-1)</f>
        <v>-44</v>
      </c>
      <c r="BC44" s="2" t="n">
        <f aca="false">MAX(BB43+IF($A44=BC$4,1,-1),BC43-1,BB44-1)</f>
        <v>-45</v>
      </c>
      <c r="BD44" s="2" t="n">
        <f aca="false">MAX(BC43+IF($A44=BD$4,1,-1),BD43-1,BC44-1)</f>
        <v>-46</v>
      </c>
      <c r="BE44" s="2" t="n">
        <f aca="false">MAX(BD43+IF($A44=BE$4,1,-1),BE43-1,BD44-1)</f>
        <v>-47</v>
      </c>
      <c r="BF44" s="2" t="n">
        <f aca="false">MAX(BE43+IF($A44=BF$4,1,-1),BF43-1,BE44-1)</f>
        <v>-47</v>
      </c>
      <c r="BG44" s="2" t="n">
        <f aca="false">MAX(BF43+IF($A44=BG$4,1,-1),BG43-1,BF44-1)</f>
        <v>-47</v>
      </c>
      <c r="BH44" s="2" t="n">
        <f aca="false">MAX(BG43+IF($A44=BH$4,1,-1),BH43-1,BG44-1)</f>
        <v>-48</v>
      </c>
      <c r="BI44" s="2" t="n">
        <f aca="false">MAX(BH43+IF($A44=BI$4,1,-1),BI43-1,BH44-1)</f>
        <v>-49</v>
      </c>
      <c r="BJ44" s="2" t="n">
        <f aca="false">MAX(BI43+IF($A44=BJ$4,1,-1),BJ43-1,BI44-1)</f>
        <v>-50</v>
      </c>
      <c r="BK44" s="2" t="n">
        <f aca="false">MAX(BJ43+IF($A44=BK$4,1,-1),BK43-1,BJ44-1)</f>
        <v>-51</v>
      </c>
      <c r="BL44" s="2" t="n">
        <f aca="false">MAX(BK43+IF($A44=BL$4,1,-1),BL43-1,BK44-1)</f>
        <v>-52</v>
      </c>
      <c r="BM44" s="2" t="n">
        <f aca="false">MAX(BL43+IF($A44=BM$4,1,-1),BM43-1,BL44-1)</f>
        <v>-53</v>
      </c>
      <c r="BN44" s="2" t="n">
        <f aca="false">MAX(BM43+IF($A44=BN$4,1,-1),BN43-1,BM44-1)</f>
        <v>-54</v>
      </c>
      <c r="BO44" s="2" t="n">
        <f aca="false">MAX(BN43+IF($A44=BO$4,1,-1),BO43-1,BN44-1)</f>
        <v>-55</v>
      </c>
      <c r="BP44" s="2" t="n">
        <f aca="false">MAX(BO43+IF($A44=BP$4,1,-1),BP43-1,BO44-1)</f>
        <v>-55</v>
      </c>
      <c r="BQ44" s="2" t="n">
        <f aca="false">MAX(BP43+IF($A44=BQ$4,1,-1),BQ43-1,BP44-1)</f>
        <v>-55</v>
      </c>
      <c r="BR44" s="2" t="n">
        <f aca="false">MAX(BQ43+IF($A44=BR$4,1,-1),BR43-1,BQ44-1)</f>
        <v>-56</v>
      </c>
      <c r="BS44" s="2" t="n">
        <f aca="false">MAX(BR43+IF($A44=BS$4,1,-1),BS43-1,BR44-1)</f>
        <v>-57</v>
      </c>
      <c r="BT44" s="2" t="n">
        <f aca="false">MAX(BS43+IF($A44=BT$4,1,-1),BT43-1,BS44-1)</f>
        <v>-58</v>
      </c>
      <c r="BU44" s="2" t="n">
        <f aca="false">MAX(BT43+IF($A44=BU$4,1,-1),BU43-1,BT44-1)</f>
        <v>-59</v>
      </c>
      <c r="BV44" s="2" t="n">
        <f aca="false">MAX(BU43+IF($A44=BV$4,1,-1),BV43-1,BU44-1)</f>
        <v>-60</v>
      </c>
      <c r="BW44" s="2" t="n">
        <f aca="false">MAX(BV43+IF($A44=BW$4,1,-1),BW43-1,BV44-1)</f>
        <v>-61</v>
      </c>
      <c r="BX44" s="2" t="n">
        <f aca="false">MAX(BW43+IF($A44=BX$4,1,-1),BX43-1,BW44-1)</f>
        <v>-62</v>
      </c>
      <c r="BY44" s="2" t="n">
        <f aca="false">MAX(BX43+IF($A44=BY$4,1,-1),BY43-1,BX44-1)</f>
        <v>-63</v>
      </c>
      <c r="BZ44" s="2" t="n">
        <f aca="false">MAX(BY43+IF($A44=BZ$4,1,-1),BZ43-1,BY44-1)</f>
        <v>-64</v>
      </c>
      <c r="CA44" s="2" t="n">
        <f aca="false">MAX(BZ43+IF($A44=CA$4,1,-1),CA43-1,BZ44-1)</f>
        <v>-65</v>
      </c>
      <c r="CB44" s="2" t="n">
        <f aca="false">MAX(CA43+IF($A44=CB$4,1,-1),CB43-1,CA44-1)</f>
        <v>-66</v>
      </c>
      <c r="CC44" s="2" t="n">
        <f aca="false">MAX(CB43+IF($A44=CC$4,1,-1),CC43-1,CB44-1)</f>
        <v>-67</v>
      </c>
      <c r="CD44" s="2" t="n">
        <f aca="false">MAX(CC43+IF($A44=CD$4,1,-1),CD43-1,CC44-1)</f>
        <v>-68</v>
      </c>
      <c r="CE44" s="2" t="n">
        <f aca="false">MAX(CD43+IF($A44=CE$4,1,-1),CE43-1,CD44-1)</f>
        <v>-69</v>
      </c>
      <c r="CF44" s="2" t="n">
        <f aca="false">MAX(CE43+IF($A44=CF$4,1,-1),CF43-1,CE44-1)</f>
        <v>-70</v>
      </c>
      <c r="CG44" s="2" t="n">
        <f aca="false">MAX(CF43+IF($A44=CG$4,1,-1),CG43-1,CF44-1)</f>
        <v>-71</v>
      </c>
      <c r="CH44" s="2" t="n">
        <f aca="false">MAX(CG43+IF($A44=CH$4,1,-1),CH43-1,CG44-1)</f>
        <v>-72</v>
      </c>
      <c r="CI44" s="2" t="n">
        <f aca="false">MAX(CH43+IF($A44=CI$4,1,-1),CI43-1,CH44-1)</f>
        <v>-73</v>
      </c>
      <c r="CJ44" s="2" t="n">
        <f aca="false">MAX(CI43+IF($A44=CJ$4,1,-1),CJ43-1,CI44-1)</f>
        <v>-74</v>
      </c>
      <c r="CK44" s="2" t="n">
        <f aca="false">MAX(CJ43+IF($A44=CK$4,1,-1),CK43-1,CJ44-1)</f>
        <v>-75</v>
      </c>
      <c r="CL44" s="2" t="n">
        <f aca="false">MAX(CK43+IF($A44=CL$4,1,-1),CL43-1,CK44-1)</f>
        <v>-76</v>
      </c>
      <c r="CM44" s="2" t="n">
        <f aca="false">MAX(CL43+IF($A44=CM$4,1,-1),CM43-1,CL44-1)</f>
        <v>-77</v>
      </c>
      <c r="CN44" s="2" t="n">
        <f aca="false">MAX(CM43+IF($A44=CN$4,1,-1),CN43-1,CM44-1)</f>
        <v>-78</v>
      </c>
      <c r="CO44" s="2" t="n">
        <f aca="false">MAX(CN43+IF($A44=CO$4,1,-1),CO43-1,CN44-1)</f>
        <v>-79</v>
      </c>
      <c r="CP44" s="2" t="n">
        <f aca="false">MAX(CO43+IF($A44=CP$4,1,-1),CP43-1,CO44-1)</f>
        <v>-80</v>
      </c>
      <c r="CQ44" s="2" t="n">
        <f aca="false">MAX(CP43+IF($A44=CQ$4,1,-1),CQ43-1,CP44-1)</f>
        <v>-81</v>
      </c>
    </row>
    <row r="45" customFormat="false" ht="15" hidden="false" customHeight="false" outlineLevel="0" collapsed="false">
      <c r="A45" s="4" t="s">
        <v>169</v>
      </c>
      <c r="B45" s="12" t="n">
        <v>-40</v>
      </c>
      <c r="C45" s="2" t="n">
        <f aca="false">MAX(B44+IF($A45=C$4,1,-1),C44-1,B45-1)</f>
        <v>-40</v>
      </c>
      <c r="D45" s="2" t="n">
        <f aca="false">MAX(C44+IF($A45=D$4,1,-1),D44-1,C45-1)</f>
        <v>-38</v>
      </c>
      <c r="E45" s="2" t="n">
        <f aca="false">MAX(D44+IF($A45=E$4,1,-1),E44-1,D45-1)</f>
        <v>-36</v>
      </c>
      <c r="F45" s="2" t="n">
        <f aca="false">MAX(E44+IF($A45=F$4,1,-1),F44-1,E45-1)</f>
        <v>-34</v>
      </c>
      <c r="G45" s="2" t="n">
        <f aca="false">MAX(F44+IF($A45=G$4,1,-1),G44-1,F45-1)</f>
        <v>-34</v>
      </c>
      <c r="H45" s="2" t="n">
        <f aca="false">MAX(G44+IF($A45=H$4,1,-1),H44-1,G45-1)</f>
        <v>-34</v>
      </c>
      <c r="I45" s="2" t="n">
        <f aca="false">MAX(H44+IF($A45=I$4,1,-1),I44-1,H45-1)</f>
        <v>-34</v>
      </c>
      <c r="J45" s="2" t="n">
        <f aca="false">MAX(I44+IF($A45=J$4,1,-1),J44-1,I45-1)</f>
        <v>-34</v>
      </c>
      <c r="K45" s="2" t="n">
        <f aca="false">MAX(J44+IF($A45=K$4,1,-1),K44-1,J45-1)</f>
        <v>-33</v>
      </c>
      <c r="L45" s="2" t="n">
        <f aca="false">MAX(K44+IF($A45=L$4,1,-1),L44-1,K45-1)</f>
        <v>-33</v>
      </c>
      <c r="M45" s="2" t="n">
        <f aca="false">MAX(L44+IF($A45=M$4,1,-1),M44-1,L45-1)</f>
        <v>-33</v>
      </c>
      <c r="N45" s="2" t="n">
        <f aca="false">MAX(M44+IF($A45=N$4,1,-1),N44-1,M45-1)</f>
        <v>-31</v>
      </c>
      <c r="O45" s="2" t="n">
        <f aca="false">MAX(N44+IF($A45=O$4,1,-1),O44-1,N45-1)</f>
        <v>-30</v>
      </c>
      <c r="P45" s="2" t="n">
        <f aca="false">MAX(O44+IF($A45=P$4,1,-1),P44-1,O45-1)</f>
        <v>-30</v>
      </c>
      <c r="Q45" s="2" t="n">
        <f aca="false">MAX(P44+IF($A45=Q$4,1,-1),Q44-1,P45-1)</f>
        <v>-30</v>
      </c>
      <c r="R45" s="2" t="n">
        <f aca="false">MAX(Q44+IF($A45=R$4,1,-1),R44-1,Q45-1)</f>
        <v>-30</v>
      </c>
      <c r="S45" s="2" t="n">
        <f aca="false">MAX(R44+IF($A45=S$4,1,-1),S44-1,R45-1)</f>
        <v>-30</v>
      </c>
      <c r="T45" s="2" t="n">
        <f aca="false">MAX(S44+IF($A45=T$4,1,-1),T44-1,S45-1)</f>
        <v>-30</v>
      </c>
      <c r="U45" s="2" t="n">
        <f aca="false">MAX(T44+IF($A45=U$4,1,-1),U44-1,T45-1)</f>
        <v>-30</v>
      </c>
      <c r="V45" s="2" t="n">
        <f aca="false">MAX(U44+IF($A45=V$4,1,-1),V44-1,U45-1)</f>
        <v>-30</v>
      </c>
      <c r="W45" s="2" t="n">
        <f aca="false">MAX(V44+IF($A45=W$4,1,-1),W44-1,V45-1)</f>
        <v>-30</v>
      </c>
      <c r="X45" s="2" t="n">
        <f aca="false">MAX(W44+IF($A45=X$4,1,-1),X44-1,W45-1)</f>
        <v>-30</v>
      </c>
      <c r="Y45" s="2" t="n">
        <f aca="false">MAX(X44+IF($A45=Y$4,1,-1),Y44-1,X45-1)</f>
        <v>-30</v>
      </c>
      <c r="Z45" s="2" t="n">
        <f aca="false">MAX(Y44+IF($A45=Z$4,1,-1),Z44-1,Y45-1)</f>
        <v>-30</v>
      </c>
      <c r="AA45" s="2" t="n">
        <f aca="false">MAX(Z44+IF($A45=AA$4,1,-1),AA44-1,Z45-1)</f>
        <v>-31</v>
      </c>
      <c r="AB45" s="2" t="n">
        <f aca="false">MAX(AA44+IF($A45=AB$4,1,-1),AB44-1,AA45-1)</f>
        <v>-32</v>
      </c>
      <c r="AC45" s="2" t="n">
        <f aca="false">MAX(AB44+IF($A45=AC$4,1,-1),AC44-1,AB45-1)</f>
        <v>-32</v>
      </c>
      <c r="AD45" s="2" t="n">
        <f aca="false">MAX(AC44+IF($A45=AD$4,1,-1),AD44-1,AC45-1)</f>
        <v>-32</v>
      </c>
      <c r="AE45" s="2" t="n">
        <f aca="false">MAX(AD44+IF($A45=AE$4,1,-1),AE44-1,AD45-1)</f>
        <v>-32</v>
      </c>
      <c r="AF45" s="2" t="n">
        <f aca="false">MAX(AE44+IF($A45=AF$4,1,-1),AF44-1,AE45-1)</f>
        <v>-32</v>
      </c>
      <c r="AG45" s="2" t="n">
        <f aca="false">MAX(AF44+IF($A45=AG$4,1,-1),AG44-1,AF45-1)</f>
        <v>-32</v>
      </c>
      <c r="AH45" s="2" t="n">
        <f aca="false">MAX(AG44+IF($A45=AH$4,1,-1),AH44-1,AG45-1)</f>
        <v>-32</v>
      </c>
      <c r="AI45" s="2" t="n">
        <f aca="false">MAX(AH44+IF($A45=AI$4,1,-1),AI44-1,AH45-1)</f>
        <v>-32</v>
      </c>
      <c r="AJ45" s="2" t="n">
        <f aca="false">MAX(AI44+IF($A45=AJ$4,1,-1),AJ44-1,AI45-1)</f>
        <v>-32</v>
      </c>
      <c r="AK45" s="2" t="n">
        <f aca="false">MAX(AJ44+IF($A45=AK$4,1,-1),AK44-1,AJ45-1)</f>
        <v>-32</v>
      </c>
      <c r="AL45" s="2" t="n">
        <f aca="false">MAX(AK44+IF($A45=AL$4,1,-1),AL44-1,AK45-1)</f>
        <v>-33</v>
      </c>
      <c r="AM45" s="2" t="n">
        <f aca="false">MAX(AL44+IF($A45=AM$4,1,-1),AM44-1,AL45-1)</f>
        <v>-33</v>
      </c>
      <c r="AN45" s="2" t="n">
        <f aca="false">MAX(AM44+IF($A45=AN$4,1,-1),AN44-1,AM45-1)</f>
        <v>-33</v>
      </c>
      <c r="AO45" s="2" t="n">
        <f aca="false">MAX(AN44+IF($A45=AO$4,1,-1),AO44-1,AN45-1)</f>
        <v>-34</v>
      </c>
      <c r="AP45" s="2" t="n">
        <f aca="false">MAX(AO44+IF($A45=AP$4,1,-1),AP44-1,AO45-1)</f>
        <v>-34</v>
      </c>
      <c r="AQ45" s="2" t="n">
        <f aca="false">MAX(AP44+IF($A45=AQ$4,1,-1),AQ44-1,AP45-1)</f>
        <v>-34</v>
      </c>
      <c r="AR45" s="2" t="n">
        <f aca="false">MAX(AQ44+IF($A45=AR$4,1,-1),AR44-1,AQ45-1)</f>
        <v>-34</v>
      </c>
      <c r="AS45" s="2" t="n">
        <f aca="false">MAX(AR44+IF($A45=AS$4,1,-1),AS44-1,AR45-1)</f>
        <v>-35</v>
      </c>
      <c r="AT45" s="2" t="n">
        <f aca="false">MAX(AS44+IF($A45=AT$4,1,-1),AT44-1,AS45-1)</f>
        <v>-36</v>
      </c>
      <c r="AU45" s="2" t="n">
        <f aca="false">MAX(AT44+IF($A45=AU$4,1,-1),AU44-1,AT45-1)</f>
        <v>-37</v>
      </c>
      <c r="AV45" s="2" t="n">
        <f aca="false">MAX(AU44+IF($A45=AV$4,1,-1),AV44-1,AU45-1)</f>
        <v>-38</v>
      </c>
      <c r="AW45" s="2" t="n">
        <f aca="false">MAX(AV44+IF($A45=AW$4,1,-1),AW44-1,AV45-1)</f>
        <v>-39</v>
      </c>
      <c r="AX45" s="2" t="n">
        <f aca="false">MAX(AW44+IF($A45=AX$4,1,-1),AX44-1,AW45-1)</f>
        <v>-40</v>
      </c>
      <c r="AY45" s="2" t="n">
        <f aca="false">MAX(AX44+IF($A45=AY$4,1,-1),AY44-1,AX45-1)</f>
        <v>-41</v>
      </c>
      <c r="AZ45" s="2" t="n">
        <f aca="false">MAX(AY44+IF($A45=AZ$4,1,-1),AZ44-1,AY45-1)</f>
        <v>-42</v>
      </c>
      <c r="BA45" s="2" t="n">
        <f aca="false">MAX(AZ44+IF($A45=BA$4,1,-1),BA44-1,AZ45-1)</f>
        <v>-43</v>
      </c>
      <c r="BB45" s="2" t="n">
        <f aca="false">MAX(BA44+IF($A45=BB$4,1,-1),BB44-1,BA45-1)</f>
        <v>-44</v>
      </c>
      <c r="BC45" s="2" t="n">
        <f aca="false">MAX(BB44+IF($A45=BC$4,1,-1),BC44-1,BB45-1)</f>
        <v>-45</v>
      </c>
      <c r="BD45" s="2" t="n">
        <f aca="false">MAX(BC44+IF($A45=BD$4,1,-1),BD44-1,BC45-1)</f>
        <v>-46</v>
      </c>
      <c r="BE45" s="2" t="n">
        <f aca="false">MAX(BD44+IF($A45=BE$4,1,-1),BE44-1,BD45-1)</f>
        <v>-47</v>
      </c>
      <c r="BF45" s="2" t="n">
        <f aca="false">MAX(BE44+IF($A45=BF$4,1,-1),BF44-1,BE45-1)</f>
        <v>-48</v>
      </c>
      <c r="BG45" s="2" t="n">
        <f aca="false">MAX(BF44+IF($A45=BG$4,1,-1),BG44-1,BF45-1)</f>
        <v>-48</v>
      </c>
      <c r="BH45" s="2" t="n">
        <f aca="false">MAX(BG44+IF($A45=BH$4,1,-1),BH44-1,BG45-1)</f>
        <v>-48</v>
      </c>
      <c r="BI45" s="2" t="n">
        <f aca="false">MAX(BH44+IF($A45=BI$4,1,-1),BI44-1,BH45-1)</f>
        <v>-49</v>
      </c>
      <c r="BJ45" s="2" t="n">
        <f aca="false">MAX(BI44+IF($A45=BJ$4,1,-1),BJ44-1,BI45-1)</f>
        <v>-50</v>
      </c>
      <c r="BK45" s="2" t="n">
        <f aca="false">MAX(BJ44+IF($A45=BK$4,1,-1),BK44-1,BJ45-1)</f>
        <v>-51</v>
      </c>
      <c r="BL45" s="2" t="n">
        <f aca="false">MAX(BK44+IF($A45=BL$4,1,-1),BL44-1,BK45-1)</f>
        <v>-52</v>
      </c>
      <c r="BM45" s="2" t="n">
        <f aca="false">MAX(BL44+IF($A45=BM$4,1,-1),BM44-1,BL45-1)</f>
        <v>-53</v>
      </c>
      <c r="BN45" s="2" t="n">
        <f aca="false">MAX(BM44+IF($A45=BN$4,1,-1),BN44-1,BM45-1)</f>
        <v>-54</v>
      </c>
      <c r="BO45" s="2" t="n">
        <f aca="false">MAX(BN44+IF($A45=BO$4,1,-1),BO44-1,BN45-1)</f>
        <v>-55</v>
      </c>
      <c r="BP45" s="2" t="n">
        <f aca="false">MAX(BO44+IF($A45=BP$4,1,-1),BP44-1,BO45-1)</f>
        <v>-56</v>
      </c>
      <c r="BQ45" s="2" t="n">
        <f aca="false">MAX(BP44+IF($A45=BQ$4,1,-1),BQ44-1,BP45-1)</f>
        <v>-56</v>
      </c>
      <c r="BR45" s="2" t="n">
        <f aca="false">MAX(BQ44+IF($A45=BR$4,1,-1),BR44-1,BQ45-1)</f>
        <v>-56</v>
      </c>
      <c r="BS45" s="2" t="n">
        <f aca="false">MAX(BR44+IF($A45=BS$4,1,-1),BS44-1,BR45-1)</f>
        <v>-57</v>
      </c>
      <c r="BT45" s="2" t="n">
        <f aca="false">MAX(BS44+IF($A45=BT$4,1,-1),BT44-1,BS45-1)</f>
        <v>-58</v>
      </c>
      <c r="BU45" s="2" t="n">
        <f aca="false">MAX(BT44+IF($A45=BU$4,1,-1),BU44-1,BT45-1)</f>
        <v>-59</v>
      </c>
      <c r="BV45" s="2" t="n">
        <f aca="false">MAX(BU44+IF($A45=BV$4,1,-1),BV44-1,BU45-1)</f>
        <v>-60</v>
      </c>
      <c r="BW45" s="2" t="n">
        <f aca="false">MAX(BV44+IF($A45=BW$4,1,-1),BW44-1,BV45-1)</f>
        <v>-61</v>
      </c>
      <c r="BX45" s="2" t="n">
        <f aca="false">MAX(BW44+IF($A45=BX$4,1,-1),BX44-1,BW45-1)</f>
        <v>-62</v>
      </c>
      <c r="BY45" s="2" t="n">
        <f aca="false">MAX(BX44+IF($A45=BY$4,1,-1),BY44-1,BX45-1)</f>
        <v>-63</v>
      </c>
      <c r="BZ45" s="2" t="n">
        <f aca="false">MAX(BY44+IF($A45=BZ$4,1,-1),BZ44-1,BY45-1)</f>
        <v>-64</v>
      </c>
      <c r="CA45" s="2" t="n">
        <f aca="false">MAX(BZ44+IF($A45=CA$4,1,-1),CA44-1,BZ45-1)</f>
        <v>-65</v>
      </c>
      <c r="CB45" s="2" t="n">
        <f aca="false">MAX(CA44+IF($A45=CB$4,1,-1),CB44-1,CA45-1)</f>
        <v>-66</v>
      </c>
      <c r="CC45" s="2" t="n">
        <f aca="false">MAX(CB44+IF($A45=CC$4,1,-1),CC44-1,CB45-1)</f>
        <v>-67</v>
      </c>
      <c r="CD45" s="2" t="n">
        <f aca="false">MAX(CC44+IF($A45=CD$4,1,-1),CD44-1,CC45-1)</f>
        <v>-68</v>
      </c>
      <c r="CE45" s="2" t="n">
        <f aca="false">MAX(CD44+IF($A45=CE$4,1,-1),CE44-1,CD45-1)</f>
        <v>-69</v>
      </c>
      <c r="CF45" s="2" t="n">
        <f aca="false">MAX(CE44+IF($A45=CF$4,1,-1),CF44-1,CE45-1)</f>
        <v>-70</v>
      </c>
      <c r="CG45" s="2" t="n">
        <f aca="false">MAX(CF44+IF($A45=CG$4,1,-1),CG44-1,CF45-1)</f>
        <v>-71</v>
      </c>
      <c r="CH45" s="2" t="n">
        <f aca="false">MAX(CG44+IF($A45=CH$4,1,-1),CH44-1,CG45-1)</f>
        <v>-72</v>
      </c>
      <c r="CI45" s="2" t="n">
        <f aca="false">MAX(CH44+IF($A45=CI$4,1,-1),CI44-1,CH45-1)</f>
        <v>-73</v>
      </c>
      <c r="CJ45" s="2" t="n">
        <f aca="false">MAX(CI44+IF($A45=CJ$4,1,-1),CJ44-1,CI45-1)</f>
        <v>-74</v>
      </c>
      <c r="CK45" s="2" t="n">
        <f aca="false">MAX(CJ44+IF($A45=CK$4,1,-1),CK44-1,CJ45-1)</f>
        <v>-75</v>
      </c>
      <c r="CL45" s="2" t="n">
        <f aca="false">MAX(CK44+IF($A45=CL$4,1,-1),CL44-1,CK45-1)</f>
        <v>-76</v>
      </c>
      <c r="CM45" s="2" t="n">
        <f aca="false">MAX(CL44+IF($A45=CM$4,1,-1),CM44-1,CL45-1)</f>
        <v>-77</v>
      </c>
      <c r="CN45" s="2" t="n">
        <f aca="false">MAX(CM44+IF($A45=CN$4,1,-1),CN44-1,CM45-1)</f>
        <v>-78</v>
      </c>
      <c r="CO45" s="2" t="n">
        <f aca="false">MAX(CN44+IF($A45=CO$4,1,-1),CO44-1,CN45-1)</f>
        <v>-79</v>
      </c>
      <c r="CP45" s="2" t="n">
        <f aca="false">MAX(CO44+IF($A45=CP$4,1,-1),CP44-1,CO45-1)</f>
        <v>-80</v>
      </c>
      <c r="CQ45" s="2" t="n">
        <f aca="false">MAX(CP44+IF($A45=CQ$4,1,-1),CQ44-1,CP45-1)</f>
        <v>-81</v>
      </c>
    </row>
    <row r="46" customFormat="false" ht="15" hidden="false" customHeight="false" outlineLevel="0" collapsed="false">
      <c r="A46" s="4" t="s">
        <v>170</v>
      </c>
      <c r="B46" s="12" t="n">
        <v>-41</v>
      </c>
      <c r="C46" s="2" t="n">
        <f aca="false">MAX(B45+IF($A46=C$4,1,-1),C45-1,B46-1)</f>
        <v>-41</v>
      </c>
      <c r="D46" s="2" t="n">
        <f aca="false">MAX(C45+IF($A46=D$4,1,-1),D45-1,C46-1)</f>
        <v>-39</v>
      </c>
      <c r="E46" s="2" t="n">
        <f aca="false">MAX(D45+IF($A46=E$4,1,-1),E45-1,D46-1)</f>
        <v>-37</v>
      </c>
      <c r="F46" s="2" t="n">
        <f aca="false">MAX(E45+IF($A46=F$4,1,-1),F45-1,E46-1)</f>
        <v>-35</v>
      </c>
      <c r="G46" s="2" t="n">
        <f aca="false">MAX(F45+IF($A46=G$4,1,-1),G45-1,F46-1)</f>
        <v>-35</v>
      </c>
      <c r="H46" s="2" t="n">
        <f aca="false">MAX(G45+IF($A46=H$4,1,-1),H45-1,G46-1)</f>
        <v>-35</v>
      </c>
      <c r="I46" s="2" t="n">
        <f aca="false">MAX(H45+IF($A46=I$4,1,-1),I45-1,H46-1)</f>
        <v>-35</v>
      </c>
      <c r="J46" s="2" t="n">
        <f aca="false">MAX(I45+IF($A46=J$4,1,-1),J45-1,I46-1)</f>
        <v>-35</v>
      </c>
      <c r="K46" s="2" t="n">
        <f aca="false">MAX(J45+IF($A46=K$4,1,-1),K45-1,J46-1)</f>
        <v>-34</v>
      </c>
      <c r="L46" s="2" t="n">
        <f aca="false">MAX(K45+IF($A46=L$4,1,-1),L45-1,K46-1)</f>
        <v>-34</v>
      </c>
      <c r="M46" s="2" t="n">
        <f aca="false">MAX(L45+IF($A46=M$4,1,-1),M45-1,L46-1)</f>
        <v>-34</v>
      </c>
      <c r="N46" s="2" t="n">
        <f aca="false">MAX(M45+IF($A46=N$4,1,-1),N45-1,M46-1)</f>
        <v>-32</v>
      </c>
      <c r="O46" s="2" t="n">
        <f aca="false">MAX(N45+IF($A46=O$4,1,-1),O45-1,N46-1)</f>
        <v>-31</v>
      </c>
      <c r="P46" s="2" t="n">
        <f aca="false">MAX(O45+IF($A46=P$4,1,-1),P45-1,O46-1)</f>
        <v>-31</v>
      </c>
      <c r="Q46" s="2" t="n">
        <f aca="false">MAX(P45+IF($A46=Q$4,1,-1),Q45-1,P46-1)</f>
        <v>-31</v>
      </c>
      <c r="R46" s="2" t="n">
        <f aca="false">MAX(Q45+IF($A46=R$4,1,-1),R45-1,Q46-1)</f>
        <v>-31</v>
      </c>
      <c r="S46" s="2" t="n">
        <f aca="false">MAX(R45+IF($A46=S$4,1,-1),S45-1,R46-1)</f>
        <v>-31</v>
      </c>
      <c r="T46" s="2" t="n">
        <f aca="false">MAX(S45+IF($A46=T$4,1,-1),T45-1,S46-1)</f>
        <v>-31</v>
      </c>
      <c r="U46" s="2" t="n">
        <f aca="false">MAX(T45+IF($A46=U$4,1,-1),U45-1,T46-1)</f>
        <v>-31</v>
      </c>
      <c r="V46" s="2" t="n">
        <f aca="false">MAX(U45+IF($A46=V$4,1,-1),V45-1,U46-1)</f>
        <v>-31</v>
      </c>
      <c r="W46" s="2" t="n">
        <f aca="false">MAX(V45+IF($A46=W$4,1,-1),W45-1,V46-1)</f>
        <v>-31</v>
      </c>
      <c r="X46" s="2" t="n">
        <f aca="false">MAX(W45+IF($A46=X$4,1,-1),X45-1,W46-1)</f>
        <v>-31</v>
      </c>
      <c r="Y46" s="2" t="n">
        <f aca="false">MAX(X45+IF($A46=Y$4,1,-1),Y45-1,X46-1)</f>
        <v>-31</v>
      </c>
      <c r="Z46" s="2" t="n">
        <f aca="false">MAX(Y45+IF($A46=Z$4,1,-1),Z45-1,Y46-1)</f>
        <v>-31</v>
      </c>
      <c r="AA46" s="2" t="n">
        <f aca="false">MAX(Z45+IF($A46=AA$4,1,-1),AA45-1,Z46-1)</f>
        <v>-31</v>
      </c>
      <c r="AB46" s="2" t="n">
        <f aca="false">MAX(AA45+IF($A46=AB$4,1,-1),AB45-1,AA46-1)</f>
        <v>-32</v>
      </c>
      <c r="AC46" s="2" t="n">
        <f aca="false">MAX(AB45+IF($A46=AC$4,1,-1),AC45-1,AB46-1)</f>
        <v>-33</v>
      </c>
      <c r="AD46" s="2" t="n">
        <f aca="false">MAX(AC45+IF($A46=AD$4,1,-1),AD45-1,AC46-1)</f>
        <v>-33</v>
      </c>
      <c r="AE46" s="2" t="n">
        <f aca="false">MAX(AD45+IF($A46=AE$4,1,-1),AE45-1,AD46-1)</f>
        <v>-33</v>
      </c>
      <c r="AF46" s="2" t="n">
        <f aca="false">MAX(AE45+IF($A46=AF$4,1,-1),AF45-1,AE46-1)</f>
        <v>-33</v>
      </c>
      <c r="AG46" s="2" t="n">
        <f aca="false">MAX(AF45+IF($A46=AG$4,1,-1),AG45-1,AF46-1)</f>
        <v>-33</v>
      </c>
      <c r="AH46" s="2" t="n">
        <f aca="false">MAX(AG45+IF($A46=AH$4,1,-1),AH45-1,AG46-1)</f>
        <v>-33</v>
      </c>
      <c r="AI46" s="2" t="n">
        <f aca="false">MAX(AH45+IF($A46=AI$4,1,-1),AI45-1,AH46-1)</f>
        <v>-33</v>
      </c>
      <c r="AJ46" s="2" t="n">
        <f aca="false">MAX(AI45+IF($A46=AJ$4,1,-1),AJ45-1,AI46-1)</f>
        <v>-33</v>
      </c>
      <c r="AK46" s="2" t="n">
        <f aca="false">MAX(AJ45+IF($A46=AK$4,1,-1),AK45-1,AJ46-1)</f>
        <v>-33</v>
      </c>
      <c r="AL46" s="2" t="n">
        <f aca="false">MAX(AK45+IF($A46=AL$4,1,-1),AL45-1,AK46-1)</f>
        <v>-33</v>
      </c>
      <c r="AM46" s="2" t="n">
        <f aca="false">MAX(AL45+IF($A46=AM$4,1,-1),AM45-1,AL46-1)</f>
        <v>-34</v>
      </c>
      <c r="AN46" s="2" t="n">
        <f aca="false">MAX(AM45+IF($A46=AN$4,1,-1),AN45-1,AM46-1)</f>
        <v>-34</v>
      </c>
      <c r="AO46" s="2" t="n">
        <f aca="false">MAX(AN45+IF($A46=AO$4,1,-1),AO45-1,AN46-1)</f>
        <v>-34</v>
      </c>
      <c r="AP46" s="2" t="n">
        <f aca="false">MAX(AO45+IF($A46=AP$4,1,-1),AP45-1,AO46-1)</f>
        <v>-35</v>
      </c>
      <c r="AQ46" s="2" t="n">
        <f aca="false">MAX(AP45+IF($A46=AQ$4,1,-1),AQ45-1,AP46-1)</f>
        <v>-35</v>
      </c>
      <c r="AR46" s="2" t="n">
        <f aca="false">MAX(AQ45+IF($A46=AR$4,1,-1),AR45-1,AQ46-1)</f>
        <v>-35</v>
      </c>
      <c r="AS46" s="2" t="n">
        <f aca="false">MAX(AR45+IF($A46=AS$4,1,-1),AS45-1,AR46-1)</f>
        <v>-35</v>
      </c>
      <c r="AT46" s="2" t="n">
        <f aca="false">MAX(AS45+IF($A46=AT$4,1,-1),AT45-1,AS46-1)</f>
        <v>-36</v>
      </c>
      <c r="AU46" s="2" t="n">
        <f aca="false">MAX(AT45+IF($A46=AU$4,1,-1),AU45-1,AT46-1)</f>
        <v>-37</v>
      </c>
      <c r="AV46" s="2" t="n">
        <f aca="false">MAX(AU45+IF($A46=AV$4,1,-1),AV45-1,AU46-1)</f>
        <v>-38</v>
      </c>
      <c r="AW46" s="2" t="n">
        <f aca="false">MAX(AV45+IF($A46=AW$4,1,-1),AW45-1,AV46-1)</f>
        <v>-39</v>
      </c>
      <c r="AX46" s="2" t="n">
        <f aca="false">MAX(AW45+IF($A46=AX$4,1,-1),AX45-1,AW46-1)</f>
        <v>-40</v>
      </c>
      <c r="AY46" s="2" t="n">
        <f aca="false">MAX(AX45+IF($A46=AY$4,1,-1),AY45-1,AX46-1)</f>
        <v>-41</v>
      </c>
      <c r="AZ46" s="2" t="n">
        <f aca="false">MAX(AY45+IF($A46=AZ$4,1,-1),AZ45-1,AY46-1)</f>
        <v>-42</v>
      </c>
      <c r="BA46" s="2" t="n">
        <f aca="false">MAX(AZ45+IF($A46=BA$4,1,-1),BA45-1,AZ46-1)</f>
        <v>-43</v>
      </c>
      <c r="BB46" s="2" t="n">
        <f aca="false">MAX(BA45+IF($A46=BB$4,1,-1),BB45-1,BA46-1)</f>
        <v>-44</v>
      </c>
      <c r="BC46" s="2" t="n">
        <f aca="false">MAX(BB45+IF($A46=BC$4,1,-1),BC45-1,BB46-1)</f>
        <v>-45</v>
      </c>
      <c r="BD46" s="2" t="n">
        <f aca="false">MAX(BC45+IF($A46=BD$4,1,-1),BD45-1,BC46-1)</f>
        <v>-46</v>
      </c>
      <c r="BE46" s="2" t="n">
        <f aca="false">MAX(BD45+IF($A46=BE$4,1,-1),BE45-1,BD46-1)</f>
        <v>-47</v>
      </c>
      <c r="BF46" s="2" t="n">
        <f aca="false">MAX(BE45+IF($A46=BF$4,1,-1),BF45-1,BE46-1)</f>
        <v>-48</v>
      </c>
      <c r="BG46" s="2" t="n">
        <f aca="false">MAX(BF45+IF($A46=BG$4,1,-1),BG45-1,BF46-1)</f>
        <v>-49</v>
      </c>
      <c r="BH46" s="2" t="n">
        <f aca="false">MAX(BG45+IF($A46=BH$4,1,-1),BH45-1,BG46-1)</f>
        <v>-49</v>
      </c>
      <c r="BI46" s="2" t="n">
        <f aca="false">MAX(BH45+IF($A46=BI$4,1,-1),BI45-1,BH46-1)</f>
        <v>-49</v>
      </c>
      <c r="BJ46" s="2" t="n">
        <f aca="false">MAX(BI45+IF($A46=BJ$4,1,-1),BJ45-1,BI46-1)</f>
        <v>-50</v>
      </c>
      <c r="BK46" s="2" t="n">
        <f aca="false">MAX(BJ45+IF($A46=BK$4,1,-1),BK45-1,BJ46-1)</f>
        <v>-51</v>
      </c>
      <c r="BL46" s="2" t="n">
        <f aca="false">MAX(BK45+IF($A46=BL$4,1,-1),BL45-1,BK46-1)</f>
        <v>-52</v>
      </c>
      <c r="BM46" s="2" t="n">
        <f aca="false">MAX(BL45+IF($A46=BM$4,1,-1),BM45-1,BL46-1)</f>
        <v>-53</v>
      </c>
      <c r="BN46" s="2" t="n">
        <f aca="false">MAX(BM45+IF($A46=BN$4,1,-1),BN45-1,BM46-1)</f>
        <v>-54</v>
      </c>
      <c r="BO46" s="2" t="n">
        <f aca="false">MAX(BN45+IF($A46=BO$4,1,-1),BO45-1,BN46-1)</f>
        <v>-55</v>
      </c>
      <c r="BP46" s="2" t="n">
        <f aca="false">MAX(BO45+IF($A46=BP$4,1,-1),BP45-1,BO46-1)</f>
        <v>-56</v>
      </c>
      <c r="BQ46" s="2" t="n">
        <f aca="false">MAX(BP45+IF($A46=BQ$4,1,-1),BQ45-1,BP46-1)</f>
        <v>-57</v>
      </c>
      <c r="BR46" s="2" t="n">
        <f aca="false">MAX(BQ45+IF($A46=BR$4,1,-1),BR45-1,BQ46-1)</f>
        <v>-57</v>
      </c>
      <c r="BS46" s="2" t="n">
        <f aca="false">MAX(BR45+IF($A46=BS$4,1,-1),BS45-1,BR46-1)</f>
        <v>-57</v>
      </c>
      <c r="BT46" s="2" t="n">
        <f aca="false">MAX(BS45+IF($A46=BT$4,1,-1),BT45-1,BS46-1)</f>
        <v>-58</v>
      </c>
      <c r="BU46" s="2" t="n">
        <f aca="false">MAX(BT45+IF($A46=BU$4,1,-1),BU45-1,BT46-1)</f>
        <v>-59</v>
      </c>
      <c r="BV46" s="2" t="n">
        <f aca="false">MAX(BU45+IF($A46=BV$4,1,-1),BV45-1,BU46-1)</f>
        <v>-60</v>
      </c>
      <c r="BW46" s="2" t="n">
        <f aca="false">MAX(BV45+IF($A46=BW$4,1,-1),BW45-1,BV46-1)</f>
        <v>-61</v>
      </c>
      <c r="BX46" s="2" t="n">
        <f aca="false">MAX(BW45+IF($A46=BX$4,1,-1),BX45-1,BW46-1)</f>
        <v>-62</v>
      </c>
      <c r="BY46" s="2" t="n">
        <f aca="false">MAX(BX45+IF($A46=BY$4,1,-1),BY45-1,BX46-1)</f>
        <v>-63</v>
      </c>
      <c r="BZ46" s="2" t="n">
        <f aca="false">MAX(BY45+IF($A46=BZ$4,1,-1),BZ45-1,BY46-1)</f>
        <v>-64</v>
      </c>
      <c r="CA46" s="2" t="n">
        <f aca="false">MAX(BZ45+IF($A46=CA$4,1,-1),CA45-1,BZ46-1)</f>
        <v>-65</v>
      </c>
      <c r="CB46" s="2" t="n">
        <f aca="false">MAX(CA45+IF($A46=CB$4,1,-1),CB45-1,CA46-1)</f>
        <v>-66</v>
      </c>
      <c r="CC46" s="2" t="n">
        <f aca="false">MAX(CB45+IF($A46=CC$4,1,-1),CC45-1,CB46-1)</f>
        <v>-67</v>
      </c>
      <c r="CD46" s="2" t="n">
        <f aca="false">MAX(CC45+IF($A46=CD$4,1,-1),CD45-1,CC46-1)</f>
        <v>-68</v>
      </c>
      <c r="CE46" s="2" t="n">
        <f aca="false">MAX(CD45+IF($A46=CE$4,1,-1),CE45-1,CD46-1)</f>
        <v>-69</v>
      </c>
      <c r="CF46" s="2" t="n">
        <f aca="false">MAX(CE45+IF($A46=CF$4,1,-1),CF45-1,CE46-1)</f>
        <v>-70</v>
      </c>
      <c r="CG46" s="2" t="n">
        <f aca="false">MAX(CF45+IF($A46=CG$4,1,-1),CG45-1,CF46-1)</f>
        <v>-71</v>
      </c>
      <c r="CH46" s="2" t="n">
        <f aca="false">MAX(CG45+IF($A46=CH$4,1,-1),CH45-1,CG46-1)</f>
        <v>-72</v>
      </c>
      <c r="CI46" s="2" t="n">
        <f aca="false">MAX(CH45+IF($A46=CI$4,1,-1),CI45-1,CH46-1)</f>
        <v>-73</v>
      </c>
      <c r="CJ46" s="2" t="n">
        <f aca="false">MAX(CI45+IF($A46=CJ$4,1,-1),CJ45-1,CI46-1)</f>
        <v>-74</v>
      </c>
      <c r="CK46" s="2" t="n">
        <f aca="false">MAX(CJ45+IF($A46=CK$4,1,-1),CK45-1,CJ46-1)</f>
        <v>-75</v>
      </c>
      <c r="CL46" s="2" t="n">
        <f aca="false">MAX(CK45+IF($A46=CL$4,1,-1),CL45-1,CK46-1)</f>
        <v>-76</v>
      </c>
      <c r="CM46" s="2" t="n">
        <f aca="false">MAX(CL45+IF($A46=CM$4,1,-1),CM45-1,CL46-1)</f>
        <v>-77</v>
      </c>
      <c r="CN46" s="2" t="n">
        <f aca="false">MAX(CM45+IF($A46=CN$4,1,-1),CN45-1,CM46-1)</f>
        <v>-78</v>
      </c>
      <c r="CO46" s="2" t="n">
        <f aca="false">MAX(CN45+IF($A46=CO$4,1,-1),CO45-1,CN46-1)</f>
        <v>-79</v>
      </c>
      <c r="CP46" s="2" t="n">
        <f aca="false">MAX(CO45+IF($A46=CP$4,1,-1),CP45-1,CO46-1)</f>
        <v>-80</v>
      </c>
      <c r="CQ46" s="2" t="n">
        <f aca="false">MAX(CP45+IF($A46=CQ$4,1,-1),CQ45-1,CP46-1)</f>
        <v>-81</v>
      </c>
    </row>
    <row r="47" customFormat="false" ht="15" hidden="false" customHeight="false" outlineLevel="0" collapsed="false">
      <c r="A47" s="4" t="s">
        <v>171</v>
      </c>
      <c r="B47" s="12" t="n">
        <v>-42</v>
      </c>
      <c r="C47" s="2" t="n">
        <f aca="false">MAX(B46+IF($A47=C$4,1,-1),C46-1,B47-1)</f>
        <v>-42</v>
      </c>
      <c r="D47" s="2" t="n">
        <f aca="false">MAX(C46+IF($A47=D$4,1,-1),D46-1,C47-1)</f>
        <v>-40</v>
      </c>
      <c r="E47" s="2" t="n">
        <f aca="false">MAX(D46+IF($A47=E$4,1,-1),E46-1,D47-1)</f>
        <v>-38</v>
      </c>
      <c r="F47" s="2" t="n">
        <f aca="false">MAX(E46+IF($A47=F$4,1,-1),F46-1,E47-1)</f>
        <v>-36</v>
      </c>
      <c r="G47" s="2" t="n">
        <f aca="false">MAX(F46+IF($A47=G$4,1,-1),G46-1,F47-1)</f>
        <v>-36</v>
      </c>
      <c r="H47" s="2" t="n">
        <f aca="false">MAX(G46+IF($A47=H$4,1,-1),H46-1,G47-1)</f>
        <v>-36</v>
      </c>
      <c r="I47" s="2" t="n">
        <f aca="false">MAX(H46+IF($A47=I$4,1,-1),I46-1,H47-1)</f>
        <v>-36</v>
      </c>
      <c r="J47" s="2" t="n">
        <f aca="false">MAX(I46+IF($A47=J$4,1,-1),J46-1,I47-1)</f>
        <v>-36</v>
      </c>
      <c r="K47" s="2" t="n">
        <f aca="false">MAX(J46+IF($A47=K$4,1,-1),K46-1,J47-1)</f>
        <v>-35</v>
      </c>
      <c r="L47" s="2" t="n">
        <f aca="false">MAX(K46+IF($A47=L$4,1,-1),L46-1,K47-1)</f>
        <v>-35</v>
      </c>
      <c r="M47" s="2" t="n">
        <f aca="false">MAX(L46+IF($A47=M$4,1,-1),M46-1,L47-1)</f>
        <v>-35</v>
      </c>
      <c r="N47" s="2" t="n">
        <f aca="false">MAX(M46+IF($A47=N$4,1,-1),N46-1,M47-1)</f>
        <v>-33</v>
      </c>
      <c r="O47" s="2" t="n">
        <f aca="false">MAX(N46+IF($A47=O$4,1,-1),O46-1,N47-1)</f>
        <v>-32</v>
      </c>
      <c r="P47" s="2" t="n">
        <f aca="false">MAX(O46+IF($A47=P$4,1,-1),P46-1,O47-1)</f>
        <v>-32</v>
      </c>
      <c r="Q47" s="2" t="n">
        <f aca="false">MAX(P46+IF($A47=Q$4,1,-1),Q46-1,P47-1)</f>
        <v>-32</v>
      </c>
      <c r="R47" s="2" t="n">
        <f aca="false">MAX(Q46+IF($A47=R$4,1,-1),R46-1,Q47-1)</f>
        <v>-32</v>
      </c>
      <c r="S47" s="2" t="n">
        <f aca="false">MAX(R46+IF($A47=S$4,1,-1),S46-1,R47-1)</f>
        <v>-32</v>
      </c>
      <c r="T47" s="2" t="n">
        <f aca="false">MAX(S46+IF($A47=T$4,1,-1),T46-1,S47-1)</f>
        <v>-32</v>
      </c>
      <c r="U47" s="2" t="n">
        <f aca="false">MAX(T46+IF($A47=U$4,1,-1),U46-1,T47-1)</f>
        <v>-32</v>
      </c>
      <c r="V47" s="2" t="n">
        <f aca="false">MAX(U46+IF($A47=V$4,1,-1),V46-1,U47-1)</f>
        <v>-32</v>
      </c>
      <c r="W47" s="2" t="n">
        <f aca="false">MAX(V46+IF($A47=W$4,1,-1),W46-1,V47-1)</f>
        <v>-32</v>
      </c>
      <c r="X47" s="2" t="n">
        <f aca="false">MAX(W46+IF($A47=X$4,1,-1),X46-1,W47-1)</f>
        <v>-32</v>
      </c>
      <c r="Y47" s="2" t="n">
        <f aca="false">MAX(X46+IF($A47=Y$4,1,-1),Y46-1,X47-1)</f>
        <v>-32</v>
      </c>
      <c r="Z47" s="2" t="n">
        <f aca="false">MAX(Y46+IF($A47=Z$4,1,-1),Z46-1,Y47-1)</f>
        <v>-32</v>
      </c>
      <c r="AA47" s="2" t="n">
        <f aca="false">MAX(Z46+IF($A47=AA$4,1,-1),AA46-1,Z47-1)</f>
        <v>-32</v>
      </c>
      <c r="AB47" s="2" t="n">
        <f aca="false">MAX(AA46+IF($A47=AB$4,1,-1),AB46-1,AA47-1)</f>
        <v>-32</v>
      </c>
      <c r="AC47" s="2" t="n">
        <f aca="false">MAX(AB46+IF($A47=AC$4,1,-1),AC46-1,AB47-1)</f>
        <v>-33</v>
      </c>
      <c r="AD47" s="2" t="n">
        <f aca="false">MAX(AC46+IF($A47=AD$4,1,-1),AD46-1,AC47-1)</f>
        <v>-34</v>
      </c>
      <c r="AE47" s="2" t="n">
        <f aca="false">MAX(AD46+IF($A47=AE$4,1,-1),AE46-1,AD47-1)</f>
        <v>-34</v>
      </c>
      <c r="AF47" s="2" t="n">
        <f aca="false">MAX(AE46+IF($A47=AF$4,1,-1),AF46-1,AE47-1)</f>
        <v>-34</v>
      </c>
      <c r="AG47" s="2" t="n">
        <f aca="false">MAX(AF46+IF($A47=AG$4,1,-1),AG46-1,AF47-1)</f>
        <v>-34</v>
      </c>
      <c r="AH47" s="2" t="n">
        <f aca="false">MAX(AG46+IF($A47=AH$4,1,-1),AH46-1,AG47-1)</f>
        <v>-34</v>
      </c>
      <c r="AI47" s="2" t="n">
        <f aca="false">MAX(AH46+IF($A47=AI$4,1,-1),AI46-1,AH47-1)</f>
        <v>-34</v>
      </c>
      <c r="AJ47" s="2" t="n">
        <f aca="false">MAX(AI46+IF($A47=AJ$4,1,-1),AJ46-1,AI47-1)</f>
        <v>-34</v>
      </c>
      <c r="AK47" s="2" t="n">
        <f aca="false">MAX(AJ46+IF($A47=AK$4,1,-1),AK46-1,AJ47-1)</f>
        <v>-34</v>
      </c>
      <c r="AL47" s="2" t="n">
        <f aca="false">MAX(AK46+IF($A47=AL$4,1,-1),AL46-1,AK47-1)</f>
        <v>-34</v>
      </c>
      <c r="AM47" s="2" t="n">
        <f aca="false">MAX(AL46+IF($A47=AM$4,1,-1),AM46-1,AL47-1)</f>
        <v>-34</v>
      </c>
      <c r="AN47" s="2" t="n">
        <f aca="false">MAX(AM46+IF($A47=AN$4,1,-1),AN46-1,AM47-1)</f>
        <v>-35</v>
      </c>
      <c r="AO47" s="2" t="n">
        <f aca="false">MAX(AN46+IF($A47=AO$4,1,-1),AO46-1,AN47-1)</f>
        <v>-35</v>
      </c>
      <c r="AP47" s="2" t="n">
        <f aca="false">MAX(AO46+IF($A47=AP$4,1,-1),AP46-1,AO47-1)</f>
        <v>-35</v>
      </c>
      <c r="AQ47" s="2" t="n">
        <f aca="false">MAX(AP46+IF($A47=AQ$4,1,-1),AQ46-1,AP47-1)</f>
        <v>-36</v>
      </c>
      <c r="AR47" s="2" t="n">
        <f aca="false">MAX(AQ46+IF($A47=AR$4,1,-1),AR46-1,AQ47-1)</f>
        <v>-36</v>
      </c>
      <c r="AS47" s="2" t="n">
        <f aca="false">MAX(AR46+IF($A47=AS$4,1,-1),AS46-1,AR47-1)</f>
        <v>-36</v>
      </c>
      <c r="AT47" s="2" t="n">
        <f aca="false">MAX(AS46+IF($A47=AT$4,1,-1),AT46-1,AS47-1)</f>
        <v>-36</v>
      </c>
      <c r="AU47" s="2" t="n">
        <f aca="false">MAX(AT46+IF($A47=AU$4,1,-1),AU46-1,AT47-1)</f>
        <v>-37</v>
      </c>
      <c r="AV47" s="2" t="n">
        <f aca="false">MAX(AU46+IF($A47=AV$4,1,-1),AV46-1,AU47-1)</f>
        <v>-38</v>
      </c>
      <c r="AW47" s="2" t="n">
        <f aca="false">MAX(AV46+IF($A47=AW$4,1,-1),AW46-1,AV47-1)</f>
        <v>-39</v>
      </c>
      <c r="AX47" s="2" t="n">
        <f aca="false">MAX(AW46+IF($A47=AX$4,1,-1),AX46-1,AW47-1)</f>
        <v>-40</v>
      </c>
      <c r="AY47" s="2" t="n">
        <f aca="false">MAX(AX46+IF($A47=AY$4,1,-1),AY46-1,AX47-1)</f>
        <v>-41</v>
      </c>
      <c r="AZ47" s="2" t="n">
        <f aca="false">MAX(AY46+IF($A47=AZ$4,1,-1),AZ46-1,AY47-1)</f>
        <v>-42</v>
      </c>
      <c r="BA47" s="2" t="n">
        <f aca="false">MAX(AZ46+IF($A47=BA$4,1,-1),BA46-1,AZ47-1)</f>
        <v>-43</v>
      </c>
      <c r="BB47" s="2" t="n">
        <f aca="false">MAX(BA46+IF($A47=BB$4,1,-1),BB46-1,BA47-1)</f>
        <v>-44</v>
      </c>
      <c r="BC47" s="2" t="n">
        <f aca="false">MAX(BB46+IF($A47=BC$4,1,-1),BC46-1,BB47-1)</f>
        <v>-45</v>
      </c>
      <c r="BD47" s="2" t="n">
        <f aca="false">MAX(BC46+IF($A47=BD$4,1,-1),BD46-1,BC47-1)</f>
        <v>-46</v>
      </c>
      <c r="BE47" s="2" t="n">
        <f aca="false">MAX(BD46+IF($A47=BE$4,1,-1),BE46-1,BD47-1)</f>
        <v>-47</v>
      </c>
      <c r="BF47" s="2" t="n">
        <f aca="false">MAX(BE46+IF($A47=BF$4,1,-1),BF46-1,BE47-1)</f>
        <v>-48</v>
      </c>
      <c r="BG47" s="2" t="n">
        <f aca="false">MAX(BF46+IF($A47=BG$4,1,-1),BG46-1,BF47-1)</f>
        <v>-49</v>
      </c>
      <c r="BH47" s="2" t="n">
        <f aca="false">MAX(BG46+IF($A47=BH$4,1,-1),BH46-1,BG47-1)</f>
        <v>-50</v>
      </c>
      <c r="BI47" s="2" t="n">
        <f aca="false">MAX(BH46+IF($A47=BI$4,1,-1),BI46-1,BH47-1)</f>
        <v>-50</v>
      </c>
      <c r="BJ47" s="2" t="n">
        <f aca="false">MAX(BI46+IF($A47=BJ$4,1,-1),BJ46-1,BI47-1)</f>
        <v>-50</v>
      </c>
      <c r="BK47" s="2" t="n">
        <f aca="false">MAX(BJ46+IF($A47=BK$4,1,-1),BK46-1,BJ47-1)</f>
        <v>-51</v>
      </c>
      <c r="BL47" s="2" t="n">
        <f aca="false">MAX(BK46+IF($A47=BL$4,1,-1),BL46-1,BK47-1)</f>
        <v>-52</v>
      </c>
      <c r="BM47" s="2" t="n">
        <f aca="false">MAX(BL46+IF($A47=BM$4,1,-1),BM46-1,BL47-1)</f>
        <v>-53</v>
      </c>
      <c r="BN47" s="2" t="n">
        <f aca="false">MAX(BM46+IF($A47=BN$4,1,-1),BN46-1,BM47-1)</f>
        <v>-54</v>
      </c>
      <c r="BO47" s="2" t="n">
        <f aca="false">MAX(BN46+IF($A47=BO$4,1,-1),BO46-1,BN47-1)</f>
        <v>-55</v>
      </c>
      <c r="BP47" s="2" t="n">
        <f aca="false">MAX(BO46+IF($A47=BP$4,1,-1),BP46-1,BO47-1)</f>
        <v>-56</v>
      </c>
      <c r="BQ47" s="2" t="n">
        <f aca="false">MAX(BP46+IF($A47=BQ$4,1,-1),BQ46-1,BP47-1)</f>
        <v>-57</v>
      </c>
      <c r="BR47" s="2" t="n">
        <f aca="false">MAX(BQ46+IF($A47=BR$4,1,-1),BR46-1,BQ47-1)</f>
        <v>-58</v>
      </c>
      <c r="BS47" s="2" t="n">
        <f aca="false">MAX(BR46+IF($A47=BS$4,1,-1),BS46-1,BR47-1)</f>
        <v>-58</v>
      </c>
      <c r="BT47" s="2" t="n">
        <f aca="false">MAX(BS46+IF($A47=BT$4,1,-1),BT46-1,BS47-1)</f>
        <v>-58</v>
      </c>
      <c r="BU47" s="2" t="n">
        <f aca="false">MAX(BT46+IF($A47=BU$4,1,-1),BU46-1,BT47-1)</f>
        <v>-59</v>
      </c>
      <c r="BV47" s="2" t="n">
        <f aca="false">MAX(BU46+IF($A47=BV$4,1,-1),BV46-1,BU47-1)</f>
        <v>-60</v>
      </c>
      <c r="BW47" s="2" t="n">
        <f aca="false">MAX(BV46+IF($A47=BW$4,1,-1),BW46-1,BV47-1)</f>
        <v>-61</v>
      </c>
      <c r="BX47" s="2" t="n">
        <f aca="false">MAX(BW46+IF($A47=BX$4,1,-1),BX46-1,BW47-1)</f>
        <v>-62</v>
      </c>
      <c r="BY47" s="2" t="n">
        <f aca="false">MAX(BX46+IF($A47=BY$4,1,-1),BY46-1,BX47-1)</f>
        <v>-63</v>
      </c>
      <c r="BZ47" s="2" t="n">
        <f aca="false">MAX(BY46+IF($A47=BZ$4,1,-1),BZ46-1,BY47-1)</f>
        <v>-64</v>
      </c>
      <c r="CA47" s="2" t="n">
        <f aca="false">MAX(BZ46+IF($A47=CA$4,1,-1),CA46-1,BZ47-1)</f>
        <v>-65</v>
      </c>
      <c r="CB47" s="2" t="n">
        <f aca="false">MAX(CA46+IF($A47=CB$4,1,-1),CB46-1,CA47-1)</f>
        <v>-66</v>
      </c>
      <c r="CC47" s="2" t="n">
        <f aca="false">MAX(CB46+IF($A47=CC$4,1,-1),CC46-1,CB47-1)</f>
        <v>-67</v>
      </c>
      <c r="CD47" s="2" t="n">
        <f aca="false">MAX(CC46+IF($A47=CD$4,1,-1),CD46-1,CC47-1)</f>
        <v>-68</v>
      </c>
      <c r="CE47" s="2" t="n">
        <f aca="false">MAX(CD46+IF($A47=CE$4,1,-1),CE46-1,CD47-1)</f>
        <v>-69</v>
      </c>
      <c r="CF47" s="2" t="n">
        <f aca="false">MAX(CE46+IF($A47=CF$4,1,-1),CF46-1,CE47-1)</f>
        <v>-70</v>
      </c>
      <c r="CG47" s="2" t="n">
        <f aca="false">MAX(CF46+IF($A47=CG$4,1,-1),CG46-1,CF47-1)</f>
        <v>-71</v>
      </c>
      <c r="CH47" s="2" t="n">
        <f aca="false">MAX(CG46+IF($A47=CH$4,1,-1),CH46-1,CG47-1)</f>
        <v>-72</v>
      </c>
      <c r="CI47" s="2" t="n">
        <f aca="false">MAX(CH46+IF($A47=CI$4,1,-1),CI46-1,CH47-1)</f>
        <v>-73</v>
      </c>
      <c r="CJ47" s="2" t="n">
        <f aca="false">MAX(CI46+IF($A47=CJ$4,1,-1),CJ46-1,CI47-1)</f>
        <v>-74</v>
      </c>
      <c r="CK47" s="2" t="n">
        <f aca="false">MAX(CJ46+IF($A47=CK$4,1,-1),CK46-1,CJ47-1)</f>
        <v>-75</v>
      </c>
      <c r="CL47" s="2" t="n">
        <f aca="false">MAX(CK46+IF($A47=CL$4,1,-1),CL46-1,CK47-1)</f>
        <v>-76</v>
      </c>
      <c r="CM47" s="2" t="n">
        <f aca="false">MAX(CL46+IF($A47=CM$4,1,-1),CM46-1,CL47-1)</f>
        <v>-77</v>
      </c>
      <c r="CN47" s="2" t="n">
        <f aca="false">MAX(CM46+IF($A47=CN$4,1,-1),CN46-1,CM47-1)</f>
        <v>-78</v>
      </c>
      <c r="CO47" s="2" t="n">
        <f aca="false">MAX(CN46+IF($A47=CO$4,1,-1),CO46-1,CN47-1)</f>
        <v>-79</v>
      </c>
      <c r="CP47" s="2" t="n">
        <f aca="false">MAX(CO46+IF($A47=CP$4,1,-1),CP46-1,CO47-1)</f>
        <v>-80</v>
      </c>
      <c r="CQ47" s="2" t="n">
        <f aca="false">MAX(CP46+IF($A47=CQ$4,1,-1),CQ46-1,CP47-1)</f>
        <v>-81</v>
      </c>
    </row>
    <row r="48" customFormat="false" ht="15" hidden="false" customHeight="false" outlineLevel="0" collapsed="false">
      <c r="A48" s="4" t="s">
        <v>108</v>
      </c>
      <c r="B48" s="12" t="n">
        <v>-43</v>
      </c>
      <c r="C48" s="2" t="n">
        <f aca="false">MAX(B47+IF($A48=C$4,1,-1),C47-1,B48-1)</f>
        <v>-43</v>
      </c>
      <c r="D48" s="2" t="n">
        <f aca="false">MAX(C47+IF($A48=D$4,1,-1),D47-1,C48-1)</f>
        <v>-41</v>
      </c>
      <c r="E48" s="2" t="n">
        <f aca="false">MAX(D47+IF($A48=E$4,1,-1),E47-1,D48-1)</f>
        <v>-39</v>
      </c>
      <c r="F48" s="2" t="n">
        <f aca="false">MAX(E47+IF($A48=F$4,1,-1),F47-1,E48-1)</f>
        <v>-37</v>
      </c>
      <c r="G48" s="2" t="n">
        <f aca="false">MAX(F47+IF($A48=G$4,1,-1),G47-1,F48-1)</f>
        <v>-37</v>
      </c>
      <c r="H48" s="2" t="n">
        <f aca="false">MAX(G47+IF($A48=H$4,1,-1),H47-1,G48-1)</f>
        <v>-37</v>
      </c>
      <c r="I48" s="2" t="n">
        <f aca="false">MAX(H47+IF($A48=I$4,1,-1),I47-1,H48-1)</f>
        <v>-37</v>
      </c>
      <c r="J48" s="2" t="n">
        <f aca="false">MAX(I47+IF($A48=J$4,1,-1),J47-1,I48-1)</f>
        <v>-37</v>
      </c>
      <c r="K48" s="2" t="n">
        <f aca="false">MAX(J47+IF($A48=K$4,1,-1),K47-1,J48-1)</f>
        <v>-36</v>
      </c>
      <c r="L48" s="2" t="n">
        <f aca="false">MAX(K47+IF($A48=L$4,1,-1),L47-1,K48-1)</f>
        <v>-36</v>
      </c>
      <c r="M48" s="2" t="n">
        <f aca="false">MAX(L47+IF($A48=M$4,1,-1),M47-1,L48-1)</f>
        <v>-36</v>
      </c>
      <c r="N48" s="2" t="n">
        <f aca="false">MAX(M47+IF($A48=N$4,1,-1),N47-1,M48-1)</f>
        <v>-34</v>
      </c>
      <c r="O48" s="2" t="n">
        <f aca="false">MAX(N47+IF($A48=O$4,1,-1),O47-1,N48-1)</f>
        <v>-33</v>
      </c>
      <c r="P48" s="2" t="n">
        <f aca="false">MAX(O47+IF($A48=P$4,1,-1),P47-1,O48-1)</f>
        <v>-33</v>
      </c>
      <c r="Q48" s="2" t="n">
        <f aca="false">MAX(P47+IF($A48=Q$4,1,-1),Q47-1,P48-1)</f>
        <v>-33</v>
      </c>
      <c r="R48" s="2" t="n">
        <f aca="false">MAX(Q47+IF($A48=R$4,1,-1),R47-1,Q48-1)</f>
        <v>-33</v>
      </c>
      <c r="S48" s="2" t="n">
        <f aca="false">MAX(R47+IF($A48=S$4,1,-1),S47-1,R48-1)</f>
        <v>-33</v>
      </c>
      <c r="T48" s="2" t="n">
        <f aca="false">MAX(S47+IF($A48=T$4,1,-1),T47-1,S48-1)</f>
        <v>-33</v>
      </c>
      <c r="U48" s="2" t="n">
        <f aca="false">MAX(T47+IF($A48=U$4,1,-1),U47-1,T48-1)</f>
        <v>-33</v>
      </c>
      <c r="V48" s="2" t="n">
        <f aca="false">MAX(U47+IF($A48=V$4,1,-1),V47-1,U48-1)</f>
        <v>-33</v>
      </c>
      <c r="W48" s="2" t="n">
        <f aca="false">MAX(V47+IF($A48=W$4,1,-1),W47-1,V48-1)</f>
        <v>-33</v>
      </c>
      <c r="X48" s="2" t="n">
        <f aca="false">MAX(W47+IF($A48=X$4,1,-1),X47-1,W48-1)</f>
        <v>-33</v>
      </c>
      <c r="Y48" s="2" t="n">
        <f aca="false">MAX(X47+IF($A48=Y$4,1,-1),Y47-1,X48-1)</f>
        <v>-33</v>
      </c>
      <c r="Z48" s="2" t="n">
        <f aca="false">MAX(Y47+IF($A48=Z$4,1,-1),Z47-1,Y48-1)</f>
        <v>-33</v>
      </c>
      <c r="AA48" s="2" t="n">
        <f aca="false">MAX(Z47+IF($A48=AA$4,1,-1),AA47-1,Z48-1)</f>
        <v>-33</v>
      </c>
      <c r="AB48" s="2" t="n">
        <f aca="false">MAX(AA47+IF($A48=AB$4,1,-1),AB47-1,AA48-1)</f>
        <v>-33</v>
      </c>
      <c r="AC48" s="2" t="n">
        <f aca="false">MAX(AB47+IF($A48=AC$4,1,-1),AC47-1,AB48-1)</f>
        <v>-33</v>
      </c>
      <c r="AD48" s="2" t="n">
        <f aca="false">MAX(AC47+IF($A48=AD$4,1,-1),AD47-1,AC48-1)</f>
        <v>-34</v>
      </c>
      <c r="AE48" s="2" t="n">
        <f aca="false">MAX(AD47+IF($A48=AE$4,1,-1),AE47-1,AD48-1)</f>
        <v>-35</v>
      </c>
      <c r="AF48" s="2" t="n">
        <f aca="false">MAX(AE47+IF($A48=AF$4,1,-1),AF47-1,AE48-1)</f>
        <v>-35</v>
      </c>
      <c r="AG48" s="2" t="n">
        <f aca="false">MAX(AF47+IF($A48=AG$4,1,-1),AG47-1,AF48-1)</f>
        <v>-35</v>
      </c>
      <c r="AH48" s="2" t="n">
        <f aca="false">MAX(AG47+IF($A48=AH$4,1,-1),AH47-1,AG48-1)</f>
        <v>-33</v>
      </c>
      <c r="AI48" s="2" t="n">
        <f aca="false">MAX(AH47+IF($A48=AI$4,1,-1),AI47-1,AH48-1)</f>
        <v>-34</v>
      </c>
      <c r="AJ48" s="2" t="n">
        <f aca="false">MAX(AI47+IF($A48=AJ$4,1,-1),AJ47-1,AI48-1)</f>
        <v>-35</v>
      </c>
      <c r="AK48" s="2" t="n">
        <f aca="false">MAX(AJ47+IF($A48=AK$4,1,-1),AK47-1,AJ48-1)</f>
        <v>-35</v>
      </c>
      <c r="AL48" s="2" t="n">
        <f aca="false">MAX(AK47+IF($A48=AL$4,1,-1),AL47-1,AK48-1)</f>
        <v>-35</v>
      </c>
      <c r="AM48" s="2" t="n">
        <f aca="false">MAX(AL47+IF($A48=AM$4,1,-1),AM47-1,AL48-1)</f>
        <v>-35</v>
      </c>
      <c r="AN48" s="2" t="n">
        <f aca="false">MAX(AM47+IF($A48=AN$4,1,-1),AN47-1,AM48-1)</f>
        <v>-35</v>
      </c>
      <c r="AO48" s="2" t="n">
        <f aca="false">MAX(AN47+IF($A48=AO$4,1,-1),AO47-1,AN48-1)</f>
        <v>-36</v>
      </c>
      <c r="AP48" s="2" t="n">
        <f aca="false">MAX(AO47+IF($A48=AP$4,1,-1),AP47-1,AO48-1)</f>
        <v>-36</v>
      </c>
      <c r="AQ48" s="2" t="n">
        <f aca="false">MAX(AP47+IF($A48=AQ$4,1,-1),AQ47-1,AP48-1)</f>
        <v>-36</v>
      </c>
      <c r="AR48" s="2" t="n">
        <f aca="false">MAX(AQ47+IF($A48=AR$4,1,-1),AR47-1,AQ48-1)</f>
        <v>-37</v>
      </c>
      <c r="AS48" s="2" t="n">
        <f aca="false">MAX(AR47+IF($A48=AS$4,1,-1),AS47-1,AR48-1)</f>
        <v>-37</v>
      </c>
      <c r="AT48" s="2" t="n">
        <f aca="false">MAX(AS47+IF($A48=AT$4,1,-1),AT47-1,AS48-1)</f>
        <v>-37</v>
      </c>
      <c r="AU48" s="2" t="n">
        <f aca="false">MAX(AT47+IF($A48=AU$4,1,-1),AU47-1,AT48-1)</f>
        <v>-37</v>
      </c>
      <c r="AV48" s="2" t="n">
        <f aca="false">MAX(AU47+IF($A48=AV$4,1,-1),AV47-1,AU48-1)</f>
        <v>-38</v>
      </c>
      <c r="AW48" s="2" t="n">
        <f aca="false">MAX(AV47+IF($A48=AW$4,1,-1),AW47-1,AV48-1)</f>
        <v>-39</v>
      </c>
      <c r="AX48" s="2" t="n">
        <f aca="false">MAX(AW47+IF($A48=AX$4,1,-1),AX47-1,AW48-1)</f>
        <v>-40</v>
      </c>
      <c r="AY48" s="2" t="n">
        <f aca="false">MAX(AX47+IF($A48=AY$4,1,-1),AY47-1,AX48-1)</f>
        <v>-41</v>
      </c>
      <c r="AZ48" s="2" t="n">
        <f aca="false">MAX(AY47+IF($A48=AZ$4,1,-1),AZ47-1,AY48-1)</f>
        <v>-42</v>
      </c>
      <c r="BA48" s="2" t="n">
        <f aca="false">MAX(AZ47+IF($A48=BA$4,1,-1),BA47-1,AZ48-1)</f>
        <v>-43</v>
      </c>
      <c r="BB48" s="2" t="n">
        <f aca="false">MAX(BA47+IF($A48=BB$4,1,-1),BB47-1,BA48-1)</f>
        <v>-44</v>
      </c>
      <c r="BC48" s="2" t="n">
        <f aca="false">MAX(BB47+IF($A48=BC$4,1,-1),BC47-1,BB48-1)</f>
        <v>-45</v>
      </c>
      <c r="BD48" s="2" t="n">
        <f aca="false">MAX(BC47+IF($A48=BD$4,1,-1),BD47-1,BC48-1)</f>
        <v>-46</v>
      </c>
      <c r="BE48" s="2" t="n">
        <f aca="false">MAX(BD47+IF($A48=BE$4,1,-1),BE47-1,BD48-1)</f>
        <v>-47</v>
      </c>
      <c r="BF48" s="2" t="n">
        <f aca="false">MAX(BE47+IF($A48=BF$4,1,-1),BF47-1,BE48-1)</f>
        <v>-48</v>
      </c>
      <c r="BG48" s="2" t="n">
        <f aca="false">MAX(BF47+IF($A48=BG$4,1,-1),BG47-1,BF48-1)</f>
        <v>-49</v>
      </c>
      <c r="BH48" s="2" t="n">
        <f aca="false">MAX(BG47+IF($A48=BH$4,1,-1),BH47-1,BG48-1)</f>
        <v>-50</v>
      </c>
      <c r="BI48" s="2" t="n">
        <f aca="false">MAX(BH47+IF($A48=BI$4,1,-1),BI47-1,BH48-1)</f>
        <v>-51</v>
      </c>
      <c r="BJ48" s="2" t="n">
        <f aca="false">MAX(BI47+IF($A48=BJ$4,1,-1),BJ47-1,BI48-1)</f>
        <v>-51</v>
      </c>
      <c r="BK48" s="2" t="n">
        <f aca="false">MAX(BJ47+IF($A48=BK$4,1,-1),BK47-1,BJ48-1)</f>
        <v>-51</v>
      </c>
      <c r="BL48" s="2" t="n">
        <f aca="false">MAX(BK47+IF($A48=BL$4,1,-1),BL47-1,BK48-1)</f>
        <v>-52</v>
      </c>
      <c r="BM48" s="2" t="n">
        <f aca="false">MAX(BL47+IF($A48=BM$4,1,-1),BM47-1,BL48-1)</f>
        <v>-53</v>
      </c>
      <c r="BN48" s="2" t="n">
        <f aca="false">MAX(BM47+IF($A48=BN$4,1,-1),BN47-1,BM48-1)</f>
        <v>-54</v>
      </c>
      <c r="BO48" s="2" t="n">
        <f aca="false">MAX(BN47+IF($A48=BO$4,1,-1),BO47-1,BN48-1)</f>
        <v>-55</v>
      </c>
      <c r="BP48" s="2" t="n">
        <f aca="false">MAX(BO47+IF($A48=BP$4,1,-1),BP47-1,BO48-1)</f>
        <v>-56</v>
      </c>
      <c r="BQ48" s="2" t="n">
        <f aca="false">MAX(BP47+IF($A48=BQ$4,1,-1),BQ47-1,BP48-1)</f>
        <v>-57</v>
      </c>
      <c r="BR48" s="2" t="n">
        <f aca="false">MAX(BQ47+IF($A48=BR$4,1,-1),BR47-1,BQ48-1)</f>
        <v>-58</v>
      </c>
      <c r="BS48" s="2" t="n">
        <f aca="false">MAX(BR47+IF($A48=BS$4,1,-1),BS47-1,BR48-1)</f>
        <v>-59</v>
      </c>
      <c r="BT48" s="2" t="n">
        <f aca="false">MAX(BS47+IF($A48=BT$4,1,-1),BT47-1,BS48-1)</f>
        <v>-59</v>
      </c>
      <c r="BU48" s="2" t="n">
        <f aca="false">MAX(BT47+IF($A48=BU$4,1,-1),BU47-1,BT48-1)</f>
        <v>-59</v>
      </c>
      <c r="BV48" s="2" t="n">
        <f aca="false">MAX(BU47+IF($A48=BV$4,1,-1),BV47-1,BU48-1)</f>
        <v>-60</v>
      </c>
      <c r="BW48" s="2" t="n">
        <f aca="false">MAX(BV47+IF($A48=BW$4,1,-1),BW47-1,BV48-1)</f>
        <v>-61</v>
      </c>
      <c r="BX48" s="2" t="n">
        <f aca="false">MAX(BW47+IF($A48=BX$4,1,-1),BX47-1,BW48-1)</f>
        <v>-62</v>
      </c>
      <c r="BY48" s="2" t="n">
        <f aca="false">MAX(BX47+IF($A48=BY$4,1,-1),BY47-1,BX48-1)</f>
        <v>-63</v>
      </c>
      <c r="BZ48" s="2" t="n">
        <f aca="false">MAX(BY47+IF($A48=BZ$4,1,-1),BZ47-1,BY48-1)</f>
        <v>-64</v>
      </c>
      <c r="CA48" s="2" t="n">
        <f aca="false">MAX(BZ47+IF($A48=CA$4,1,-1),CA47-1,BZ48-1)</f>
        <v>-65</v>
      </c>
      <c r="CB48" s="2" t="n">
        <f aca="false">MAX(CA47+IF($A48=CB$4,1,-1),CB47-1,CA48-1)</f>
        <v>-66</v>
      </c>
      <c r="CC48" s="2" t="n">
        <f aca="false">MAX(CB47+IF($A48=CC$4,1,-1),CC47-1,CB48-1)</f>
        <v>-67</v>
      </c>
      <c r="CD48" s="2" t="n">
        <f aca="false">MAX(CC47+IF($A48=CD$4,1,-1),CD47-1,CC48-1)</f>
        <v>-68</v>
      </c>
      <c r="CE48" s="2" t="n">
        <f aca="false">MAX(CD47+IF($A48=CE$4,1,-1),CE47-1,CD48-1)</f>
        <v>-69</v>
      </c>
      <c r="CF48" s="2" t="n">
        <f aca="false">MAX(CE47+IF($A48=CF$4,1,-1),CF47-1,CE48-1)</f>
        <v>-70</v>
      </c>
      <c r="CG48" s="2" t="n">
        <f aca="false">MAX(CF47+IF($A48=CG$4,1,-1),CG47-1,CF48-1)</f>
        <v>-71</v>
      </c>
      <c r="CH48" s="2" t="n">
        <f aca="false">MAX(CG47+IF($A48=CH$4,1,-1),CH47-1,CG48-1)</f>
        <v>-72</v>
      </c>
      <c r="CI48" s="2" t="n">
        <f aca="false">MAX(CH47+IF($A48=CI$4,1,-1),CI47-1,CH48-1)</f>
        <v>-73</v>
      </c>
      <c r="CJ48" s="2" t="n">
        <f aca="false">MAX(CI47+IF($A48=CJ$4,1,-1),CJ47-1,CI48-1)</f>
        <v>-74</v>
      </c>
      <c r="CK48" s="2" t="n">
        <f aca="false">MAX(CJ47+IF($A48=CK$4,1,-1),CK47-1,CJ48-1)</f>
        <v>-75</v>
      </c>
      <c r="CL48" s="2" t="n">
        <f aca="false">MAX(CK47+IF($A48=CL$4,1,-1),CL47-1,CK48-1)</f>
        <v>-76</v>
      </c>
      <c r="CM48" s="2" t="n">
        <f aca="false">MAX(CL47+IF($A48=CM$4,1,-1),CM47-1,CL48-1)</f>
        <v>-77</v>
      </c>
      <c r="CN48" s="2" t="n">
        <f aca="false">MAX(CM47+IF($A48=CN$4,1,-1),CN47-1,CM48-1)</f>
        <v>-78</v>
      </c>
      <c r="CO48" s="2" t="n">
        <f aca="false">MAX(CN47+IF($A48=CO$4,1,-1),CO47-1,CN48-1)</f>
        <v>-79</v>
      </c>
      <c r="CP48" s="2" t="n">
        <f aca="false">MAX(CO47+IF($A48=CP$4,1,-1),CP47-1,CO48-1)</f>
        <v>-80</v>
      </c>
      <c r="CQ48" s="2" t="n">
        <f aca="false">MAX(CP47+IF($A48=CQ$4,1,-1),CQ47-1,CP48-1)</f>
        <v>-81</v>
      </c>
    </row>
    <row r="49" customFormat="false" ht="15" hidden="false" customHeight="false" outlineLevel="0" collapsed="false">
      <c r="A49" s="4" t="s">
        <v>168</v>
      </c>
      <c r="B49" s="12" t="n">
        <v>-44</v>
      </c>
      <c r="C49" s="2" t="n">
        <f aca="false">MAX(B48+IF($A49=C$4,1,-1),C48-1,B49-1)</f>
        <v>-44</v>
      </c>
      <c r="D49" s="2" t="n">
        <f aca="false">MAX(C48+IF($A49=D$4,1,-1),D48-1,C49-1)</f>
        <v>-42</v>
      </c>
      <c r="E49" s="2" t="n">
        <f aca="false">MAX(D48+IF($A49=E$4,1,-1),E48-1,D49-1)</f>
        <v>-40</v>
      </c>
      <c r="F49" s="2" t="n">
        <f aca="false">MAX(E48+IF($A49=F$4,1,-1),F48-1,E49-1)</f>
        <v>-38</v>
      </c>
      <c r="G49" s="2" t="n">
        <f aca="false">MAX(F48+IF($A49=G$4,1,-1),G48-1,F49-1)</f>
        <v>-38</v>
      </c>
      <c r="H49" s="2" t="n">
        <f aca="false">MAX(G48+IF($A49=H$4,1,-1),H48-1,G49-1)</f>
        <v>-38</v>
      </c>
      <c r="I49" s="2" t="n">
        <f aca="false">MAX(H48+IF($A49=I$4,1,-1),I48-1,H49-1)</f>
        <v>-38</v>
      </c>
      <c r="J49" s="2" t="n">
        <f aca="false">MAX(I48+IF($A49=J$4,1,-1),J48-1,I49-1)</f>
        <v>-38</v>
      </c>
      <c r="K49" s="2" t="n">
        <f aca="false">MAX(J48+IF($A49=K$4,1,-1),K48-1,J49-1)</f>
        <v>-37</v>
      </c>
      <c r="L49" s="2" t="n">
        <f aca="false">MAX(K48+IF($A49=L$4,1,-1),L48-1,K49-1)</f>
        <v>-37</v>
      </c>
      <c r="M49" s="2" t="n">
        <f aca="false">MAX(L48+IF($A49=M$4,1,-1),M48-1,L49-1)</f>
        <v>-37</v>
      </c>
      <c r="N49" s="2" t="n">
        <f aca="false">MAX(M48+IF($A49=N$4,1,-1),N48-1,M49-1)</f>
        <v>-35</v>
      </c>
      <c r="O49" s="2" t="n">
        <f aca="false">MAX(N48+IF($A49=O$4,1,-1),O48-1,N49-1)</f>
        <v>-34</v>
      </c>
      <c r="P49" s="2" t="n">
        <f aca="false">MAX(O48+IF($A49=P$4,1,-1),P48-1,O49-1)</f>
        <v>-34</v>
      </c>
      <c r="Q49" s="2" t="n">
        <f aca="false">MAX(P48+IF($A49=Q$4,1,-1),Q48-1,P49-1)</f>
        <v>-34</v>
      </c>
      <c r="R49" s="2" t="n">
        <f aca="false">MAX(Q48+IF($A49=R$4,1,-1),R48-1,Q49-1)</f>
        <v>-34</v>
      </c>
      <c r="S49" s="2" t="n">
        <f aca="false">MAX(R48+IF($A49=S$4,1,-1),S48-1,R49-1)</f>
        <v>-34</v>
      </c>
      <c r="T49" s="2" t="n">
        <f aca="false">MAX(S48+IF($A49=T$4,1,-1),T48-1,S49-1)</f>
        <v>-34</v>
      </c>
      <c r="U49" s="2" t="n">
        <f aca="false">MAX(T48+IF($A49=U$4,1,-1),U48-1,T49-1)</f>
        <v>-34</v>
      </c>
      <c r="V49" s="2" t="n">
        <f aca="false">MAX(U48+IF($A49=V$4,1,-1),V48-1,U49-1)</f>
        <v>-34</v>
      </c>
      <c r="W49" s="2" t="n">
        <f aca="false">MAX(V48+IF($A49=W$4,1,-1),W48-1,V49-1)</f>
        <v>-34</v>
      </c>
      <c r="X49" s="2" t="n">
        <f aca="false">MAX(W48+IF($A49=X$4,1,-1),X48-1,W49-1)</f>
        <v>-34</v>
      </c>
      <c r="Y49" s="2" t="n">
        <f aca="false">MAX(X48+IF($A49=Y$4,1,-1),Y48-1,X49-1)</f>
        <v>-34</v>
      </c>
      <c r="Z49" s="2" t="n">
        <f aca="false">MAX(Y48+IF($A49=Z$4,1,-1),Z48-1,Y49-1)</f>
        <v>-34</v>
      </c>
      <c r="AA49" s="2" t="n">
        <f aca="false">MAX(Z48+IF($A49=AA$4,1,-1),AA48-1,Z49-1)</f>
        <v>-34</v>
      </c>
      <c r="AB49" s="2" t="n">
        <f aca="false">MAX(AA48+IF($A49=AB$4,1,-1),AB48-1,AA49-1)</f>
        <v>-34</v>
      </c>
      <c r="AC49" s="2" t="n">
        <f aca="false">MAX(AB48+IF($A49=AC$4,1,-1),AC48-1,AB49-1)</f>
        <v>-34</v>
      </c>
      <c r="AD49" s="2" t="n">
        <f aca="false">MAX(AC48+IF($A49=AD$4,1,-1),AD48-1,AC49-1)</f>
        <v>-34</v>
      </c>
      <c r="AE49" s="2" t="n">
        <f aca="false">MAX(AD48+IF($A49=AE$4,1,-1),AE48-1,AD49-1)</f>
        <v>-35</v>
      </c>
      <c r="AF49" s="2" t="n">
        <f aca="false">MAX(AE48+IF($A49=AF$4,1,-1),AF48-1,AE49-1)</f>
        <v>-36</v>
      </c>
      <c r="AG49" s="2" t="n">
        <f aca="false">MAX(AF48+IF($A49=AG$4,1,-1),AG48-1,AF49-1)</f>
        <v>-36</v>
      </c>
      <c r="AH49" s="2" t="n">
        <f aca="false">MAX(AG48+IF($A49=AH$4,1,-1),AH48-1,AG49-1)</f>
        <v>-34</v>
      </c>
      <c r="AI49" s="2" t="n">
        <f aca="false">MAX(AH48+IF($A49=AI$4,1,-1),AI48-1,AH49-1)</f>
        <v>-34</v>
      </c>
      <c r="AJ49" s="2" t="n">
        <f aca="false">MAX(AI48+IF($A49=AJ$4,1,-1),AJ48-1,AI49-1)</f>
        <v>-35</v>
      </c>
      <c r="AK49" s="2" t="n">
        <f aca="false">MAX(AJ48+IF($A49=AK$4,1,-1),AK48-1,AJ49-1)</f>
        <v>-36</v>
      </c>
      <c r="AL49" s="2" t="n">
        <f aca="false">MAX(AK48+IF($A49=AL$4,1,-1),AL48-1,AK49-1)</f>
        <v>-36</v>
      </c>
      <c r="AM49" s="2" t="n">
        <f aca="false">MAX(AL48+IF($A49=AM$4,1,-1),AM48-1,AL49-1)</f>
        <v>-36</v>
      </c>
      <c r="AN49" s="2" t="n">
        <f aca="false">MAX(AM48+IF($A49=AN$4,1,-1),AN48-1,AM49-1)</f>
        <v>-36</v>
      </c>
      <c r="AO49" s="2" t="n">
        <f aca="false">MAX(AN48+IF($A49=AO$4,1,-1),AO48-1,AN49-1)</f>
        <v>-36</v>
      </c>
      <c r="AP49" s="2" t="n">
        <f aca="false">MAX(AO48+IF($A49=AP$4,1,-1),AP48-1,AO49-1)</f>
        <v>-37</v>
      </c>
      <c r="AQ49" s="2" t="n">
        <f aca="false">MAX(AP48+IF($A49=AQ$4,1,-1),AQ48-1,AP49-1)</f>
        <v>-37</v>
      </c>
      <c r="AR49" s="2" t="n">
        <f aca="false">MAX(AQ48+IF($A49=AR$4,1,-1),AR48-1,AQ49-1)</f>
        <v>-37</v>
      </c>
      <c r="AS49" s="2" t="n">
        <f aca="false">MAX(AR48+IF($A49=AS$4,1,-1),AS48-1,AR49-1)</f>
        <v>-38</v>
      </c>
      <c r="AT49" s="2" t="n">
        <f aca="false">MAX(AS48+IF($A49=AT$4,1,-1),AT48-1,AS49-1)</f>
        <v>-38</v>
      </c>
      <c r="AU49" s="2" t="n">
        <f aca="false">MAX(AT48+IF($A49=AU$4,1,-1),AU48-1,AT49-1)</f>
        <v>-38</v>
      </c>
      <c r="AV49" s="2" t="n">
        <f aca="false">MAX(AU48+IF($A49=AV$4,1,-1),AV48-1,AU49-1)</f>
        <v>-38</v>
      </c>
      <c r="AW49" s="2" t="n">
        <f aca="false">MAX(AV48+IF($A49=AW$4,1,-1),AW48-1,AV49-1)</f>
        <v>-39</v>
      </c>
      <c r="AX49" s="2" t="n">
        <f aca="false">MAX(AW48+IF($A49=AX$4,1,-1),AX48-1,AW49-1)</f>
        <v>-40</v>
      </c>
      <c r="AY49" s="2" t="n">
        <f aca="false">MAX(AX48+IF($A49=AY$4,1,-1),AY48-1,AX49-1)</f>
        <v>-41</v>
      </c>
      <c r="AZ49" s="2" t="n">
        <f aca="false">MAX(AY48+IF($A49=AZ$4,1,-1),AZ48-1,AY49-1)</f>
        <v>-42</v>
      </c>
      <c r="BA49" s="2" t="n">
        <f aca="false">MAX(AZ48+IF($A49=BA$4,1,-1),BA48-1,AZ49-1)</f>
        <v>-43</v>
      </c>
      <c r="BB49" s="2" t="n">
        <f aca="false">MAX(BA48+IF($A49=BB$4,1,-1),BB48-1,BA49-1)</f>
        <v>-44</v>
      </c>
      <c r="BC49" s="2" t="n">
        <f aca="false">MAX(BB48+IF($A49=BC$4,1,-1),BC48-1,BB49-1)</f>
        <v>-45</v>
      </c>
      <c r="BD49" s="2" t="n">
        <f aca="false">MAX(BC48+IF($A49=BD$4,1,-1),BD48-1,BC49-1)</f>
        <v>-46</v>
      </c>
      <c r="BE49" s="2" t="n">
        <f aca="false">MAX(BD48+IF($A49=BE$4,1,-1),BE48-1,BD49-1)</f>
        <v>-47</v>
      </c>
      <c r="BF49" s="2" t="n">
        <f aca="false">MAX(BE48+IF($A49=BF$4,1,-1),BF48-1,BE49-1)</f>
        <v>-48</v>
      </c>
      <c r="BG49" s="2" t="n">
        <f aca="false">MAX(BF48+IF($A49=BG$4,1,-1),BG48-1,BF49-1)</f>
        <v>-49</v>
      </c>
      <c r="BH49" s="2" t="n">
        <f aca="false">MAX(BG48+IF($A49=BH$4,1,-1),BH48-1,BG49-1)</f>
        <v>-50</v>
      </c>
      <c r="BI49" s="2" t="n">
        <f aca="false">MAX(BH48+IF($A49=BI$4,1,-1),BI48-1,BH49-1)</f>
        <v>-51</v>
      </c>
      <c r="BJ49" s="2" t="n">
        <f aca="false">MAX(BI48+IF($A49=BJ$4,1,-1),BJ48-1,BI49-1)</f>
        <v>-52</v>
      </c>
      <c r="BK49" s="2" t="n">
        <f aca="false">MAX(BJ48+IF($A49=BK$4,1,-1),BK48-1,BJ49-1)</f>
        <v>-52</v>
      </c>
      <c r="BL49" s="2" t="n">
        <f aca="false">MAX(BK48+IF($A49=BL$4,1,-1),BL48-1,BK49-1)</f>
        <v>-52</v>
      </c>
      <c r="BM49" s="2" t="n">
        <f aca="false">MAX(BL48+IF($A49=BM$4,1,-1),BM48-1,BL49-1)</f>
        <v>-53</v>
      </c>
      <c r="BN49" s="2" t="n">
        <f aca="false">MAX(BM48+IF($A49=BN$4,1,-1),BN48-1,BM49-1)</f>
        <v>-54</v>
      </c>
      <c r="BO49" s="2" t="n">
        <f aca="false">MAX(BN48+IF($A49=BO$4,1,-1),BO48-1,BN49-1)</f>
        <v>-55</v>
      </c>
      <c r="BP49" s="2" t="n">
        <f aca="false">MAX(BO48+IF($A49=BP$4,1,-1),BP48-1,BO49-1)</f>
        <v>-56</v>
      </c>
      <c r="BQ49" s="2" t="n">
        <f aca="false">MAX(BP48+IF($A49=BQ$4,1,-1),BQ48-1,BP49-1)</f>
        <v>-57</v>
      </c>
      <c r="BR49" s="2" t="n">
        <f aca="false">MAX(BQ48+IF($A49=BR$4,1,-1),BR48-1,BQ49-1)</f>
        <v>-58</v>
      </c>
      <c r="BS49" s="2" t="n">
        <f aca="false">MAX(BR48+IF($A49=BS$4,1,-1),BS48-1,BR49-1)</f>
        <v>-59</v>
      </c>
      <c r="BT49" s="2" t="n">
        <f aca="false">MAX(BS48+IF($A49=BT$4,1,-1),BT48-1,BS49-1)</f>
        <v>-60</v>
      </c>
      <c r="BU49" s="2" t="n">
        <f aca="false">MAX(BT48+IF($A49=BU$4,1,-1),BU48-1,BT49-1)</f>
        <v>-60</v>
      </c>
      <c r="BV49" s="2" t="n">
        <f aca="false">MAX(BU48+IF($A49=BV$4,1,-1),BV48-1,BU49-1)</f>
        <v>-60</v>
      </c>
      <c r="BW49" s="2" t="n">
        <f aca="false">MAX(BV48+IF($A49=BW$4,1,-1),BW48-1,BV49-1)</f>
        <v>-61</v>
      </c>
      <c r="BX49" s="2" t="n">
        <f aca="false">MAX(BW48+IF($A49=BX$4,1,-1),BX48-1,BW49-1)</f>
        <v>-62</v>
      </c>
      <c r="BY49" s="2" t="n">
        <f aca="false">MAX(BX48+IF($A49=BY$4,1,-1),BY48-1,BX49-1)</f>
        <v>-63</v>
      </c>
      <c r="BZ49" s="2" t="n">
        <f aca="false">MAX(BY48+IF($A49=BZ$4,1,-1),BZ48-1,BY49-1)</f>
        <v>-64</v>
      </c>
      <c r="CA49" s="2" t="n">
        <f aca="false">MAX(BZ48+IF($A49=CA$4,1,-1),CA48-1,BZ49-1)</f>
        <v>-65</v>
      </c>
      <c r="CB49" s="2" t="n">
        <f aca="false">MAX(CA48+IF($A49=CB$4,1,-1),CB48-1,CA49-1)</f>
        <v>-66</v>
      </c>
      <c r="CC49" s="2" t="n">
        <f aca="false">MAX(CB48+IF($A49=CC$4,1,-1),CC48-1,CB49-1)</f>
        <v>-67</v>
      </c>
      <c r="CD49" s="2" t="n">
        <f aca="false">MAX(CC48+IF($A49=CD$4,1,-1),CD48-1,CC49-1)</f>
        <v>-68</v>
      </c>
      <c r="CE49" s="2" t="n">
        <f aca="false">MAX(CD48+IF($A49=CE$4,1,-1),CE48-1,CD49-1)</f>
        <v>-69</v>
      </c>
      <c r="CF49" s="2" t="n">
        <f aca="false">MAX(CE48+IF($A49=CF$4,1,-1),CF48-1,CE49-1)</f>
        <v>-70</v>
      </c>
      <c r="CG49" s="2" t="n">
        <f aca="false">MAX(CF48+IF($A49=CG$4,1,-1),CG48-1,CF49-1)</f>
        <v>-71</v>
      </c>
      <c r="CH49" s="2" t="n">
        <f aca="false">MAX(CG48+IF($A49=CH$4,1,-1),CH48-1,CG49-1)</f>
        <v>-72</v>
      </c>
      <c r="CI49" s="2" t="n">
        <f aca="false">MAX(CH48+IF($A49=CI$4,1,-1),CI48-1,CH49-1)</f>
        <v>-73</v>
      </c>
      <c r="CJ49" s="2" t="n">
        <f aca="false">MAX(CI48+IF($A49=CJ$4,1,-1),CJ48-1,CI49-1)</f>
        <v>-74</v>
      </c>
      <c r="CK49" s="2" t="n">
        <f aca="false">MAX(CJ48+IF($A49=CK$4,1,-1),CK48-1,CJ49-1)</f>
        <v>-75</v>
      </c>
      <c r="CL49" s="2" t="n">
        <f aca="false">MAX(CK48+IF($A49=CL$4,1,-1),CL48-1,CK49-1)</f>
        <v>-76</v>
      </c>
      <c r="CM49" s="2" t="n">
        <f aca="false">MAX(CL48+IF($A49=CM$4,1,-1),CM48-1,CL49-1)</f>
        <v>-77</v>
      </c>
      <c r="CN49" s="2" t="n">
        <f aca="false">MAX(CM48+IF($A49=CN$4,1,-1),CN48-1,CM49-1)</f>
        <v>-78</v>
      </c>
      <c r="CO49" s="2" t="n">
        <f aca="false">MAX(CN48+IF($A49=CO$4,1,-1),CO48-1,CN49-1)</f>
        <v>-79</v>
      </c>
      <c r="CP49" s="2" t="n">
        <f aca="false">MAX(CO48+IF($A49=CP$4,1,-1),CP48-1,CO49-1)</f>
        <v>-80</v>
      </c>
      <c r="CQ49" s="2" t="n">
        <f aca="false">MAX(CP48+IF($A49=CQ$4,1,-1),CQ48-1,CP49-1)</f>
        <v>-81</v>
      </c>
    </row>
    <row r="50" customFormat="false" ht="15" hidden="false" customHeight="false" outlineLevel="0" collapsed="false">
      <c r="A50" s="4" t="s">
        <v>172</v>
      </c>
      <c r="B50" s="12" t="n">
        <v>-45</v>
      </c>
      <c r="C50" s="2" t="n">
        <f aca="false">MAX(B49+IF($A50=C$4,1,-1),C49-1,B50-1)</f>
        <v>-45</v>
      </c>
      <c r="D50" s="2" t="n">
        <f aca="false">MAX(C49+IF($A50=D$4,1,-1),D49-1,C50-1)</f>
        <v>-43</v>
      </c>
      <c r="E50" s="2" t="n">
        <f aca="false">MAX(D49+IF($A50=E$4,1,-1),E49-1,D50-1)</f>
        <v>-41</v>
      </c>
      <c r="F50" s="2" t="n">
        <f aca="false">MAX(E49+IF($A50=F$4,1,-1),F49-1,E50-1)</f>
        <v>-39</v>
      </c>
      <c r="G50" s="2" t="n">
        <f aca="false">MAX(F49+IF($A50=G$4,1,-1),G49-1,F50-1)</f>
        <v>-39</v>
      </c>
      <c r="H50" s="2" t="n">
        <f aca="false">MAX(G49+IF($A50=H$4,1,-1),H49-1,G50-1)</f>
        <v>-39</v>
      </c>
      <c r="I50" s="2" t="n">
        <f aca="false">MAX(H49+IF($A50=I$4,1,-1),I49-1,H50-1)</f>
        <v>-39</v>
      </c>
      <c r="J50" s="2" t="n">
        <f aca="false">MAX(I49+IF($A50=J$4,1,-1),J49-1,I50-1)</f>
        <v>-39</v>
      </c>
      <c r="K50" s="2" t="n">
        <f aca="false">MAX(J49+IF($A50=K$4,1,-1),K49-1,J50-1)</f>
        <v>-38</v>
      </c>
      <c r="L50" s="2" t="n">
        <f aca="false">MAX(K49+IF($A50=L$4,1,-1),L49-1,K50-1)</f>
        <v>-38</v>
      </c>
      <c r="M50" s="2" t="n">
        <f aca="false">MAX(L49+IF($A50=M$4,1,-1),M49-1,L50-1)</f>
        <v>-38</v>
      </c>
      <c r="N50" s="2" t="n">
        <f aca="false">MAX(M49+IF($A50=N$4,1,-1),N49-1,M50-1)</f>
        <v>-36</v>
      </c>
      <c r="O50" s="2" t="n">
        <f aca="false">MAX(N49+IF($A50=O$4,1,-1),O49-1,N50-1)</f>
        <v>-35</v>
      </c>
      <c r="P50" s="2" t="n">
        <f aca="false">MAX(O49+IF($A50=P$4,1,-1),P49-1,O50-1)</f>
        <v>-35</v>
      </c>
      <c r="Q50" s="2" t="n">
        <f aca="false">MAX(P49+IF($A50=Q$4,1,-1),Q49-1,P50-1)</f>
        <v>-35</v>
      </c>
      <c r="R50" s="2" t="n">
        <f aca="false">MAX(Q49+IF($A50=R$4,1,-1),R49-1,Q50-1)</f>
        <v>-35</v>
      </c>
      <c r="S50" s="2" t="n">
        <f aca="false">MAX(R49+IF($A50=S$4,1,-1),S49-1,R50-1)</f>
        <v>-35</v>
      </c>
      <c r="T50" s="2" t="n">
        <f aca="false">MAX(S49+IF($A50=T$4,1,-1),T49-1,S50-1)</f>
        <v>-35</v>
      </c>
      <c r="U50" s="2" t="n">
        <f aca="false">MAX(T49+IF($A50=U$4,1,-1),U49-1,T50-1)</f>
        <v>-35</v>
      </c>
      <c r="V50" s="2" t="n">
        <f aca="false">MAX(U49+IF($A50=V$4,1,-1),V49-1,U50-1)</f>
        <v>-35</v>
      </c>
      <c r="W50" s="2" t="n">
        <f aca="false">MAX(V49+IF($A50=W$4,1,-1),W49-1,V50-1)</f>
        <v>-35</v>
      </c>
      <c r="X50" s="2" t="n">
        <f aca="false">MAX(W49+IF($A50=X$4,1,-1),X49-1,W50-1)</f>
        <v>-35</v>
      </c>
      <c r="Y50" s="2" t="n">
        <f aca="false">MAX(X49+IF($A50=Y$4,1,-1),Y49-1,X50-1)</f>
        <v>-35</v>
      </c>
      <c r="Z50" s="2" t="n">
        <f aca="false">MAX(Y49+IF($A50=Z$4,1,-1),Z49-1,Y50-1)</f>
        <v>-35</v>
      </c>
      <c r="AA50" s="2" t="n">
        <f aca="false">MAX(Z49+IF($A50=AA$4,1,-1),AA49-1,Z50-1)</f>
        <v>-35</v>
      </c>
      <c r="AB50" s="2" t="n">
        <f aca="false">MAX(AA49+IF($A50=AB$4,1,-1),AB49-1,AA50-1)</f>
        <v>-35</v>
      </c>
      <c r="AC50" s="2" t="n">
        <f aca="false">MAX(AB49+IF($A50=AC$4,1,-1),AC49-1,AB50-1)</f>
        <v>-35</v>
      </c>
      <c r="AD50" s="2" t="n">
        <f aca="false">MAX(AC49+IF($A50=AD$4,1,-1),AD49-1,AC50-1)</f>
        <v>-35</v>
      </c>
      <c r="AE50" s="2" t="n">
        <f aca="false">MAX(AD49+IF($A50=AE$4,1,-1),AE49-1,AD50-1)</f>
        <v>-35</v>
      </c>
      <c r="AF50" s="2" t="n">
        <f aca="false">MAX(AE49+IF($A50=AF$4,1,-1),AF49-1,AE50-1)</f>
        <v>-36</v>
      </c>
      <c r="AG50" s="2" t="n">
        <f aca="false">MAX(AF49+IF($A50=AG$4,1,-1),AG49-1,AF50-1)</f>
        <v>-37</v>
      </c>
      <c r="AH50" s="2" t="n">
        <f aca="false">MAX(AG49+IF($A50=AH$4,1,-1),AH49-1,AG50-1)</f>
        <v>-35</v>
      </c>
      <c r="AI50" s="2" t="n">
        <f aca="false">MAX(AH49+IF($A50=AI$4,1,-1),AI49-1,AH50-1)</f>
        <v>-35</v>
      </c>
      <c r="AJ50" s="2" t="n">
        <f aca="false">MAX(AI49+IF($A50=AJ$4,1,-1),AJ49-1,AI50-1)</f>
        <v>-35</v>
      </c>
      <c r="AK50" s="2" t="n">
        <f aca="false">MAX(AJ49+IF($A50=AK$4,1,-1),AK49-1,AJ50-1)</f>
        <v>-36</v>
      </c>
      <c r="AL50" s="2" t="n">
        <f aca="false">MAX(AK49+IF($A50=AL$4,1,-1),AL49-1,AK50-1)</f>
        <v>-37</v>
      </c>
      <c r="AM50" s="2" t="n">
        <f aca="false">MAX(AL49+IF($A50=AM$4,1,-1),AM49-1,AL50-1)</f>
        <v>-37</v>
      </c>
      <c r="AN50" s="2" t="n">
        <f aca="false">MAX(AM49+IF($A50=AN$4,1,-1),AN49-1,AM50-1)</f>
        <v>-37</v>
      </c>
      <c r="AO50" s="2" t="n">
        <f aca="false">MAX(AN49+IF($A50=AO$4,1,-1),AO49-1,AN50-1)</f>
        <v>-37</v>
      </c>
      <c r="AP50" s="2" t="n">
        <f aca="false">MAX(AO49+IF($A50=AP$4,1,-1),AP49-1,AO50-1)</f>
        <v>-37</v>
      </c>
      <c r="AQ50" s="2" t="n">
        <f aca="false">MAX(AP49+IF($A50=AQ$4,1,-1),AQ49-1,AP50-1)</f>
        <v>-38</v>
      </c>
      <c r="AR50" s="2" t="n">
        <f aca="false">MAX(AQ49+IF($A50=AR$4,1,-1),AR49-1,AQ50-1)</f>
        <v>-38</v>
      </c>
      <c r="AS50" s="2" t="n">
        <f aca="false">MAX(AR49+IF($A50=AS$4,1,-1),AS49-1,AR50-1)</f>
        <v>-38</v>
      </c>
      <c r="AT50" s="2" t="n">
        <f aca="false">MAX(AS49+IF($A50=AT$4,1,-1),AT49-1,AS50-1)</f>
        <v>-39</v>
      </c>
      <c r="AU50" s="2" t="n">
        <f aca="false">MAX(AT49+IF($A50=AU$4,1,-1),AU49-1,AT50-1)</f>
        <v>-39</v>
      </c>
      <c r="AV50" s="2" t="n">
        <f aca="false">MAX(AU49+IF($A50=AV$4,1,-1),AV49-1,AU50-1)</f>
        <v>-39</v>
      </c>
      <c r="AW50" s="2" t="n">
        <f aca="false">MAX(AV49+IF($A50=AW$4,1,-1),AW49-1,AV50-1)</f>
        <v>-39</v>
      </c>
      <c r="AX50" s="2" t="n">
        <f aca="false">MAX(AW49+IF($A50=AX$4,1,-1),AX49-1,AW50-1)</f>
        <v>-40</v>
      </c>
      <c r="AY50" s="2" t="n">
        <f aca="false">MAX(AX49+IF($A50=AY$4,1,-1),AY49-1,AX50-1)</f>
        <v>-41</v>
      </c>
      <c r="AZ50" s="2" t="n">
        <f aca="false">MAX(AY49+IF($A50=AZ$4,1,-1),AZ49-1,AY50-1)</f>
        <v>-42</v>
      </c>
      <c r="BA50" s="2" t="n">
        <f aca="false">MAX(AZ49+IF($A50=BA$4,1,-1),BA49-1,AZ50-1)</f>
        <v>-43</v>
      </c>
      <c r="BB50" s="2" t="n">
        <f aca="false">MAX(BA49+IF($A50=BB$4,1,-1),BB49-1,BA50-1)</f>
        <v>-44</v>
      </c>
      <c r="BC50" s="2" t="n">
        <f aca="false">MAX(BB49+IF($A50=BC$4,1,-1),BC49-1,BB50-1)</f>
        <v>-45</v>
      </c>
      <c r="BD50" s="2" t="n">
        <f aca="false">MAX(BC49+IF($A50=BD$4,1,-1),BD49-1,BC50-1)</f>
        <v>-46</v>
      </c>
      <c r="BE50" s="2" t="n">
        <f aca="false">MAX(BD49+IF($A50=BE$4,1,-1),BE49-1,BD50-1)</f>
        <v>-47</v>
      </c>
      <c r="BF50" s="2" t="n">
        <f aca="false">MAX(BE49+IF($A50=BF$4,1,-1),BF49-1,BE50-1)</f>
        <v>-48</v>
      </c>
      <c r="BG50" s="2" t="n">
        <f aca="false">MAX(BF49+IF($A50=BG$4,1,-1),BG49-1,BF50-1)</f>
        <v>-49</v>
      </c>
      <c r="BH50" s="2" t="n">
        <f aca="false">MAX(BG49+IF($A50=BH$4,1,-1),BH49-1,BG50-1)</f>
        <v>-50</v>
      </c>
      <c r="BI50" s="2" t="n">
        <f aca="false">MAX(BH49+IF($A50=BI$4,1,-1),BI49-1,BH50-1)</f>
        <v>-51</v>
      </c>
      <c r="BJ50" s="2" t="n">
        <f aca="false">MAX(BI49+IF($A50=BJ$4,1,-1),BJ49-1,BI50-1)</f>
        <v>-52</v>
      </c>
      <c r="BK50" s="2" t="n">
        <f aca="false">MAX(BJ49+IF($A50=BK$4,1,-1),BK49-1,BJ50-1)</f>
        <v>-53</v>
      </c>
      <c r="BL50" s="2" t="n">
        <f aca="false">MAX(BK49+IF($A50=BL$4,1,-1),BL49-1,BK50-1)</f>
        <v>-53</v>
      </c>
      <c r="BM50" s="2" t="n">
        <f aca="false">MAX(BL49+IF($A50=BM$4,1,-1),BM49-1,BL50-1)</f>
        <v>-53</v>
      </c>
      <c r="BN50" s="2" t="n">
        <f aca="false">MAX(BM49+IF($A50=BN$4,1,-1),BN49-1,BM50-1)</f>
        <v>-54</v>
      </c>
      <c r="BO50" s="2" t="n">
        <f aca="false">MAX(BN49+IF($A50=BO$4,1,-1),BO49-1,BN50-1)</f>
        <v>-55</v>
      </c>
      <c r="BP50" s="2" t="n">
        <f aca="false">MAX(BO49+IF($A50=BP$4,1,-1),BP49-1,BO50-1)</f>
        <v>-56</v>
      </c>
      <c r="BQ50" s="2" t="n">
        <f aca="false">MAX(BP49+IF($A50=BQ$4,1,-1),BQ49-1,BP50-1)</f>
        <v>-57</v>
      </c>
      <c r="BR50" s="2" t="n">
        <f aca="false">MAX(BQ49+IF($A50=BR$4,1,-1),BR49-1,BQ50-1)</f>
        <v>-58</v>
      </c>
      <c r="BS50" s="2" t="n">
        <f aca="false">MAX(BR49+IF($A50=BS$4,1,-1),BS49-1,BR50-1)</f>
        <v>-59</v>
      </c>
      <c r="BT50" s="2" t="n">
        <f aca="false">MAX(BS49+IF($A50=BT$4,1,-1),BT49-1,BS50-1)</f>
        <v>-60</v>
      </c>
      <c r="BU50" s="2" t="n">
        <f aca="false">MAX(BT49+IF($A50=BU$4,1,-1),BU49-1,BT50-1)</f>
        <v>-61</v>
      </c>
      <c r="BV50" s="2" t="n">
        <f aca="false">MAX(BU49+IF($A50=BV$4,1,-1),BV49-1,BU50-1)</f>
        <v>-61</v>
      </c>
      <c r="BW50" s="2" t="n">
        <f aca="false">MAX(BV49+IF($A50=BW$4,1,-1),BW49-1,BV50-1)</f>
        <v>-61</v>
      </c>
      <c r="BX50" s="2" t="n">
        <f aca="false">MAX(BW49+IF($A50=BX$4,1,-1),BX49-1,BW50-1)</f>
        <v>-62</v>
      </c>
      <c r="BY50" s="2" t="n">
        <f aca="false">MAX(BX49+IF($A50=BY$4,1,-1),BY49-1,BX50-1)</f>
        <v>-63</v>
      </c>
      <c r="BZ50" s="2" t="n">
        <f aca="false">MAX(BY49+IF($A50=BZ$4,1,-1),BZ49-1,BY50-1)</f>
        <v>-64</v>
      </c>
      <c r="CA50" s="2" t="n">
        <f aca="false">MAX(BZ49+IF($A50=CA$4,1,-1),CA49-1,BZ50-1)</f>
        <v>-65</v>
      </c>
      <c r="CB50" s="2" t="n">
        <f aca="false">MAX(CA49+IF($A50=CB$4,1,-1),CB49-1,CA50-1)</f>
        <v>-66</v>
      </c>
      <c r="CC50" s="2" t="n">
        <f aca="false">MAX(CB49+IF($A50=CC$4,1,-1),CC49-1,CB50-1)</f>
        <v>-67</v>
      </c>
      <c r="CD50" s="2" t="n">
        <f aca="false">MAX(CC49+IF($A50=CD$4,1,-1),CD49-1,CC50-1)</f>
        <v>-68</v>
      </c>
      <c r="CE50" s="2" t="n">
        <f aca="false">MAX(CD49+IF($A50=CE$4,1,-1),CE49-1,CD50-1)</f>
        <v>-69</v>
      </c>
      <c r="CF50" s="2" t="n">
        <f aca="false">MAX(CE49+IF($A50=CF$4,1,-1),CF49-1,CE50-1)</f>
        <v>-70</v>
      </c>
      <c r="CG50" s="2" t="n">
        <f aca="false">MAX(CF49+IF($A50=CG$4,1,-1),CG49-1,CF50-1)</f>
        <v>-71</v>
      </c>
      <c r="CH50" s="2" t="n">
        <f aca="false">MAX(CG49+IF($A50=CH$4,1,-1),CH49-1,CG50-1)</f>
        <v>-72</v>
      </c>
      <c r="CI50" s="2" t="n">
        <f aca="false">MAX(CH49+IF($A50=CI$4,1,-1),CI49-1,CH50-1)</f>
        <v>-73</v>
      </c>
      <c r="CJ50" s="2" t="n">
        <f aca="false">MAX(CI49+IF($A50=CJ$4,1,-1),CJ49-1,CI50-1)</f>
        <v>-74</v>
      </c>
      <c r="CK50" s="2" t="n">
        <f aca="false">MAX(CJ49+IF($A50=CK$4,1,-1),CK49-1,CJ50-1)</f>
        <v>-75</v>
      </c>
      <c r="CL50" s="2" t="n">
        <f aca="false">MAX(CK49+IF($A50=CL$4,1,-1),CL49-1,CK50-1)</f>
        <v>-76</v>
      </c>
      <c r="CM50" s="2" t="n">
        <f aca="false">MAX(CL49+IF($A50=CM$4,1,-1),CM49-1,CL50-1)</f>
        <v>-77</v>
      </c>
      <c r="CN50" s="2" t="n">
        <f aca="false">MAX(CM49+IF($A50=CN$4,1,-1),CN49-1,CM50-1)</f>
        <v>-78</v>
      </c>
      <c r="CO50" s="2" t="n">
        <f aca="false">MAX(CN49+IF($A50=CO$4,1,-1),CO49-1,CN50-1)</f>
        <v>-79</v>
      </c>
      <c r="CP50" s="2" t="n">
        <f aca="false">MAX(CO49+IF($A50=CP$4,1,-1),CP49-1,CO50-1)</f>
        <v>-80</v>
      </c>
      <c r="CQ50" s="2" t="n">
        <f aca="false">MAX(CP49+IF($A50=CQ$4,1,-1),CQ49-1,CP50-1)</f>
        <v>-81</v>
      </c>
    </row>
    <row r="51" customFormat="false" ht="15" hidden="false" customHeight="false" outlineLevel="0" collapsed="false">
      <c r="A51" s="4" t="s">
        <v>173</v>
      </c>
      <c r="B51" s="12" t="n">
        <v>-46</v>
      </c>
      <c r="C51" s="2" t="n">
        <f aca="false">MAX(B50+IF($A51=C$4,1,-1),C50-1,B51-1)</f>
        <v>-46</v>
      </c>
      <c r="D51" s="2" t="n">
        <f aca="false">MAX(C50+IF($A51=D$4,1,-1),D50-1,C51-1)</f>
        <v>-44</v>
      </c>
      <c r="E51" s="2" t="n">
        <f aca="false">MAX(D50+IF($A51=E$4,1,-1),E50-1,D51-1)</f>
        <v>-42</v>
      </c>
      <c r="F51" s="2" t="n">
        <f aca="false">MAX(E50+IF($A51=F$4,1,-1),F50-1,E51-1)</f>
        <v>-40</v>
      </c>
      <c r="G51" s="2" t="n">
        <f aca="false">MAX(F50+IF($A51=G$4,1,-1),G50-1,F51-1)</f>
        <v>-40</v>
      </c>
      <c r="H51" s="2" t="n">
        <f aca="false">MAX(G50+IF($A51=H$4,1,-1),H50-1,G51-1)</f>
        <v>-40</v>
      </c>
      <c r="I51" s="2" t="n">
        <f aca="false">MAX(H50+IF($A51=I$4,1,-1),I50-1,H51-1)</f>
        <v>-40</v>
      </c>
      <c r="J51" s="2" t="n">
        <f aca="false">MAX(I50+IF($A51=J$4,1,-1),J50-1,I51-1)</f>
        <v>-40</v>
      </c>
      <c r="K51" s="2" t="n">
        <f aca="false">MAX(J50+IF($A51=K$4,1,-1),K50-1,J51-1)</f>
        <v>-39</v>
      </c>
      <c r="L51" s="2" t="n">
        <f aca="false">MAX(K50+IF($A51=L$4,1,-1),L50-1,K51-1)</f>
        <v>-39</v>
      </c>
      <c r="M51" s="2" t="n">
        <f aca="false">MAX(L50+IF($A51=M$4,1,-1),M50-1,L51-1)</f>
        <v>-39</v>
      </c>
      <c r="N51" s="2" t="n">
        <f aca="false">MAX(M50+IF($A51=N$4,1,-1),N50-1,M51-1)</f>
        <v>-37</v>
      </c>
      <c r="O51" s="2" t="n">
        <f aca="false">MAX(N50+IF($A51=O$4,1,-1),O50-1,N51-1)</f>
        <v>-36</v>
      </c>
      <c r="P51" s="2" t="n">
        <f aca="false">MAX(O50+IF($A51=P$4,1,-1),P50-1,O51-1)</f>
        <v>-36</v>
      </c>
      <c r="Q51" s="2" t="n">
        <f aca="false">MAX(P50+IF($A51=Q$4,1,-1),Q50-1,P51-1)</f>
        <v>-36</v>
      </c>
      <c r="R51" s="2" t="n">
        <f aca="false">MAX(Q50+IF($A51=R$4,1,-1),R50-1,Q51-1)</f>
        <v>-36</v>
      </c>
      <c r="S51" s="2" t="n">
        <f aca="false">MAX(R50+IF($A51=S$4,1,-1),S50-1,R51-1)</f>
        <v>-36</v>
      </c>
      <c r="T51" s="2" t="n">
        <f aca="false">MAX(S50+IF($A51=T$4,1,-1),T50-1,S51-1)</f>
        <v>-36</v>
      </c>
      <c r="U51" s="2" t="n">
        <f aca="false">MAX(T50+IF($A51=U$4,1,-1),U50-1,T51-1)</f>
        <v>-36</v>
      </c>
      <c r="V51" s="2" t="n">
        <f aca="false">MAX(U50+IF($A51=V$4,1,-1),V50-1,U51-1)</f>
        <v>-36</v>
      </c>
      <c r="W51" s="2" t="n">
        <f aca="false">MAX(V50+IF($A51=W$4,1,-1),W50-1,V51-1)</f>
        <v>-36</v>
      </c>
      <c r="X51" s="2" t="n">
        <f aca="false">MAX(W50+IF($A51=X$4,1,-1),X50-1,W51-1)</f>
        <v>-36</v>
      </c>
      <c r="Y51" s="2" t="n">
        <f aca="false">MAX(X50+IF($A51=Y$4,1,-1),Y50-1,X51-1)</f>
        <v>-36</v>
      </c>
      <c r="Z51" s="2" t="n">
        <f aca="false">MAX(Y50+IF($A51=Z$4,1,-1),Z50-1,Y51-1)</f>
        <v>-36</v>
      </c>
      <c r="AA51" s="2" t="n">
        <f aca="false">MAX(Z50+IF($A51=AA$4,1,-1),AA50-1,Z51-1)</f>
        <v>-36</v>
      </c>
      <c r="AB51" s="2" t="n">
        <f aca="false">MAX(AA50+IF($A51=AB$4,1,-1),AB50-1,AA51-1)</f>
        <v>-36</v>
      </c>
      <c r="AC51" s="2" t="n">
        <f aca="false">MAX(AB50+IF($A51=AC$4,1,-1),AC50-1,AB51-1)</f>
        <v>-36</v>
      </c>
      <c r="AD51" s="2" t="n">
        <f aca="false">MAX(AC50+IF($A51=AD$4,1,-1),AD50-1,AC51-1)</f>
        <v>-36</v>
      </c>
      <c r="AE51" s="2" t="n">
        <f aca="false">MAX(AD50+IF($A51=AE$4,1,-1),AE50-1,AD51-1)</f>
        <v>-36</v>
      </c>
      <c r="AF51" s="2" t="n">
        <f aca="false">MAX(AE50+IF($A51=AF$4,1,-1),AF50-1,AE51-1)</f>
        <v>-36</v>
      </c>
      <c r="AG51" s="2" t="n">
        <f aca="false">MAX(AF50+IF($A51=AG$4,1,-1),AG50-1,AF51-1)</f>
        <v>-37</v>
      </c>
      <c r="AH51" s="2" t="n">
        <f aca="false">MAX(AG50+IF($A51=AH$4,1,-1),AH50-1,AG51-1)</f>
        <v>-36</v>
      </c>
      <c r="AI51" s="2" t="n">
        <f aca="false">MAX(AH50+IF($A51=AI$4,1,-1),AI50-1,AH51-1)</f>
        <v>-36</v>
      </c>
      <c r="AJ51" s="2" t="n">
        <f aca="false">MAX(AI50+IF($A51=AJ$4,1,-1),AJ50-1,AI51-1)</f>
        <v>-36</v>
      </c>
      <c r="AK51" s="2" t="n">
        <f aca="false">MAX(AJ50+IF($A51=AK$4,1,-1),AK50-1,AJ51-1)</f>
        <v>-36</v>
      </c>
      <c r="AL51" s="2" t="n">
        <f aca="false">MAX(AK50+IF($A51=AL$4,1,-1),AL50-1,AK51-1)</f>
        <v>-37</v>
      </c>
      <c r="AM51" s="2" t="n">
        <f aca="false">MAX(AL50+IF($A51=AM$4,1,-1),AM50-1,AL51-1)</f>
        <v>-38</v>
      </c>
      <c r="AN51" s="2" t="n">
        <f aca="false">MAX(AM50+IF($A51=AN$4,1,-1),AN50-1,AM51-1)</f>
        <v>-38</v>
      </c>
      <c r="AO51" s="2" t="n">
        <f aca="false">MAX(AN50+IF($A51=AO$4,1,-1),AO50-1,AN51-1)</f>
        <v>-38</v>
      </c>
      <c r="AP51" s="2" t="n">
        <f aca="false">MAX(AO50+IF($A51=AP$4,1,-1),AP50-1,AO51-1)</f>
        <v>-38</v>
      </c>
      <c r="AQ51" s="2" t="n">
        <f aca="false">MAX(AP50+IF($A51=AQ$4,1,-1),AQ50-1,AP51-1)</f>
        <v>-38</v>
      </c>
      <c r="AR51" s="2" t="n">
        <f aca="false">MAX(AQ50+IF($A51=AR$4,1,-1),AR50-1,AQ51-1)</f>
        <v>-39</v>
      </c>
      <c r="AS51" s="2" t="n">
        <f aca="false">MAX(AR50+IF($A51=AS$4,1,-1),AS50-1,AR51-1)</f>
        <v>-39</v>
      </c>
      <c r="AT51" s="2" t="n">
        <f aca="false">MAX(AS50+IF($A51=AT$4,1,-1),AT50-1,AS51-1)</f>
        <v>-39</v>
      </c>
      <c r="AU51" s="2" t="n">
        <f aca="false">MAX(AT50+IF($A51=AU$4,1,-1),AU50-1,AT51-1)</f>
        <v>-40</v>
      </c>
      <c r="AV51" s="2" t="n">
        <f aca="false">MAX(AU50+IF($A51=AV$4,1,-1),AV50-1,AU51-1)</f>
        <v>-40</v>
      </c>
      <c r="AW51" s="2" t="n">
        <f aca="false">MAX(AV50+IF($A51=AW$4,1,-1),AW50-1,AV51-1)</f>
        <v>-40</v>
      </c>
      <c r="AX51" s="2" t="n">
        <f aca="false">MAX(AW50+IF($A51=AX$4,1,-1),AX50-1,AW51-1)</f>
        <v>-40</v>
      </c>
      <c r="AY51" s="2" t="n">
        <f aca="false">MAX(AX50+IF($A51=AY$4,1,-1),AY50-1,AX51-1)</f>
        <v>-41</v>
      </c>
      <c r="AZ51" s="2" t="n">
        <f aca="false">MAX(AY50+IF($A51=AZ$4,1,-1),AZ50-1,AY51-1)</f>
        <v>-42</v>
      </c>
      <c r="BA51" s="2" t="n">
        <f aca="false">MAX(AZ50+IF($A51=BA$4,1,-1),BA50-1,AZ51-1)</f>
        <v>-43</v>
      </c>
      <c r="BB51" s="2" t="n">
        <f aca="false">MAX(BA50+IF($A51=BB$4,1,-1),BB50-1,BA51-1)</f>
        <v>-44</v>
      </c>
      <c r="BC51" s="2" t="n">
        <f aca="false">MAX(BB50+IF($A51=BC$4,1,-1),BC50-1,BB51-1)</f>
        <v>-45</v>
      </c>
      <c r="BD51" s="2" t="n">
        <f aca="false">MAX(BC50+IF($A51=BD$4,1,-1),BD50-1,BC51-1)</f>
        <v>-46</v>
      </c>
      <c r="BE51" s="2" t="n">
        <f aca="false">MAX(BD50+IF($A51=BE$4,1,-1),BE50-1,BD51-1)</f>
        <v>-47</v>
      </c>
      <c r="BF51" s="2" t="n">
        <f aca="false">MAX(BE50+IF($A51=BF$4,1,-1),BF50-1,BE51-1)</f>
        <v>-48</v>
      </c>
      <c r="BG51" s="2" t="n">
        <f aca="false">MAX(BF50+IF($A51=BG$4,1,-1),BG50-1,BF51-1)</f>
        <v>-49</v>
      </c>
      <c r="BH51" s="2" t="n">
        <f aca="false">MAX(BG50+IF($A51=BH$4,1,-1),BH50-1,BG51-1)</f>
        <v>-50</v>
      </c>
      <c r="BI51" s="2" t="n">
        <f aca="false">MAX(BH50+IF($A51=BI$4,1,-1),BI50-1,BH51-1)</f>
        <v>-51</v>
      </c>
      <c r="BJ51" s="2" t="n">
        <f aca="false">MAX(BI50+IF($A51=BJ$4,1,-1),BJ50-1,BI51-1)</f>
        <v>-52</v>
      </c>
      <c r="BK51" s="2" t="n">
        <f aca="false">MAX(BJ50+IF($A51=BK$4,1,-1),BK50-1,BJ51-1)</f>
        <v>-53</v>
      </c>
      <c r="BL51" s="2" t="n">
        <f aca="false">MAX(BK50+IF($A51=BL$4,1,-1),BL50-1,BK51-1)</f>
        <v>-54</v>
      </c>
      <c r="BM51" s="2" t="n">
        <f aca="false">MAX(BL50+IF($A51=BM$4,1,-1),BM50-1,BL51-1)</f>
        <v>-54</v>
      </c>
      <c r="BN51" s="2" t="n">
        <f aca="false">MAX(BM50+IF($A51=BN$4,1,-1),BN50-1,BM51-1)</f>
        <v>-54</v>
      </c>
      <c r="BO51" s="2" t="n">
        <f aca="false">MAX(BN50+IF($A51=BO$4,1,-1),BO50-1,BN51-1)</f>
        <v>-55</v>
      </c>
      <c r="BP51" s="2" t="n">
        <f aca="false">MAX(BO50+IF($A51=BP$4,1,-1),BP50-1,BO51-1)</f>
        <v>-56</v>
      </c>
      <c r="BQ51" s="2" t="n">
        <f aca="false">MAX(BP50+IF($A51=BQ$4,1,-1),BQ50-1,BP51-1)</f>
        <v>-57</v>
      </c>
      <c r="BR51" s="2" t="n">
        <f aca="false">MAX(BQ50+IF($A51=BR$4,1,-1),BR50-1,BQ51-1)</f>
        <v>-58</v>
      </c>
      <c r="BS51" s="2" t="n">
        <f aca="false">MAX(BR50+IF($A51=BS$4,1,-1),BS50-1,BR51-1)</f>
        <v>-59</v>
      </c>
      <c r="BT51" s="2" t="n">
        <f aca="false">MAX(BS50+IF($A51=BT$4,1,-1),BT50-1,BS51-1)</f>
        <v>-60</v>
      </c>
      <c r="BU51" s="2" t="n">
        <f aca="false">MAX(BT50+IF($A51=BU$4,1,-1),BU50-1,BT51-1)</f>
        <v>-61</v>
      </c>
      <c r="BV51" s="2" t="n">
        <f aca="false">MAX(BU50+IF($A51=BV$4,1,-1),BV50-1,BU51-1)</f>
        <v>-62</v>
      </c>
      <c r="BW51" s="2" t="n">
        <f aca="false">MAX(BV50+IF($A51=BW$4,1,-1),BW50-1,BV51-1)</f>
        <v>-62</v>
      </c>
      <c r="BX51" s="2" t="n">
        <f aca="false">MAX(BW50+IF($A51=BX$4,1,-1),BX50-1,BW51-1)</f>
        <v>-62</v>
      </c>
      <c r="BY51" s="2" t="n">
        <f aca="false">MAX(BX50+IF($A51=BY$4,1,-1),BY50-1,BX51-1)</f>
        <v>-63</v>
      </c>
      <c r="BZ51" s="2" t="n">
        <f aca="false">MAX(BY50+IF($A51=BZ$4,1,-1),BZ50-1,BY51-1)</f>
        <v>-64</v>
      </c>
      <c r="CA51" s="2" t="n">
        <f aca="false">MAX(BZ50+IF($A51=CA$4,1,-1),CA50-1,BZ51-1)</f>
        <v>-65</v>
      </c>
      <c r="CB51" s="2" t="n">
        <f aca="false">MAX(CA50+IF($A51=CB$4,1,-1),CB50-1,CA51-1)</f>
        <v>-66</v>
      </c>
      <c r="CC51" s="2" t="n">
        <f aca="false">MAX(CB50+IF($A51=CC$4,1,-1),CC50-1,CB51-1)</f>
        <v>-67</v>
      </c>
      <c r="CD51" s="2" t="n">
        <f aca="false">MAX(CC50+IF($A51=CD$4,1,-1),CD50-1,CC51-1)</f>
        <v>-68</v>
      </c>
      <c r="CE51" s="2" t="n">
        <f aca="false">MAX(CD50+IF($A51=CE$4,1,-1),CE50-1,CD51-1)</f>
        <v>-69</v>
      </c>
      <c r="CF51" s="2" t="n">
        <f aca="false">MAX(CE50+IF($A51=CF$4,1,-1),CF50-1,CE51-1)</f>
        <v>-70</v>
      </c>
      <c r="CG51" s="2" t="n">
        <f aca="false">MAX(CF50+IF($A51=CG$4,1,-1),CG50-1,CF51-1)</f>
        <v>-71</v>
      </c>
      <c r="CH51" s="2" t="n">
        <f aca="false">MAX(CG50+IF($A51=CH$4,1,-1),CH50-1,CG51-1)</f>
        <v>-72</v>
      </c>
      <c r="CI51" s="2" t="n">
        <f aca="false">MAX(CH50+IF($A51=CI$4,1,-1),CI50-1,CH51-1)</f>
        <v>-73</v>
      </c>
      <c r="CJ51" s="2" t="n">
        <f aca="false">MAX(CI50+IF($A51=CJ$4,1,-1),CJ50-1,CI51-1)</f>
        <v>-74</v>
      </c>
      <c r="CK51" s="2" t="n">
        <f aca="false">MAX(CJ50+IF($A51=CK$4,1,-1),CK50-1,CJ51-1)</f>
        <v>-75</v>
      </c>
      <c r="CL51" s="2" t="n">
        <f aca="false">MAX(CK50+IF($A51=CL$4,1,-1),CL50-1,CK51-1)</f>
        <v>-76</v>
      </c>
      <c r="CM51" s="2" t="n">
        <f aca="false">MAX(CL50+IF($A51=CM$4,1,-1),CM50-1,CL51-1)</f>
        <v>-77</v>
      </c>
      <c r="CN51" s="2" t="n">
        <f aca="false">MAX(CM50+IF($A51=CN$4,1,-1),CN50-1,CM51-1)</f>
        <v>-78</v>
      </c>
      <c r="CO51" s="2" t="n">
        <f aca="false">MAX(CN50+IF($A51=CO$4,1,-1),CO50-1,CN51-1)</f>
        <v>-79</v>
      </c>
      <c r="CP51" s="2" t="n">
        <f aca="false">MAX(CO50+IF($A51=CP$4,1,-1),CP50-1,CO51-1)</f>
        <v>-80</v>
      </c>
      <c r="CQ51" s="2" t="n">
        <f aca="false">MAX(CP50+IF($A51=CQ$4,1,-1),CQ50-1,CP51-1)</f>
        <v>-81</v>
      </c>
    </row>
    <row r="52" customFormat="false" ht="15" hidden="false" customHeight="false" outlineLevel="0" collapsed="false">
      <c r="A52" s="4" t="s">
        <v>174</v>
      </c>
      <c r="B52" s="12" t="n">
        <v>-47</v>
      </c>
      <c r="C52" s="2" t="n">
        <f aca="false">MAX(B51+IF($A52=C$4,1,-1),C51-1,B52-1)</f>
        <v>-47</v>
      </c>
      <c r="D52" s="2" t="n">
        <f aca="false">MAX(C51+IF($A52=D$4,1,-1),D51-1,C52-1)</f>
        <v>-45</v>
      </c>
      <c r="E52" s="2" t="n">
        <f aca="false">MAX(D51+IF($A52=E$4,1,-1),E51-1,D52-1)</f>
        <v>-43</v>
      </c>
      <c r="F52" s="2" t="n">
        <f aca="false">MAX(E51+IF($A52=F$4,1,-1),F51-1,E52-1)</f>
        <v>-41</v>
      </c>
      <c r="G52" s="2" t="n">
        <f aca="false">MAX(F51+IF($A52=G$4,1,-1),G51-1,F52-1)</f>
        <v>-41</v>
      </c>
      <c r="H52" s="2" t="n">
        <f aca="false">MAX(G51+IF($A52=H$4,1,-1),H51-1,G52-1)</f>
        <v>-41</v>
      </c>
      <c r="I52" s="2" t="n">
        <f aca="false">MAX(H51+IF($A52=I$4,1,-1),I51-1,H52-1)</f>
        <v>-41</v>
      </c>
      <c r="J52" s="2" t="n">
        <f aca="false">MAX(I51+IF($A52=J$4,1,-1),J51-1,I52-1)</f>
        <v>-41</v>
      </c>
      <c r="K52" s="2" t="n">
        <f aca="false">MAX(J51+IF($A52=K$4,1,-1),K51-1,J52-1)</f>
        <v>-40</v>
      </c>
      <c r="L52" s="2" t="n">
        <f aca="false">MAX(K51+IF($A52=L$4,1,-1),L51-1,K52-1)</f>
        <v>-40</v>
      </c>
      <c r="M52" s="2" t="n">
        <f aca="false">MAX(L51+IF($A52=M$4,1,-1),M51-1,L52-1)</f>
        <v>-40</v>
      </c>
      <c r="N52" s="2" t="n">
        <f aca="false">MAX(M51+IF($A52=N$4,1,-1),N51-1,M52-1)</f>
        <v>-38</v>
      </c>
      <c r="O52" s="2" t="n">
        <f aca="false">MAX(N51+IF($A52=O$4,1,-1),O51-1,N52-1)</f>
        <v>-37</v>
      </c>
      <c r="P52" s="2" t="n">
        <f aca="false">MAX(O51+IF($A52=P$4,1,-1),P51-1,O52-1)</f>
        <v>-37</v>
      </c>
      <c r="Q52" s="2" t="n">
        <f aca="false">MAX(P51+IF($A52=Q$4,1,-1),Q51-1,P52-1)</f>
        <v>-37</v>
      </c>
      <c r="R52" s="2" t="n">
        <f aca="false">MAX(Q51+IF($A52=R$4,1,-1),R51-1,Q52-1)</f>
        <v>-37</v>
      </c>
      <c r="S52" s="2" t="n">
        <f aca="false">MAX(R51+IF($A52=S$4,1,-1),S51-1,R52-1)</f>
        <v>-37</v>
      </c>
      <c r="T52" s="2" t="n">
        <f aca="false">MAX(S51+IF($A52=T$4,1,-1),T51-1,S52-1)</f>
        <v>-37</v>
      </c>
      <c r="U52" s="2" t="n">
        <f aca="false">MAX(T51+IF($A52=U$4,1,-1),U51-1,T52-1)</f>
        <v>-37</v>
      </c>
      <c r="V52" s="2" t="n">
        <f aca="false">MAX(U51+IF($A52=V$4,1,-1),V51-1,U52-1)</f>
        <v>-37</v>
      </c>
      <c r="W52" s="2" t="n">
        <f aca="false">MAX(V51+IF($A52=W$4,1,-1),W51-1,V52-1)</f>
        <v>-37</v>
      </c>
      <c r="X52" s="2" t="n">
        <f aca="false">MAX(W51+IF($A52=X$4,1,-1),X51-1,W52-1)</f>
        <v>-37</v>
      </c>
      <c r="Y52" s="2" t="n">
        <f aca="false">MAX(X51+IF($A52=Y$4,1,-1),Y51-1,X52-1)</f>
        <v>-37</v>
      </c>
      <c r="Z52" s="2" t="n">
        <f aca="false">MAX(Y51+IF($A52=Z$4,1,-1),Z51-1,Y52-1)</f>
        <v>-37</v>
      </c>
      <c r="AA52" s="2" t="n">
        <f aca="false">MAX(Z51+IF($A52=AA$4,1,-1),AA51-1,Z52-1)</f>
        <v>-37</v>
      </c>
      <c r="AB52" s="2" t="n">
        <f aca="false">MAX(AA51+IF($A52=AB$4,1,-1),AB51-1,AA52-1)</f>
        <v>-37</v>
      </c>
      <c r="AC52" s="2" t="n">
        <f aca="false">MAX(AB51+IF($A52=AC$4,1,-1),AC51-1,AB52-1)</f>
        <v>-37</v>
      </c>
      <c r="AD52" s="2" t="n">
        <f aca="false">MAX(AC51+IF($A52=AD$4,1,-1),AD51-1,AC52-1)</f>
        <v>-37</v>
      </c>
      <c r="AE52" s="2" t="n">
        <f aca="false">MAX(AD51+IF($A52=AE$4,1,-1),AE51-1,AD52-1)</f>
        <v>-37</v>
      </c>
      <c r="AF52" s="2" t="n">
        <f aca="false">MAX(AE51+IF($A52=AF$4,1,-1),AF51-1,AE52-1)</f>
        <v>-37</v>
      </c>
      <c r="AG52" s="2" t="n">
        <f aca="false">MAX(AF51+IF($A52=AG$4,1,-1),AG51-1,AF52-1)</f>
        <v>-37</v>
      </c>
      <c r="AH52" s="2" t="n">
        <f aca="false">MAX(AG51+IF($A52=AH$4,1,-1),AH51-1,AG52-1)</f>
        <v>-37</v>
      </c>
      <c r="AI52" s="2" t="n">
        <f aca="false">MAX(AH51+IF($A52=AI$4,1,-1),AI51-1,AH52-1)</f>
        <v>-37</v>
      </c>
      <c r="AJ52" s="2" t="n">
        <f aca="false">MAX(AI51+IF($A52=AJ$4,1,-1),AJ51-1,AI52-1)</f>
        <v>-37</v>
      </c>
      <c r="AK52" s="2" t="n">
        <f aca="false">MAX(AJ51+IF($A52=AK$4,1,-1),AK51-1,AJ52-1)</f>
        <v>-37</v>
      </c>
      <c r="AL52" s="2" t="n">
        <f aca="false">MAX(AK51+IF($A52=AL$4,1,-1),AL51-1,AK52-1)</f>
        <v>-37</v>
      </c>
      <c r="AM52" s="2" t="n">
        <f aca="false">MAX(AL51+IF($A52=AM$4,1,-1),AM51-1,AL52-1)</f>
        <v>-38</v>
      </c>
      <c r="AN52" s="2" t="n">
        <f aca="false">MAX(AM51+IF($A52=AN$4,1,-1),AN51-1,AM52-1)</f>
        <v>-39</v>
      </c>
      <c r="AO52" s="2" t="n">
        <f aca="false">MAX(AN51+IF($A52=AO$4,1,-1),AO51-1,AN52-1)</f>
        <v>-39</v>
      </c>
      <c r="AP52" s="2" t="n">
        <f aca="false">MAX(AO51+IF($A52=AP$4,1,-1),AP51-1,AO52-1)</f>
        <v>-39</v>
      </c>
      <c r="AQ52" s="2" t="n">
        <f aca="false">MAX(AP51+IF($A52=AQ$4,1,-1),AQ51-1,AP52-1)</f>
        <v>-39</v>
      </c>
      <c r="AR52" s="2" t="n">
        <f aca="false">MAX(AQ51+IF($A52=AR$4,1,-1),AR51-1,AQ52-1)</f>
        <v>-39</v>
      </c>
      <c r="AS52" s="2" t="n">
        <f aca="false">MAX(AR51+IF($A52=AS$4,1,-1),AS51-1,AR52-1)</f>
        <v>-40</v>
      </c>
      <c r="AT52" s="2" t="n">
        <f aca="false">MAX(AS51+IF($A52=AT$4,1,-1),AT51-1,AS52-1)</f>
        <v>-40</v>
      </c>
      <c r="AU52" s="2" t="n">
        <f aca="false">MAX(AT51+IF($A52=AU$4,1,-1),AU51-1,AT52-1)</f>
        <v>-40</v>
      </c>
      <c r="AV52" s="2" t="n">
        <f aca="false">MAX(AU51+IF($A52=AV$4,1,-1),AV51-1,AU52-1)</f>
        <v>-41</v>
      </c>
      <c r="AW52" s="2" t="n">
        <f aca="false">MAX(AV51+IF($A52=AW$4,1,-1),AW51-1,AV52-1)</f>
        <v>-41</v>
      </c>
      <c r="AX52" s="2" t="n">
        <f aca="false">MAX(AW51+IF($A52=AX$4,1,-1),AX51-1,AW52-1)</f>
        <v>-41</v>
      </c>
      <c r="AY52" s="2" t="n">
        <f aca="false">MAX(AX51+IF($A52=AY$4,1,-1),AY51-1,AX52-1)</f>
        <v>-41</v>
      </c>
      <c r="AZ52" s="2" t="n">
        <f aca="false">MAX(AY51+IF($A52=AZ$4,1,-1),AZ51-1,AY52-1)</f>
        <v>-42</v>
      </c>
      <c r="BA52" s="2" t="n">
        <f aca="false">MAX(AZ51+IF($A52=BA$4,1,-1),BA51-1,AZ52-1)</f>
        <v>-43</v>
      </c>
      <c r="BB52" s="2" t="n">
        <f aca="false">MAX(BA51+IF($A52=BB$4,1,-1),BB51-1,BA52-1)</f>
        <v>-44</v>
      </c>
      <c r="BC52" s="2" t="n">
        <f aca="false">MAX(BB51+IF($A52=BC$4,1,-1),BC51-1,BB52-1)</f>
        <v>-45</v>
      </c>
      <c r="BD52" s="2" t="n">
        <f aca="false">MAX(BC51+IF($A52=BD$4,1,-1),BD51-1,BC52-1)</f>
        <v>-46</v>
      </c>
      <c r="BE52" s="2" t="n">
        <f aca="false">MAX(BD51+IF($A52=BE$4,1,-1),BE51-1,BD52-1)</f>
        <v>-47</v>
      </c>
      <c r="BF52" s="2" t="n">
        <f aca="false">MAX(BE51+IF($A52=BF$4,1,-1),BF51-1,BE52-1)</f>
        <v>-48</v>
      </c>
      <c r="BG52" s="2" t="n">
        <f aca="false">MAX(BF51+IF($A52=BG$4,1,-1),BG51-1,BF52-1)</f>
        <v>-49</v>
      </c>
      <c r="BH52" s="2" t="n">
        <f aca="false">MAX(BG51+IF($A52=BH$4,1,-1),BH51-1,BG52-1)</f>
        <v>-50</v>
      </c>
      <c r="BI52" s="2" t="n">
        <f aca="false">MAX(BH51+IF($A52=BI$4,1,-1),BI51-1,BH52-1)</f>
        <v>-51</v>
      </c>
      <c r="BJ52" s="2" t="n">
        <f aca="false">MAX(BI51+IF($A52=BJ$4,1,-1),BJ51-1,BI52-1)</f>
        <v>-52</v>
      </c>
      <c r="BK52" s="2" t="n">
        <f aca="false">MAX(BJ51+IF($A52=BK$4,1,-1),BK51-1,BJ52-1)</f>
        <v>-53</v>
      </c>
      <c r="BL52" s="2" t="n">
        <f aca="false">MAX(BK51+IF($A52=BL$4,1,-1),BL51-1,BK52-1)</f>
        <v>-54</v>
      </c>
      <c r="BM52" s="2" t="n">
        <f aca="false">MAX(BL51+IF($A52=BM$4,1,-1),BM51-1,BL52-1)</f>
        <v>-55</v>
      </c>
      <c r="BN52" s="2" t="n">
        <f aca="false">MAX(BM51+IF($A52=BN$4,1,-1),BN51-1,BM52-1)</f>
        <v>-55</v>
      </c>
      <c r="BO52" s="2" t="n">
        <f aca="false">MAX(BN51+IF($A52=BO$4,1,-1),BO51-1,BN52-1)</f>
        <v>-55</v>
      </c>
      <c r="BP52" s="2" t="n">
        <f aca="false">MAX(BO51+IF($A52=BP$4,1,-1),BP51-1,BO52-1)</f>
        <v>-56</v>
      </c>
      <c r="BQ52" s="2" t="n">
        <f aca="false">MAX(BP51+IF($A52=BQ$4,1,-1),BQ51-1,BP52-1)</f>
        <v>-57</v>
      </c>
      <c r="BR52" s="2" t="n">
        <f aca="false">MAX(BQ51+IF($A52=BR$4,1,-1),BR51-1,BQ52-1)</f>
        <v>-58</v>
      </c>
      <c r="BS52" s="2" t="n">
        <f aca="false">MAX(BR51+IF($A52=BS$4,1,-1),BS51-1,BR52-1)</f>
        <v>-59</v>
      </c>
      <c r="BT52" s="2" t="n">
        <f aca="false">MAX(BS51+IF($A52=BT$4,1,-1),BT51-1,BS52-1)</f>
        <v>-60</v>
      </c>
      <c r="BU52" s="2" t="n">
        <f aca="false">MAX(BT51+IF($A52=BU$4,1,-1),BU51-1,BT52-1)</f>
        <v>-61</v>
      </c>
      <c r="BV52" s="2" t="n">
        <f aca="false">MAX(BU51+IF($A52=BV$4,1,-1),BV51-1,BU52-1)</f>
        <v>-62</v>
      </c>
      <c r="BW52" s="2" t="n">
        <f aca="false">MAX(BV51+IF($A52=BW$4,1,-1),BW51-1,BV52-1)</f>
        <v>-63</v>
      </c>
      <c r="BX52" s="2" t="n">
        <f aca="false">MAX(BW51+IF($A52=BX$4,1,-1),BX51-1,BW52-1)</f>
        <v>-63</v>
      </c>
      <c r="BY52" s="2" t="n">
        <f aca="false">MAX(BX51+IF($A52=BY$4,1,-1),BY51-1,BX52-1)</f>
        <v>-63</v>
      </c>
      <c r="BZ52" s="2" t="n">
        <f aca="false">MAX(BY51+IF($A52=BZ$4,1,-1),BZ51-1,BY52-1)</f>
        <v>-64</v>
      </c>
      <c r="CA52" s="2" t="n">
        <f aca="false">MAX(BZ51+IF($A52=CA$4,1,-1),CA51-1,BZ52-1)</f>
        <v>-65</v>
      </c>
      <c r="CB52" s="2" t="n">
        <f aca="false">MAX(CA51+IF($A52=CB$4,1,-1),CB51-1,CA52-1)</f>
        <v>-66</v>
      </c>
      <c r="CC52" s="2" t="n">
        <f aca="false">MAX(CB51+IF($A52=CC$4,1,-1),CC51-1,CB52-1)</f>
        <v>-67</v>
      </c>
      <c r="CD52" s="2" t="n">
        <f aca="false">MAX(CC51+IF($A52=CD$4,1,-1),CD51-1,CC52-1)</f>
        <v>-68</v>
      </c>
      <c r="CE52" s="2" t="n">
        <f aca="false">MAX(CD51+IF($A52=CE$4,1,-1),CE51-1,CD52-1)</f>
        <v>-69</v>
      </c>
      <c r="CF52" s="2" t="n">
        <f aca="false">MAX(CE51+IF($A52=CF$4,1,-1),CF51-1,CE52-1)</f>
        <v>-70</v>
      </c>
      <c r="CG52" s="2" t="n">
        <f aca="false">MAX(CF51+IF($A52=CG$4,1,-1),CG51-1,CF52-1)</f>
        <v>-71</v>
      </c>
      <c r="CH52" s="2" t="n">
        <f aca="false">MAX(CG51+IF($A52=CH$4,1,-1),CH51-1,CG52-1)</f>
        <v>-72</v>
      </c>
      <c r="CI52" s="2" t="n">
        <f aca="false">MAX(CH51+IF($A52=CI$4,1,-1),CI51-1,CH52-1)</f>
        <v>-73</v>
      </c>
      <c r="CJ52" s="2" t="n">
        <f aca="false">MAX(CI51+IF($A52=CJ$4,1,-1),CJ51-1,CI52-1)</f>
        <v>-74</v>
      </c>
      <c r="CK52" s="2" t="n">
        <f aca="false">MAX(CJ51+IF($A52=CK$4,1,-1),CK51-1,CJ52-1)</f>
        <v>-75</v>
      </c>
      <c r="CL52" s="2" t="n">
        <f aca="false">MAX(CK51+IF($A52=CL$4,1,-1),CL51-1,CK52-1)</f>
        <v>-76</v>
      </c>
      <c r="CM52" s="2" t="n">
        <f aca="false">MAX(CL51+IF($A52=CM$4,1,-1),CM51-1,CL52-1)</f>
        <v>-77</v>
      </c>
      <c r="CN52" s="2" t="n">
        <f aca="false">MAX(CM51+IF($A52=CN$4,1,-1),CN51-1,CM52-1)</f>
        <v>-78</v>
      </c>
      <c r="CO52" s="2" t="n">
        <f aca="false">MAX(CN51+IF($A52=CO$4,1,-1),CO51-1,CN52-1)</f>
        <v>-79</v>
      </c>
      <c r="CP52" s="2" t="n">
        <f aca="false">MAX(CO51+IF($A52=CP$4,1,-1),CP51-1,CO52-1)</f>
        <v>-80</v>
      </c>
      <c r="CQ52" s="2" t="n">
        <f aca="false">MAX(CP51+IF($A52=CQ$4,1,-1),CQ51-1,CP52-1)</f>
        <v>-81</v>
      </c>
    </row>
    <row r="53" customFormat="false" ht="15" hidden="false" customHeight="false" outlineLevel="0" collapsed="false">
      <c r="A53" s="4" t="s">
        <v>175</v>
      </c>
      <c r="B53" s="12" t="n">
        <v>-48</v>
      </c>
      <c r="C53" s="2" t="n">
        <f aca="false">MAX(B52+IF($A53=C$4,1,-1),C52-1,B53-1)</f>
        <v>-48</v>
      </c>
      <c r="D53" s="2" t="n">
        <f aca="false">MAX(C52+IF($A53=D$4,1,-1),D52-1,C53-1)</f>
        <v>-46</v>
      </c>
      <c r="E53" s="2" t="n">
        <f aca="false">MAX(D52+IF($A53=E$4,1,-1),E52-1,D53-1)</f>
        <v>-44</v>
      </c>
      <c r="F53" s="2" t="n">
        <f aca="false">MAX(E52+IF($A53=F$4,1,-1),F52-1,E53-1)</f>
        <v>-42</v>
      </c>
      <c r="G53" s="2" t="n">
        <f aca="false">MAX(F52+IF($A53=G$4,1,-1),G52-1,F53-1)</f>
        <v>-42</v>
      </c>
      <c r="H53" s="2" t="n">
        <f aca="false">MAX(G52+IF($A53=H$4,1,-1),H52-1,G53-1)</f>
        <v>-42</v>
      </c>
      <c r="I53" s="2" t="n">
        <f aca="false">MAX(H52+IF($A53=I$4,1,-1),I52-1,H53-1)</f>
        <v>-42</v>
      </c>
      <c r="J53" s="2" t="n">
        <f aca="false">MAX(I52+IF($A53=J$4,1,-1),J52-1,I53-1)</f>
        <v>-42</v>
      </c>
      <c r="K53" s="2" t="n">
        <f aca="false">MAX(J52+IF($A53=K$4,1,-1),K52-1,J53-1)</f>
        <v>-41</v>
      </c>
      <c r="L53" s="2" t="n">
        <f aca="false">MAX(K52+IF($A53=L$4,1,-1),L52-1,K53-1)</f>
        <v>-41</v>
      </c>
      <c r="M53" s="2" t="n">
        <f aca="false">MAX(L52+IF($A53=M$4,1,-1),M52-1,L53-1)</f>
        <v>-41</v>
      </c>
      <c r="N53" s="2" t="n">
        <f aca="false">MAX(M52+IF($A53=N$4,1,-1),N52-1,M53-1)</f>
        <v>-39</v>
      </c>
      <c r="O53" s="2" t="n">
        <f aca="false">MAX(N52+IF($A53=O$4,1,-1),O52-1,N53-1)</f>
        <v>-38</v>
      </c>
      <c r="P53" s="2" t="n">
        <f aca="false">MAX(O52+IF($A53=P$4,1,-1),P52-1,O53-1)</f>
        <v>-38</v>
      </c>
      <c r="Q53" s="2" t="n">
        <f aca="false">MAX(P52+IF($A53=Q$4,1,-1),Q52-1,P53-1)</f>
        <v>-38</v>
      </c>
      <c r="R53" s="2" t="n">
        <f aca="false">MAX(Q52+IF($A53=R$4,1,-1),R52-1,Q53-1)</f>
        <v>-38</v>
      </c>
      <c r="S53" s="2" t="n">
        <f aca="false">MAX(R52+IF($A53=S$4,1,-1),S52-1,R53-1)</f>
        <v>-38</v>
      </c>
      <c r="T53" s="2" t="n">
        <f aca="false">MAX(S52+IF($A53=T$4,1,-1),T52-1,S53-1)</f>
        <v>-38</v>
      </c>
      <c r="U53" s="2" t="n">
        <f aca="false">MAX(T52+IF($A53=U$4,1,-1),U52-1,T53-1)</f>
        <v>-38</v>
      </c>
      <c r="V53" s="2" t="n">
        <f aca="false">MAX(U52+IF($A53=V$4,1,-1),V52-1,U53-1)</f>
        <v>-38</v>
      </c>
      <c r="W53" s="2" t="n">
        <f aca="false">MAX(V52+IF($A53=W$4,1,-1),W52-1,V53-1)</f>
        <v>-38</v>
      </c>
      <c r="X53" s="2" t="n">
        <f aca="false">MAX(W52+IF($A53=X$4,1,-1),X52-1,W53-1)</f>
        <v>-38</v>
      </c>
      <c r="Y53" s="2" t="n">
        <f aca="false">MAX(X52+IF($A53=Y$4,1,-1),Y52-1,X53-1)</f>
        <v>-38</v>
      </c>
      <c r="Z53" s="2" t="n">
        <f aca="false">MAX(Y52+IF($A53=Z$4,1,-1),Z52-1,Y53-1)</f>
        <v>-38</v>
      </c>
      <c r="AA53" s="2" t="n">
        <f aca="false">MAX(Z52+IF($A53=AA$4,1,-1),AA52-1,Z53-1)</f>
        <v>-38</v>
      </c>
      <c r="AB53" s="2" t="n">
        <f aca="false">MAX(AA52+IF($A53=AB$4,1,-1),AB52-1,AA53-1)</f>
        <v>-38</v>
      </c>
      <c r="AC53" s="2" t="n">
        <f aca="false">MAX(AB52+IF($A53=AC$4,1,-1),AC52-1,AB53-1)</f>
        <v>-38</v>
      </c>
      <c r="AD53" s="2" t="n">
        <f aca="false">MAX(AC52+IF($A53=AD$4,1,-1),AD52-1,AC53-1)</f>
        <v>-38</v>
      </c>
      <c r="AE53" s="2" t="n">
        <f aca="false">MAX(AD52+IF($A53=AE$4,1,-1),AE52-1,AD53-1)</f>
        <v>-38</v>
      </c>
      <c r="AF53" s="2" t="n">
        <f aca="false">MAX(AE52+IF($A53=AF$4,1,-1),AF52-1,AE53-1)</f>
        <v>-38</v>
      </c>
      <c r="AG53" s="2" t="n">
        <f aca="false">MAX(AF52+IF($A53=AG$4,1,-1),AG52-1,AF53-1)</f>
        <v>-38</v>
      </c>
      <c r="AH53" s="2" t="n">
        <f aca="false">MAX(AG52+IF($A53=AH$4,1,-1),AH52-1,AG53-1)</f>
        <v>-38</v>
      </c>
      <c r="AI53" s="2" t="n">
        <f aca="false">MAX(AH52+IF($A53=AI$4,1,-1),AI52-1,AH53-1)</f>
        <v>-38</v>
      </c>
      <c r="AJ53" s="2" t="n">
        <f aca="false">MAX(AI52+IF($A53=AJ$4,1,-1),AJ52-1,AI53-1)</f>
        <v>-38</v>
      </c>
      <c r="AK53" s="2" t="n">
        <f aca="false">MAX(AJ52+IF($A53=AK$4,1,-1),AK52-1,AJ53-1)</f>
        <v>-38</v>
      </c>
      <c r="AL53" s="2" t="n">
        <f aca="false">MAX(AK52+IF($A53=AL$4,1,-1),AL52-1,AK53-1)</f>
        <v>-38</v>
      </c>
      <c r="AM53" s="2" t="n">
        <f aca="false">MAX(AL52+IF($A53=AM$4,1,-1),AM52-1,AL53-1)</f>
        <v>-38</v>
      </c>
      <c r="AN53" s="2" t="n">
        <f aca="false">MAX(AM52+IF($A53=AN$4,1,-1),AN52-1,AM53-1)</f>
        <v>-39</v>
      </c>
      <c r="AO53" s="2" t="n">
        <f aca="false">MAX(AN52+IF($A53=AO$4,1,-1),AO52-1,AN53-1)</f>
        <v>-40</v>
      </c>
      <c r="AP53" s="2" t="n">
        <f aca="false">MAX(AO52+IF($A53=AP$4,1,-1),AP52-1,AO53-1)</f>
        <v>-40</v>
      </c>
      <c r="AQ53" s="2" t="n">
        <f aca="false">MAX(AP52+IF($A53=AQ$4,1,-1),AQ52-1,AP53-1)</f>
        <v>-40</v>
      </c>
      <c r="AR53" s="2" t="n">
        <f aca="false">MAX(AQ52+IF($A53=AR$4,1,-1),AR52-1,AQ53-1)</f>
        <v>-40</v>
      </c>
      <c r="AS53" s="2" t="n">
        <f aca="false">MAX(AR52+IF($A53=AS$4,1,-1),AS52-1,AR53-1)</f>
        <v>-40</v>
      </c>
      <c r="AT53" s="2" t="n">
        <f aca="false">MAX(AS52+IF($A53=AT$4,1,-1),AT52-1,AS53-1)</f>
        <v>-41</v>
      </c>
      <c r="AU53" s="2" t="n">
        <f aca="false">MAX(AT52+IF($A53=AU$4,1,-1),AU52-1,AT53-1)</f>
        <v>-41</v>
      </c>
      <c r="AV53" s="2" t="n">
        <f aca="false">MAX(AU52+IF($A53=AV$4,1,-1),AV52-1,AU53-1)</f>
        <v>-41</v>
      </c>
      <c r="AW53" s="2" t="n">
        <f aca="false">MAX(AV52+IF($A53=AW$4,1,-1),AW52-1,AV53-1)</f>
        <v>-42</v>
      </c>
      <c r="AX53" s="2" t="n">
        <f aca="false">MAX(AW52+IF($A53=AX$4,1,-1),AX52-1,AW53-1)</f>
        <v>-42</v>
      </c>
      <c r="AY53" s="2" t="n">
        <f aca="false">MAX(AX52+IF($A53=AY$4,1,-1),AY52-1,AX53-1)</f>
        <v>-42</v>
      </c>
      <c r="AZ53" s="2" t="n">
        <f aca="false">MAX(AY52+IF($A53=AZ$4,1,-1),AZ52-1,AY53-1)</f>
        <v>-42</v>
      </c>
      <c r="BA53" s="2" t="n">
        <f aca="false">MAX(AZ52+IF($A53=BA$4,1,-1),BA52-1,AZ53-1)</f>
        <v>-43</v>
      </c>
      <c r="BB53" s="2" t="n">
        <f aca="false">MAX(BA52+IF($A53=BB$4,1,-1),BB52-1,BA53-1)</f>
        <v>-44</v>
      </c>
      <c r="BC53" s="2" t="n">
        <f aca="false">MAX(BB52+IF($A53=BC$4,1,-1),BC52-1,BB53-1)</f>
        <v>-45</v>
      </c>
      <c r="BD53" s="2" t="n">
        <f aca="false">MAX(BC52+IF($A53=BD$4,1,-1),BD52-1,BC53-1)</f>
        <v>-46</v>
      </c>
      <c r="BE53" s="2" t="n">
        <f aca="false">MAX(BD52+IF($A53=BE$4,1,-1),BE52-1,BD53-1)</f>
        <v>-47</v>
      </c>
      <c r="BF53" s="2" t="n">
        <f aca="false">MAX(BE52+IF($A53=BF$4,1,-1),BF52-1,BE53-1)</f>
        <v>-48</v>
      </c>
      <c r="BG53" s="2" t="n">
        <f aca="false">MAX(BF52+IF($A53=BG$4,1,-1),BG52-1,BF53-1)</f>
        <v>-49</v>
      </c>
      <c r="BH53" s="2" t="n">
        <f aca="false">MAX(BG52+IF($A53=BH$4,1,-1),BH52-1,BG53-1)</f>
        <v>-50</v>
      </c>
      <c r="BI53" s="2" t="n">
        <f aca="false">MAX(BH52+IF($A53=BI$4,1,-1),BI52-1,BH53-1)</f>
        <v>-51</v>
      </c>
      <c r="BJ53" s="2" t="n">
        <f aca="false">MAX(BI52+IF($A53=BJ$4,1,-1),BJ52-1,BI53-1)</f>
        <v>-52</v>
      </c>
      <c r="BK53" s="2" t="n">
        <f aca="false">MAX(BJ52+IF($A53=BK$4,1,-1),BK52-1,BJ53-1)</f>
        <v>-53</v>
      </c>
      <c r="BL53" s="2" t="n">
        <f aca="false">MAX(BK52+IF($A53=BL$4,1,-1),BL52-1,BK53-1)</f>
        <v>-54</v>
      </c>
      <c r="BM53" s="2" t="n">
        <f aca="false">MAX(BL52+IF($A53=BM$4,1,-1),BM52-1,BL53-1)</f>
        <v>-55</v>
      </c>
      <c r="BN53" s="2" t="n">
        <f aca="false">MAX(BM52+IF($A53=BN$4,1,-1),BN52-1,BM53-1)</f>
        <v>-56</v>
      </c>
      <c r="BO53" s="2" t="n">
        <f aca="false">MAX(BN52+IF($A53=BO$4,1,-1),BO52-1,BN53-1)</f>
        <v>-56</v>
      </c>
      <c r="BP53" s="2" t="n">
        <f aca="false">MAX(BO52+IF($A53=BP$4,1,-1),BP52-1,BO53-1)</f>
        <v>-56</v>
      </c>
      <c r="BQ53" s="2" t="n">
        <f aca="false">MAX(BP52+IF($A53=BQ$4,1,-1),BQ52-1,BP53-1)</f>
        <v>-57</v>
      </c>
      <c r="BR53" s="2" t="n">
        <f aca="false">MAX(BQ52+IF($A53=BR$4,1,-1),BR52-1,BQ53-1)</f>
        <v>-58</v>
      </c>
      <c r="BS53" s="2" t="n">
        <f aca="false">MAX(BR52+IF($A53=BS$4,1,-1),BS52-1,BR53-1)</f>
        <v>-59</v>
      </c>
      <c r="BT53" s="2" t="n">
        <f aca="false">MAX(BS52+IF($A53=BT$4,1,-1),BT52-1,BS53-1)</f>
        <v>-60</v>
      </c>
      <c r="BU53" s="2" t="n">
        <f aca="false">MAX(BT52+IF($A53=BU$4,1,-1),BU52-1,BT53-1)</f>
        <v>-61</v>
      </c>
      <c r="BV53" s="2" t="n">
        <f aca="false">MAX(BU52+IF($A53=BV$4,1,-1),BV52-1,BU53-1)</f>
        <v>-62</v>
      </c>
      <c r="BW53" s="2" t="n">
        <f aca="false">MAX(BV52+IF($A53=BW$4,1,-1),BW52-1,BV53-1)</f>
        <v>-63</v>
      </c>
      <c r="BX53" s="2" t="n">
        <f aca="false">MAX(BW52+IF($A53=BX$4,1,-1),BX52-1,BW53-1)</f>
        <v>-64</v>
      </c>
      <c r="BY53" s="2" t="n">
        <f aca="false">MAX(BX52+IF($A53=BY$4,1,-1),BY52-1,BX53-1)</f>
        <v>-64</v>
      </c>
      <c r="BZ53" s="2" t="n">
        <f aca="false">MAX(BY52+IF($A53=BZ$4,1,-1),BZ52-1,BY53-1)</f>
        <v>-64</v>
      </c>
      <c r="CA53" s="2" t="n">
        <f aca="false">MAX(BZ52+IF($A53=CA$4,1,-1),CA52-1,BZ53-1)</f>
        <v>-65</v>
      </c>
      <c r="CB53" s="2" t="n">
        <f aca="false">MAX(CA52+IF($A53=CB$4,1,-1),CB52-1,CA53-1)</f>
        <v>-66</v>
      </c>
      <c r="CC53" s="2" t="n">
        <f aca="false">MAX(CB52+IF($A53=CC$4,1,-1),CC52-1,CB53-1)</f>
        <v>-67</v>
      </c>
      <c r="CD53" s="2" t="n">
        <f aca="false">MAX(CC52+IF($A53=CD$4,1,-1),CD52-1,CC53-1)</f>
        <v>-68</v>
      </c>
      <c r="CE53" s="2" t="n">
        <f aca="false">MAX(CD52+IF($A53=CE$4,1,-1),CE52-1,CD53-1)</f>
        <v>-69</v>
      </c>
      <c r="CF53" s="2" t="n">
        <f aca="false">MAX(CE52+IF($A53=CF$4,1,-1),CF52-1,CE53-1)</f>
        <v>-70</v>
      </c>
      <c r="CG53" s="2" t="n">
        <f aca="false">MAX(CF52+IF($A53=CG$4,1,-1),CG52-1,CF53-1)</f>
        <v>-71</v>
      </c>
      <c r="CH53" s="2" t="n">
        <f aca="false">MAX(CG52+IF($A53=CH$4,1,-1),CH52-1,CG53-1)</f>
        <v>-72</v>
      </c>
      <c r="CI53" s="2" t="n">
        <f aca="false">MAX(CH52+IF($A53=CI$4,1,-1),CI52-1,CH53-1)</f>
        <v>-73</v>
      </c>
      <c r="CJ53" s="2" t="n">
        <f aca="false">MAX(CI52+IF($A53=CJ$4,1,-1),CJ52-1,CI53-1)</f>
        <v>-74</v>
      </c>
      <c r="CK53" s="2" t="n">
        <f aca="false">MAX(CJ52+IF($A53=CK$4,1,-1),CK52-1,CJ53-1)</f>
        <v>-75</v>
      </c>
      <c r="CL53" s="2" t="n">
        <f aca="false">MAX(CK52+IF($A53=CL$4,1,-1),CL52-1,CK53-1)</f>
        <v>-76</v>
      </c>
      <c r="CM53" s="2" t="n">
        <f aca="false">MAX(CL52+IF($A53=CM$4,1,-1),CM52-1,CL53-1)</f>
        <v>-77</v>
      </c>
      <c r="CN53" s="2" t="n">
        <f aca="false">MAX(CM52+IF($A53=CN$4,1,-1),CN52-1,CM53-1)</f>
        <v>-78</v>
      </c>
      <c r="CO53" s="2" t="n">
        <f aca="false">MAX(CN52+IF($A53=CO$4,1,-1),CO52-1,CN53-1)</f>
        <v>-79</v>
      </c>
      <c r="CP53" s="2" t="n">
        <f aca="false">MAX(CO52+IF($A53=CP$4,1,-1),CP52-1,CO53-1)</f>
        <v>-80</v>
      </c>
      <c r="CQ53" s="2" t="n">
        <f aca="false">MAX(CP52+IF($A53=CQ$4,1,-1),CQ52-1,CP53-1)</f>
        <v>-81</v>
      </c>
    </row>
    <row r="54" customFormat="false" ht="15" hidden="false" customHeight="false" outlineLevel="0" collapsed="false">
      <c r="A54" s="4" t="s">
        <v>168</v>
      </c>
      <c r="B54" s="12" t="n">
        <v>-49</v>
      </c>
      <c r="C54" s="2" t="n">
        <f aca="false">MAX(B53+IF($A54=C$4,1,-1),C53-1,B54-1)</f>
        <v>-49</v>
      </c>
      <c r="D54" s="2" t="n">
        <f aca="false">MAX(C53+IF($A54=D$4,1,-1),D53-1,C54-1)</f>
        <v>-47</v>
      </c>
      <c r="E54" s="2" t="n">
        <f aca="false">MAX(D53+IF($A54=E$4,1,-1),E53-1,D54-1)</f>
        <v>-45</v>
      </c>
      <c r="F54" s="2" t="n">
        <f aca="false">MAX(E53+IF($A54=F$4,1,-1),F53-1,E54-1)</f>
        <v>-43</v>
      </c>
      <c r="G54" s="2" t="n">
        <f aca="false">MAX(F53+IF($A54=G$4,1,-1),G53-1,F54-1)</f>
        <v>-43</v>
      </c>
      <c r="H54" s="2" t="n">
        <f aca="false">MAX(G53+IF($A54=H$4,1,-1),H53-1,G54-1)</f>
        <v>-43</v>
      </c>
      <c r="I54" s="2" t="n">
        <f aca="false">MAX(H53+IF($A54=I$4,1,-1),I53-1,H54-1)</f>
        <v>-43</v>
      </c>
      <c r="J54" s="2" t="n">
        <f aca="false">MAX(I53+IF($A54=J$4,1,-1),J53-1,I54-1)</f>
        <v>-43</v>
      </c>
      <c r="K54" s="2" t="n">
        <f aca="false">MAX(J53+IF($A54=K$4,1,-1),K53-1,J54-1)</f>
        <v>-42</v>
      </c>
      <c r="L54" s="2" t="n">
        <f aca="false">MAX(K53+IF($A54=L$4,1,-1),L53-1,K54-1)</f>
        <v>-42</v>
      </c>
      <c r="M54" s="2" t="n">
        <f aca="false">MAX(L53+IF($A54=M$4,1,-1),M53-1,L54-1)</f>
        <v>-42</v>
      </c>
      <c r="N54" s="2" t="n">
        <f aca="false">MAX(M53+IF($A54=N$4,1,-1),N53-1,M54-1)</f>
        <v>-40</v>
      </c>
      <c r="O54" s="2" t="n">
        <f aca="false">MAX(N53+IF($A54=O$4,1,-1),O53-1,N54-1)</f>
        <v>-39</v>
      </c>
      <c r="P54" s="2" t="n">
        <f aca="false">MAX(O53+IF($A54=P$4,1,-1),P53-1,O54-1)</f>
        <v>-39</v>
      </c>
      <c r="Q54" s="2" t="n">
        <f aca="false">MAX(P53+IF($A54=Q$4,1,-1),Q53-1,P54-1)</f>
        <v>-39</v>
      </c>
      <c r="R54" s="2" t="n">
        <f aca="false">MAX(Q53+IF($A54=R$4,1,-1),R53-1,Q54-1)</f>
        <v>-39</v>
      </c>
      <c r="S54" s="2" t="n">
        <f aca="false">MAX(R53+IF($A54=S$4,1,-1),S53-1,R54-1)</f>
        <v>-39</v>
      </c>
      <c r="T54" s="2" t="n">
        <f aca="false">MAX(S53+IF($A54=T$4,1,-1),T53-1,S54-1)</f>
        <v>-39</v>
      </c>
      <c r="U54" s="2" t="n">
        <f aca="false">MAX(T53+IF($A54=U$4,1,-1),U53-1,T54-1)</f>
        <v>-39</v>
      </c>
      <c r="V54" s="2" t="n">
        <f aca="false">MAX(U53+IF($A54=V$4,1,-1),V53-1,U54-1)</f>
        <v>-39</v>
      </c>
      <c r="W54" s="2" t="n">
        <f aca="false">MAX(V53+IF($A54=W$4,1,-1),W53-1,V54-1)</f>
        <v>-39</v>
      </c>
      <c r="X54" s="2" t="n">
        <f aca="false">MAX(W53+IF($A54=X$4,1,-1),X53-1,W54-1)</f>
        <v>-39</v>
      </c>
      <c r="Y54" s="2" t="n">
        <f aca="false">MAX(X53+IF($A54=Y$4,1,-1),Y53-1,X54-1)</f>
        <v>-39</v>
      </c>
      <c r="Z54" s="2" t="n">
        <f aca="false">MAX(Y53+IF($A54=Z$4,1,-1),Z53-1,Y54-1)</f>
        <v>-39</v>
      </c>
      <c r="AA54" s="2" t="n">
        <f aca="false">MAX(Z53+IF($A54=AA$4,1,-1),AA53-1,Z54-1)</f>
        <v>-39</v>
      </c>
      <c r="AB54" s="2" t="n">
        <f aca="false">MAX(AA53+IF($A54=AB$4,1,-1),AB53-1,AA54-1)</f>
        <v>-39</v>
      </c>
      <c r="AC54" s="2" t="n">
        <f aca="false">MAX(AB53+IF($A54=AC$4,1,-1),AC53-1,AB54-1)</f>
        <v>-39</v>
      </c>
      <c r="AD54" s="2" t="n">
        <f aca="false">MAX(AC53+IF($A54=AD$4,1,-1),AD53-1,AC54-1)</f>
        <v>-39</v>
      </c>
      <c r="AE54" s="2" t="n">
        <f aca="false">MAX(AD53+IF($A54=AE$4,1,-1),AE53-1,AD54-1)</f>
        <v>-39</v>
      </c>
      <c r="AF54" s="2" t="n">
        <f aca="false">MAX(AE53+IF($A54=AF$4,1,-1),AF53-1,AE54-1)</f>
        <v>-39</v>
      </c>
      <c r="AG54" s="2" t="n">
        <f aca="false">MAX(AF53+IF($A54=AG$4,1,-1),AG53-1,AF54-1)</f>
        <v>-39</v>
      </c>
      <c r="AH54" s="2" t="n">
        <f aca="false">MAX(AG53+IF($A54=AH$4,1,-1),AH53-1,AG54-1)</f>
        <v>-39</v>
      </c>
      <c r="AI54" s="2" t="n">
        <f aca="false">MAX(AH53+IF($A54=AI$4,1,-1),AI53-1,AH54-1)</f>
        <v>-39</v>
      </c>
      <c r="AJ54" s="2" t="n">
        <f aca="false">MAX(AI53+IF($A54=AJ$4,1,-1),AJ53-1,AI54-1)</f>
        <v>-39</v>
      </c>
      <c r="AK54" s="2" t="n">
        <f aca="false">MAX(AJ53+IF($A54=AK$4,1,-1),AK53-1,AJ54-1)</f>
        <v>-39</v>
      </c>
      <c r="AL54" s="2" t="n">
        <f aca="false">MAX(AK53+IF($A54=AL$4,1,-1),AL53-1,AK54-1)</f>
        <v>-39</v>
      </c>
      <c r="AM54" s="2" t="n">
        <f aca="false">MAX(AL53+IF($A54=AM$4,1,-1),AM53-1,AL54-1)</f>
        <v>-39</v>
      </c>
      <c r="AN54" s="2" t="n">
        <f aca="false">MAX(AM53+IF($A54=AN$4,1,-1),AN53-1,AM54-1)</f>
        <v>-39</v>
      </c>
      <c r="AO54" s="2" t="n">
        <f aca="false">MAX(AN53+IF($A54=AO$4,1,-1),AO53-1,AN54-1)</f>
        <v>-40</v>
      </c>
      <c r="AP54" s="2" t="n">
        <f aca="false">MAX(AO53+IF($A54=AP$4,1,-1),AP53-1,AO54-1)</f>
        <v>-41</v>
      </c>
      <c r="AQ54" s="2" t="n">
        <f aca="false">MAX(AP53+IF($A54=AQ$4,1,-1),AQ53-1,AP54-1)</f>
        <v>-41</v>
      </c>
      <c r="AR54" s="2" t="n">
        <f aca="false">MAX(AQ53+IF($A54=AR$4,1,-1),AR53-1,AQ54-1)</f>
        <v>-41</v>
      </c>
      <c r="AS54" s="2" t="n">
        <f aca="false">MAX(AR53+IF($A54=AS$4,1,-1),AS53-1,AR54-1)</f>
        <v>-41</v>
      </c>
      <c r="AT54" s="2" t="n">
        <f aca="false">MAX(AS53+IF($A54=AT$4,1,-1),AT53-1,AS54-1)</f>
        <v>-41</v>
      </c>
      <c r="AU54" s="2" t="n">
        <f aca="false">MAX(AT53+IF($A54=AU$4,1,-1),AU53-1,AT54-1)</f>
        <v>-42</v>
      </c>
      <c r="AV54" s="2" t="n">
        <f aca="false">MAX(AU53+IF($A54=AV$4,1,-1),AV53-1,AU54-1)</f>
        <v>-42</v>
      </c>
      <c r="AW54" s="2" t="n">
        <f aca="false">MAX(AV53+IF($A54=AW$4,1,-1),AW53-1,AV54-1)</f>
        <v>-42</v>
      </c>
      <c r="AX54" s="2" t="n">
        <f aca="false">MAX(AW53+IF($A54=AX$4,1,-1),AX53-1,AW54-1)</f>
        <v>-43</v>
      </c>
      <c r="AY54" s="2" t="n">
        <f aca="false">MAX(AX53+IF($A54=AY$4,1,-1),AY53-1,AX54-1)</f>
        <v>-43</v>
      </c>
      <c r="AZ54" s="2" t="n">
        <f aca="false">MAX(AY53+IF($A54=AZ$4,1,-1),AZ53-1,AY54-1)</f>
        <v>-43</v>
      </c>
      <c r="BA54" s="2" t="n">
        <f aca="false">MAX(AZ53+IF($A54=BA$4,1,-1),BA53-1,AZ54-1)</f>
        <v>-43</v>
      </c>
      <c r="BB54" s="2" t="n">
        <f aca="false">MAX(BA53+IF($A54=BB$4,1,-1),BB53-1,BA54-1)</f>
        <v>-44</v>
      </c>
      <c r="BC54" s="2" t="n">
        <f aca="false">MAX(BB53+IF($A54=BC$4,1,-1),BC53-1,BB54-1)</f>
        <v>-45</v>
      </c>
      <c r="BD54" s="2" t="n">
        <f aca="false">MAX(BC53+IF($A54=BD$4,1,-1),BD53-1,BC54-1)</f>
        <v>-46</v>
      </c>
      <c r="BE54" s="2" t="n">
        <f aca="false">MAX(BD53+IF($A54=BE$4,1,-1),BE53-1,BD54-1)</f>
        <v>-47</v>
      </c>
      <c r="BF54" s="2" t="n">
        <f aca="false">MAX(BE53+IF($A54=BF$4,1,-1),BF53-1,BE54-1)</f>
        <v>-48</v>
      </c>
      <c r="BG54" s="2" t="n">
        <f aca="false">MAX(BF53+IF($A54=BG$4,1,-1),BG53-1,BF54-1)</f>
        <v>-49</v>
      </c>
      <c r="BH54" s="2" t="n">
        <f aca="false">MAX(BG53+IF($A54=BH$4,1,-1),BH53-1,BG54-1)</f>
        <v>-50</v>
      </c>
      <c r="BI54" s="2" t="n">
        <f aca="false">MAX(BH53+IF($A54=BI$4,1,-1),BI53-1,BH54-1)</f>
        <v>-51</v>
      </c>
      <c r="BJ54" s="2" t="n">
        <f aca="false">MAX(BI53+IF($A54=BJ$4,1,-1),BJ53-1,BI54-1)</f>
        <v>-52</v>
      </c>
      <c r="BK54" s="2" t="n">
        <f aca="false">MAX(BJ53+IF($A54=BK$4,1,-1),BK53-1,BJ54-1)</f>
        <v>-53</v>
      </c>
      <c r="BL54" s="2" t="n">
        <f aca="false">MAX(BK53+IF($A54=BL$4,1,-1),BL53-1,BK54-1)</f>
        <v>-54</v>
      </c>
      <c r="BM54" s="2" t="n">
        <f aca="false">MAX(BL53+IF($A54=BM$4,1,-1),BM53-1,BL54-1)</f>
        <v>-55</v>
      </c>
      <c r="BN54" s="2" t="n">
        <f aca="false">MAX(BM53+IF($A54=BN$4,1,-1),BN53-1,BM54-1)</f>
        <v>-56</v>
      </c>
      <c r="BO54" s="2" t="n">
        <f aca="false">MAX(BN53+IF($A54=BO$4,1,-1),BO53-1,BN54-1)</f>
        <v>-57</v>
      </c>
      <c r="BP54" s="2" t="n">
        <f aca="false">MAX(BO53+IF($A54=BP$4,1,-1),BP53-1,BO54-1)</f>
        <v>-57</v>
      </c>
      <c r="BQ54" s="2" t="n">
        <f aca="false">MAX(BP53+IF($A54=BQ$4,1,-1),BQ53-1,BP54-1)</f>
        <v>-57</v>
      </c>
      <c r="BR54" s="2" t="n">
        <f aca="false">MAX(BQ53+IF($A54=BR$4,1,-1),BR53-1,BQ54-1)</f>
        <v>-58</v>
      </c>
      <c r="BS54" s="2" t="n">
        <f aca="false">MAX(BR53+IF($A54=BS$4,1,-1),BS53-1,BR54-1)</f>
        <v>-59</v>
      </c>
      <c r="BT54" s="2" t="n">
        <f aca="false">MAX(BS53+IF($A54=BT$4,1,-1),BT53-1,BS54-1)</f>
        <v>-60</v>
      </c>
      <c r="BU54" s="2" t="n">
        <f aca="false">MAX(BT53+IF($A54=BU$4,1,-1),BU53-1,BT54-1)</f>
        <v>-61</v>
      </c>
      <c r="BV54" s="2" t="n">
        <f aca="false">MAX(BU53+IF($A54=BV$4,1,-1),BV53-1,BU54-1)</f>
        <v>-62</v>
      </c>
      <c r="BW54" s="2" t="n">
        <f aca="false">MAX(BV53+IF($A54=BW$4,1,-1),BW53-1,BV54-1)</f>
        <v>-63</v>
      </c>
      <c r="BX54" s="2" t="n">
        <f aca="false">MAX(BW53+IF($A54=BX$4,1,-1),BX53-1,BW54-1)</f>
        <v>-64</v>
      </c>
      <c r="BY54" s="2" t="n">
        <f aca="false">MAX(BX53+IF($A54=BY$4,1,-1),BY53-1,BX54-1)</f>
        <v>-65</v>
      </c>
      <c r="BZ54" s="2" t="n">
        <f aca="false">MAX(BY53+IF($A54=BZ$4,1,-1),BZ53-1,BY54-1)</f>
        <v>-65</v>
      </c>
      <c r="CA54" s="2" t="n">
        <f aca="false">MAX(BZ53+IF($A54=CA$4,1,-1),CA53-1,BZ54-1)</f>
        <v>-65</v>
      </c>
      <c r="CB54" s="2" t="n">
        <f aca="false">MAX(CA53+IF($A54=CB$4,1,-1),CB53-1,CA54-1)</f>
        <v>-66</v>
      </c>
      <c r="CC54" s="2" t="n">
        <f aca="false">MAX(CB53+IF($A54=CC$4,1,-1),CC53-1,CB54-1)</f>
        <v>-67</v>
      </c>
      <c r="CD54" s="2" t="n">
        <f aca="false">MAX(CC53+IF($A54=CD$4,1,-1),CD53-1,CC54-1)</f>
        <v>-68</v>
      </c>
      <c r="CE54" s="2" t="n">
        <f aca="false">MAX(CD53+IF($A54=CE$4,1,-1),CE53-1,CD54-1)</f>
        <v>-69</v>
      </c>
      <c r="CF54" s="2" t="n">
        <f aca="false">MAX(CE53+IF($A54=CF$4,1,-1),CF53-1,CE54-1)</f>
        <v>-70</v>
      </c>
      <c r="CG54" s="2" t="n">
        <f aca="false">MAX(CF53+IF($A54=CG$4,1,-1),CG53-1,CF54-1)</f>
        <v>-71</v>
      </c>
      <c r="CH54" s="2" t="n">
        <f aca="false">MAX(CG53+IF($A54=CH$4,1,-1),CH53-1,CG54-1)</f>
        <v>-72</v>
      </c>
      <c r="CI54" s="2" t="n">
        <f aca="false">MAX(CH53+IF($A54=CI$4,1,-1),CI53-1,CH54-1)</f>
        <v>-73</v>
      </c>
      <c r="CJ54" s="2" t="n">
        <f aca="false">MAX(CI53+IF($A54=CJ$4,1,-1),CJ53-1,CI54-1)</f>
        <v>-74</v>
      </c>
      <c r="CK54" s="2" t="n">
        <f aca="false">MAX(CJ53+IF($A54=CK$4,1,-1),CK53-1,CJ54-1)</f>
        <v>-75</v>
      </c>
      <c r="CL54" s="2" t="n">
        <f aca="false">MAX(CK53+IF($A54=CL$4,1,-1),CL53-1,CK54-1)</f>
        <v>-76</v>
      </c>
      <c r="CM54" s="2" t="n">
        <f aca="false">MAX(CL53+IF($A54=CM$4,1,-1),CM53-1,CL54-1)</f>
        <v>-77</v>
      </c>
      <c r="CN54" s="2" t="n">
        <f aca="false">MAX(CM53+IF($A54=CN$4,1,-1),CN53-1,CM54-1)</f>
        <v>-78</v>
      </c>
      <c r="CO54" s="2" t="n">
        <f aca="false">MAX(CN53+IF($A54=CO$4,1,-1),CO53-1,CN54-1)</f>
        <v>-79</v>
      </c>
      <c r="CP54" s="2" t="n">
        <f aca="false">MAX(CO53+IF($A54=CP$4,1,-1),CP53-1,CO54-1)</f>
        <v>-80</v>
      </c>
      <c r="CQ54" s="2" t="n">
        <f aca="false">MAX(CP53+IF($A54=CQ$4,1,-1),CQ53-1,CP54-1)</f>
        <v>-81</v>
      </c>
    </row>
    <row r="55" customFormat="false" ht="15" hidden="false" customHeight="false" outlineLevel="0" collapsed="false">
      <c r="A55" s="4" t="s">
        <v>176</v>
      </c>
      <c r="B55" s="12" t="n">
        <v>-50</v>
      </c>
      <c r="C55" s="2" t="n">
        <f aca="false">MAX(B54+IF($A55=C$4,1,-1),C54-1,B55-1)</f>
        <v>-50</v>
      </c>
      <c r="D55" s="2" t="n">
        <f aca="false">MAX(C54+IF($A55=D$4,1,-1),D54-1,C55-1)</f>
        <v>-48</v>
      </c>
      <c r="E55" s="2" t="n">
        <f aca="false">MAX(D54+IF($A55=E$4,1,-1),E54-1,D55-1)</f>
        <v>-46</v>
      </c>
      <c r="F55" s="2" t="n">
        <f aca="false">MAX(E54+IF($A55=F$4,1,-1),F54-1,E55-1)</f>
        <v>-44</v>
      </c>
      <c r="G55" s="2" t="n">
        <f aca="false">MAX(F54+IF($A55=G$4,1,-1),G54-1,F55-1)</f>
        <v>-44</v>
      </c>
      <c r="H55" s="2" t="n">
        <f aca="false">MAX(G54+IF($A55=H$4,1,-1),H54-1,G55-1)</f>
        <v>-44</v>
      </c>
      <c r="I55" s="2" t="n">
        <f aca="false">MAX(H54+IF($A55=I$4,1,-1),I54-1,H55-1)</f>
        <v>-44</v>
      </c>
      <c r="J55" s="2" t="n">
        <f aca="false">MAX(I54+IF($A55=J$4,1,-1),J54-1,I55-1)</f>
        <v>-44</v>
      </c>
      <c r="K55" s="2" t="n">
        <f aca="false">MAX(J54+IF($A55=K$4,1,-1),K54-1,J55-1)</f>
        <v>-43</v>
      </c>
      <c r="L55" s="2" t="n">
        <f aca="false">MAX(K54+IF($A55=L$4,1,-1),L54-1,K55-1)</f>
        <v>-43</v>
      </c>
      <c r="M55" s="2" t="n">
        <f aca="false">MAX(L54+IF($A55=M$4,1,-1),M54-1,L55-1)</f>
        <v>-43</v>
      </c>
      <c r="N55" s="2" t="n">
        <f aca="false">MAX(M54+IF($A55=N$4,1,-1),N54-1,M55-1)</f>
        <v>-41</v>
      </c>
      <c r="O55" s="2" t="n">
        <f aca="false">MAX(N54+IF($A55=O$4,1,-1),O54-1,N55-1)</f>
        <v>-40</v>
      </c>
      <c r="P55" s="2" t="n">
        <f aca="false">MAX(O54+IF($A55=P$4,1,-1),P54-1,O55-1)</f>
        <v>-40</v>
      </c>
      <c r="Q55" s="2" t="n">
        <f aca="false">MAX(P54+IF($A55=Q$4,1,-1),Q54-1,P55-1)</f>
        <v>-40</v>
      </c>
      <c r="R55" s="2" t="n">
        <f aca="false">MAX(Q54+IF($A55=R$4,1,-1),R54-1,Q55-1)</f>
        <v>-40</v>
      </c>
      <c r="S55" s="2" t="n">
        <f aca="false">MAX(R54+IF($A55=S$4,1,-1),S54-1,R55-1)</f>
        <v>-40</v>
      </c>
      <c r="T55" s="2" t="n">
        <f aca="false">MAX(S54+IF($A55=T$4,1,-1),T54-1,S55-1)</f>
        <v>-40</v>
      </c>
      <c r="U55" s="2" t="n">
        <f aca="false">MAX(T54+IF($A55=U$4,1,-1),U54-1,T55-1)</f>
        <v>-40</v>
      </c>
      <c r="V55" s="2" t="n">
        <f aca="false">MAX(U54+IF($A55=V$4,1,-1),V54-1,U55-1)</f>
        <v>-40</v>
      </c>
      <c r="W55" s="2" t="n">
        <f aca="false">MAX(V54+IF($A55=W$4,1,-1),W54-1,V55-1)</f>
        <v>-40</v>
      </c>
      <c r="X55" s="2" t="n">
        <f aca="false">MAX(W54+IF($A55=X$4,1,-1),X54-1,W55-1)</f>
        <v>-40</v>
      </c>
      <c r="Y55" s="2" t="n">
        <f aca="false">MAX(X54+IF($A55=Y$4,1,-1),Y54-1,X55-1)</f>
        <v>-40</v>
      </c>
      <c r="Z55" s="2" t="n">
        <f aca="false">MAX(Y54+IF($A55=Z$4,1,-1),Z54-1,Y55-1)</f>
        <v>-40</v>
      </c>
      <c r="AA55" s="2" t="n">
        <f aca="false">MAX(Z54+IF($A55=AA$4,1,-1),AA54-1,Z55-1)</f>
        <v>-40</v>
      </c>
      <c r="AB55" s="2" t="n">
        <f aca="false">MAX(AA54+IF($A55=AB$4,1,-1),AB54-1,AA55-1)</f>
        <v>-40</v>
      </c>
      <c r="AC55" s="2" t="n">
        <f aca="false">MAX(AB54+IF($A55=AC$4,1,-1),AC54-1,AB55-1)</f>
        <v>-40</v>
      </c>
      <c r="AD55" s="2" t="n">
        <f aca="false">MAX(AC54+IF($A55=AD$4,1,-1),AD54-1,AC55-1)</f>
        <v>-40</v>
      </c>
      <c r="AE55" s="2" t="n">
        <f aca="false">MAX(AD54+IF($A55=AE$4,1,-1),AE54-1,AD55-1)</f>
        <v>-40</v>
      </c>
      <c r="AF55" s="2" t="n">
        <f aca="false">MAX(AE54+IF($A55=AF$4,1,-1),AF54-1,AE55-1)</f>
        <v>-40</v>
      </c>
      <c r="AG55" s="2" t="n">
        <f aca="false">MAX(AF54+IF($A55=AG$4,1,-1),AG54-1,AF55-1)</f>
        <v>-40</v>
      </c>
      <c r="AH55" s="2" t="n">
        <f aca="false">MAX(AG54+IF($A55=AH$4,1,-1),AH54-1,AG55-1)</f>
        <v>-40</v>
      </c>
      <c r="AI55" s="2" t="n">
        <f aca="false">MAX(AH54+IF($A55=AI$4,1,-1),AI54-1,AH55-1)</f>
        <v>-40</v>
      </c>
      <c r="AJ55" s="2" t="n">
        <f aca="false">MAX(AI54+IF($A55=AJ$4,1,-1),AJ54-1,AI55-1)</f>
        <v>-40</v>
      </c>
      <c r="AK55" s="2" t="n">
        <f aca="false">MAX(AJ54+IF($A55=AK$4,1,-1),AK54-1,AJ55-1)</f>
        <v>-40</v>
      </c>
      <c r="AL55" s="2" t="n">
        <f aca="false">MAX(AK54+IF($A55=AL$4,1,-1),AL54-1,AK55-1)</f>
        <v>-40</v>
      </c>
      <c r="AM55" s="2" t="n">
        <f aca="false">MAX(AL54+IF($A55=AM$4,1,-1),AM54-1,AL55-1)</f>
        <v>-40</v>
      </c>
      <c r="AN55" s="2" t="n">
        <f aca="false">MAX(AM54+IF($A55=AN$4,1,-1),AN54-1,AM55-1)</f>
        <v>-40</v>
      </c>
      <c r="AO55" s="2" t="n">
        <f aca="false">MAX(AN54+IF($A55=AO$4,1,-1),AO54-1,AN55-1)</f>
        <v>-40</v>
      </c>
      <c r="AP55" s="2" t="n">
        <f aca="false">MAX(AO54+IF($A55=AP$4,1,-1),AP54-1,AO55-1)</f>
        <v>-41</v>
      </c>
      <c r="AQ55" s="2" t="n">
        <f aca="false">MAX(AP54+IF($A55=AQ$4,1,-1),AQ54-1,AP55-1)</f>
        <v>-42</v>
      </c>
      <c r="AR55" s="2" t="n">
        <f aca="false">MAX(AQ54+IF($A55=AR$4,1,-1),AR54-1,AQ55-1)</f>
        <v>-42</v>
      </c>
      <c r="AS55" s="2" t="n">
        <f aca="false">MAX(AR54+IF($A55=AS$4,1,-1),AS54-1,AR55-1)</f>
        <v>-42</v>
      </c>
      <c r="AT55" s="2" t="n">
        <f aca="false">MAX(AS54+IF($A55=AT$4,1,-1),AT54-1,AS55-1)</f>
        <v>-42</v>
      </c>
      <c r="AU55" s="2" t="n">
        <f aca="false">MAX(AT54+IF($A55=AU$4,1,-1),AU54-1,AT55-1)</f>
        <v>-42</v>
      </c>
      <c r="AV55" s="2" t="n">
        <f aca="false">MAX(AU54+IF($A55=AV$4,1,-1),AV54-1,AU55-1)</f>
        <v>-43</v>
      </c>
      <c r="AW55" s="2" t="n">
        <f aca="false">MAX(AV54+IF($A55=AW$4,1,-1),AW54-1,AV55-1)</f>
        <v>-43</v>
      </c>
      <c r="AX55" s="2" t="n">
        <f aca="false">MAX(AW54+IF($A55=AX$4,1,-1),AX54-1,AW55-1)</f>
        <v>-43</v>
      </c>
      <c r="AY55" s="2" t="n">
        <f aca="false">MAX(AX54+IF($A55=AY$4,1,-1),AY54-1,AX55-1)</f>
        <v>-44</v>
      </c>
      <c r="AZ55" s="2" t="n">
        <f aca="false">MAX(AY54+IF($A55=AZ$4,1,-1),AZ54-1,AY55-1)</f>
        <v>-44</v>
      </c>
      <c r="BA55" s="2" t="n">
        <f aca="false">MAX(AZ54+IF($A55=BA$4,1,-1),BA54-1,AZ55-1)</f>
        <v>-44</v>
      </c>
      <c r="BB55" s="2" t="n">
        <f aca="false">MAX(BA54+IF($A55=BB$4,1,-1),BB54-1,BA55-1)</f>
        <v>-44</v>
      </c>
      <c r="BC55" s="2" t="n">
        <f aca="false">MAX(BB54+IF($A55=BC$4,1,-1),BC54-1,BB55-1)</f>
        <v>-45</v>
      </c>
      <c r="BD55" s="2" t="n">
        <f aca="false">MAX(BC54+IF($A55=BD$4,1,-1),BD54-1,BC55-1)</f>
        <v>-46</v>
      </c>
      <c r="BE55" s="2" t="n">
        <f aca="false">MAX(BD54+IF($A55=BE$4,1,-1),BE54-1,BD55-1)</f>
        <v>-47</v>
      </c>
      <c r="BF55" s="2" t="n">
        <f aca="false">MAX(BE54+IF($A55=BF$4,1,-1),BF54-1,BE55-1)</f>
        <v>-48</v>
      </c>
      <c r="BG55" s="2" t="n">
        <f aca="false">MAX(BF54+IF($A55=BG$4,1,-1),BG54-1,BF55-1)</f>
        <v>-49</v>
      </c>
      <c r="BH55" s="2" t="n">
        <f aca="false">MAX(BG54+IF($A55=BH$4,1,-1),BH54-1,BG55-1)</f>
        <v>-50</v>
      </c>
      <c r="BI55" s="2" t="n">
        <f aca="false">MAX(BH54+IF($A55=BI$4,1,-1),BI54-1,BH55-1)</f>
        <v>-51</v>
      </c>
      <c r="BJ55" s="2" t="n">
        <f aca="false">MAX(BI54+IF($A55=BJ$4,1,-1),BJ54-1,BI55-1)</f>
        <v>-52</v>
      </c>
      <c r="BK55" s="2" t="n">
        <f aca="false">MAX(BJ54+IF($A55=BK$4,1,-1),BK54-1,BJ55-1)</f>
        <v>-53</v>
      </c>
      <c r="BL55" s="2" t="n">
        <f aca="false">MAX(BK54+IF($A55=BL$4,1,-1),BL54-1,BK55-1)</f>
        <v>-54</v>
      </c>
      <c r="BM55" s="2" t="n">
        <f aca="false">MAX(BL54+IF($A55=BM$4,1,-1),BM54-1,BL55-1)</f>
        <v>-55</v>
      </c>
      <c r="BN55" s="2" t="n">
        <f aca="false">MAX(BM54+IF($A55=BN$4,1,-1),BN54-1,BM55-1)</f>
        <v>-56</v>
      </c>
      <c r="BO55" s="2" t="n">
        <f aca="false">MAX(BN54+IF($A55=BO$4,1,-1),BO54-1,BN55-1)</f>
        <v>-57</v>
      </c>
      <c r="BP55" s="2" t="n">
        <f aca="false">MAX(BO54+IF($A55=BP$4,1,-1),BP54-1,BO55-1)</f>
        <v>-58</v>
      </c>
      <c r="BQ55" s="2" t="n">
        <f aca="false">MAX(BP54+IF($A55=BQ$4,1,-1),BQ54-1,BP55-1)</f>
        <v>-58</v>
      </c>
      <c r="BR55" s="2" t="n">
        <f aca="false">MAX(BQ54+IF($A55=BR$4,1,-1),BR54-1,BQ55-1)</f>
        <v>-58</v>
      </c>
      <c r="BS55" s="2" t="n">
        <f aca="false">MAX(BR54+IF($A55=BS$4,1,-1),BS54-1,BR55-1)</f>
        <v>-59</v>
      </c>
      <c r="BT55" s="2" t="n">
        <f aca="false">MAX(BS54+IF($A55=BT$4,1,-1),BT54-1,BS55-1)</f>
        <v>-60</v>
      </c>
      <c r="BU55" s="2" t="n">
        <f aca="false">MAX(BT54+IF($A55=BU$4,1,-1),BU54-1,BT55-1)</f>
        <v>-61</v>
      </c>
      <c r="BV55" s="2" t="n">
        <f aca="false">MAX(BU54+IF($A55=BV$4,1,-1),BV54-1,BU55-1)</f>
        <v>-62</v>
      </c>
      <c r="BW55" s="2" t="n">
        <f aca="false">MAX(BV54+IF($A55=BW$4,1,-1),BW54-1,BV55-1)</f>
        <v>-63</v>
      </c>
      <c r="BX55" s="2" t="n">
        <f aca="false">MAX(BW54+IF($A55=BX$4,1,-1),BX54-1,BW55-1)</f>
        <v>-64</v>
      </c>
      <c r="BY55" s="2" t="n">
        <f aca="false">MAX(BX54+IF($A55=BY$4,1,-1),BY54-1,BX55-1)</f>
        <v>-65</v>
      </c>
      <c r="BZ55" s="2" t="n">
        <f aca="false">MAX(BY54+IF($A55=BZ$4,1,-1),BZ54-1,BY55-1)</f>
        <v>-66</v>
      </c>
      <c r="CA55" s="2" t="n">
        <f aca="false">MAX(BZ54+IF($A55=CA$4,1,-1),CA54-1,BZ55-1)</f>
        <v>-66</v>
      </c>
      <c r="CB55" s="2" t="n">
        <f aca="false">MAX(CA54+IF($A55=CB$4,1,-1),CB54-1,CA55-1)</f>
        <v>-66</v>
      </c>
      <c r="CC55" s="2" t="n">
        <f aca="false">MAX(CB54+IF($A55=CC$4,1,-1),CC54-1,CB55-1)</f>
        <v>-67</v>
      </c>
      <c r="CD55" s="2" t="n">
        <f aca="false">MAX(CC54+IF($A55=CD$4,1,-1),CD54-1,CC55-1)</f>
        <v>-68</v>
      </c>
      <c r="CE55" s="2" t="n">
        <f aca="false">MAX(CD54+IF($A55=CE$4,1,-1),CE54-1,CD55-1)</f>
        <v>-69</v>
      </c>
      <c r="CF55" s="2" t="n">
        <f aca="false">MAX(CE54+IF($A55=CF$4,1,-1),CF54-1,CE55-1)</f>
        <v>-70</v>
      </c>
      <c r="CG55" s="2" t="n">
        <f aca="false">MAX(CF54+IF($A55=CG$4,1,-1),CG54-1,CF55-1)</f>
        <v>-71</v>
      </c>
      <c r="CH55" s="2" t="n">
        <f aca="false">MAX(CG54+IF($A55=CH$4,1,-1),CH54-1,CG55-1)</f>
        <v>-72</v>
      </c>
      <c r="CI55" s="2" t="n">
        <f aca="false">MAX(CH54+IF($A55=CI$4,1,-1),CI54-1,CH55-1)</f>
        <v>-73</v>
      </c>
      <c r="CJ55" s="2" t="n">
        <f aca="false">MAX(CI54+IF($A55=CJ$4,1,-1),CJ54-1,CI55-1)</f>
        <v>-74</v>
      </c>
      <c r="CK55" s="2" t="n">
        <f aca="false">MAX(CJ54+IF($A55=CK$4,1,-1),CK54-1,CJ55-1)</f>
        <v>-75</v>
      </c>
      <c r="CL55" s="2" t="n">
        <f aca="false">MAX(CK54+IF($A55=CL$4,1,-1),CL54-1,CK55-1)</f>
        <v>-76</v>
      </c>
      <c r="CM55" s="2" t="n">
        <f aca="false">MAX(CL54+IF($A55=CM$4,1,-1),CM54-1,CL55-1)</f>
        <v>-77</v>
      </c>
      <c r="CN55" s="2" t="n">
        <f aca="false">MAX(CM54+IF($A55=CN$4,1,-1),CN54-1,CM55-1)</f>
        <v>-78</v>
      </c>
      <c r="CO55" s="2" t="n">
        <f aca="false">MAX(CN54+IF($A55=CO$4,1,-1),CO54-1,CN55-1)</f>
        <v>-79</v>
      </c>
      <c r="CP55" s="2" t="n">
        <f aca="false">MAX(CO54+IF($A55=CP$4,1,-1),CP54-1,CO55-1)</f>
        <v>-80</v>
      </c>
      <c r="CQ55" s="2" t="n">
        <f aca="false">MAX(CP54+IF($A55=CQ$4,1,-1),CQ54-1,CP55-1)</f>
        <v>-81</v>
      </c>
    </row>
    <row r="56" customFormat="false" ht="15" hidden="false" customHeight="false" outlineLevel="0" collapsed="false">
      <c r="A56" s="4" t="s">
        <v>163</v>
      </c>
      <c r="B56" s="12" t="n">
        <v>-51</v>
      </c>
      <c r="C56" s="2" t="n">
        <f aca="false">MAX(B55+IF($A56=C$4,1,-1),C55-1,B56-1)</f>
        <v>-51</v>
      </c>
      <c r="D56" s="2" t="n">
        <f aca="false">MAX(C55+IF($A56=D$4,1,-1),D55-1,C56-1)</f>
        <v>-49</v>
      </c>
      <c r="E56" s="2" t="n">
        <f aca="false">MAX(D55+IF($A56=E$4,1,-1),E55-1,D56-1)</f>
        <v>-47</v>
      </c>
      <c r="F56" s="2" t="n">
        <f aca="false">MAX(E55+IF($A56=F$4,1,-1),F55-1,E56-1)</f>
        <v>-45</v>
      </c>
      <c r="G56" s="2" t="n">
        <f aca="false">MAX(F55+IF($A56=G$4,1,-1),G55-1,F56-1)</f>
        <v>-45</v>
      </c>
      <c r="H56" s="2" t="n">
        <f aca="false">MAX(G55+IF($A56=H$4,1,-1),H55-1,G56-1)</f>
        <v>-45</v>
      </c>
      <c r="I56" s="2" t="n">
        <f aca="false">MAX(H55+IF($A56=I$4,1,-1),I55-1,H56-1)</f>
        <v>-45</v>
      </c>
      <c r="J56" s="2" t="n">
        <f aca="false">MAX(I55+IF($A56=J$4,1,-1),J55-1,I56-1)</f>
        <v>-45</v>
      </c>
      <c r="K56" s="2" t="n">
        <f aca="false">MAX(J55+IF($A56=K$4,1,-1),K55-1,J56-1)</f>
        <v>-44</v>
      </c>
      <c r="L56" s="2" t="n">
        <f aca="false">MAX(K55+IF($A56=L$4,1,-1),L55-1,K56-1)</f>
        <v>-44</v>
      </c>
      <c r="M56" s="2" t="n">
        <f aca="false">MAX(L55+IF($A56=M$4,1,-1),M55-1,L56-1)</f>
        <v>-44</v>
      </c>
      <c r="N56" s="2" t="n">
        <f aca="false">MAX(M55+IF($A56=N$4,1,-1),N55-1,M56-1)</f>
        <v>-42</v>
      </c>
      <c r="O56" s="2" t="n">
        <f aca="false">MAX(N55+IF($A56=O$4,1,-1),O55-1,N56-1)</f>
        <v>-41</v>
      </c>
      <c r="P56" s="2" t="n">
        <f aca="false">MAX(O55+IF($A56=P$4,1,-1),P55-1,O56-1)</f>
        <v>-41</v>
      </c>
      <c r="Q56" s="2" t="n">
        <f aca="false">MAX(P55+IF($A56=Q$4,1,-1),Q55-1,P56-1)</f>
        <v>-41</v>
      </c>
      <c r="R56" s="2" t="n">
        <f aca="false">MAX(Q55+IF($A56=R$4,1,-1),R55-1,Q56-1)</f>
        <v>-41</v>
      </c>
      <c r="S56" s="2" t="n">
        <f aca="false">MAX(R55+IF($A56=S$4,1,-1),S55-1,R56-1)</f>
        <v>-41</v>
      </c>
      <c r="T56" s="2" t="n">
        <f aca="false">MAX(S55+IF($A56=T$4,1,-1),T55-1,S56-1)</f>
        <v>-41</v>
      </c>
      <c r="U56" s="2" t="n">
        <f aca="false">MAX(T55+IF($A56=U$4,1,-1),U55-1,T56-1)</f>
        <v>-41</v>
      </c>
      <c r="V56" s="2" t="n">
        <f aca="false">MAX(U55+IF($A56=V$4,1,-1),V55-1,U56-1)</f>
        <v>-41</v>
      </c>
      <c r="W56" s="2" t="n">
        <f aca="false">MAX(V55+IF($A56=W$4,1,-1),W55-1,V56-1)</f>
        <v>-41</v>
      </c>
      <c r="X56" s="2" t="n">
        <f aca="false">MAX(W55+IF($A56=X$4,1,-1),X55-1,W56-1)</f>
        <v>-41</v>
      </c>
      <c r="Y56" s="2" t="n">
        <f aca="false">MAX(X55+IF($A56=Y$4,1,-1),Y55-1,X56-1)</f>
        <v>-41</v>
      </c>
      <c r="Z56" s="2" t="n">
        <f aca="false">MAX(Y55+IF($A56=Z$4,1,-1),Z55-1,Y56-1)</f>
        <v>-41</v>
      </c>
      <c r="AA56" s="2" t="n">
        <f aca="false">MAX(Z55+IF($A56=AA$4,1,-1),AA55-1,Z56-1)</f>
        <v>-41</v>
      </c>
      <c r="AB56" s="2" t="n">
        <f aca="false">MAX(AA55+IF($A56=AB$4,1,-1),AB55-1,AA56-1)</f>
        <v>-41</v>
      </c>
      <c r="AC56" s="2" t="n">
        <f aca="false">MAX(AB55+IF($A56=AC$4,1,-1),AC55-1,AB56-1)</f>
        <v>-41</v>
      </c>
      <c r="AD56" s="2" t="n">
        <f aca="false">MAX(AC55+IF($A56=AD$4,1,-1),AD55-1,AC56-1)</f>
        <v>-41</v>
      </c>
      <c r="AE56" s="2" t="n">
        <f aca="false">MAX(AD55+IF($A56=AE$4,1,-1),AE55-1,AD56-1)</f>
        <v>-41</v>
      </c>
      <c r="AF56" s="2" t="n">
        <f aca="false">MAX(AE55+IF($A56=AF$4,1,-1),AF55-1,AE56-1)</f>
        <v>-41</v>
      </c>
      <c r="AG56" s="2" t="n">
        <f aca="false">MAX(AF55+IF($A56=AG$4,1,-1),AG55-1,AF56-1)</f>
        <v>-41</v>
      </c>
      <c r="AH56" s="2" t="n">
        <f aca="false">MAX(AG55+IF($A56=AH$4,1,-1),AH55-1,AG56-1)</f>
        <v>-41</v>
      </c>
      <c r="AI56" s="2" t="n">
        <f aca="false">MAX(AH55+IF($A56=AI$4,1,-1),AI55-1,AH56-1)</f>
        <v>-41</v>
      </c>
      <c r="AJ56" s="2" t="n">
        <f aca="false">MAX(AI55+IF($A56=AJ$4,1,-1),AJ55-1,AI56-1)</f>
        <v>-41</v>
      </c>
      <c r="AK56" s="2" t="n">
        <f aca="false">MAX(AJ55+IF($A56=AK$4,1,-1),AK55-1,AJ56-1)</f>
        <v>-41</v>
      </c>
      <c r="AL56" s="2" t="n">
        <f aca="false">MAX(AK55+IF($A56=AL$4,1,-1),AL55-1,AK56-1)</f>
        <v>-41</v>
      </c>
      <c r="AM56" s="2" t="n">
        <f aca="false">MAX(AL55+IF($A56=AM$4,1,-1),AM55-1,AL56-1)</f>
        <v>-41</v>
      </c>
      <c r="AN56" s="2" t="n">
        <f aca="false">MAX(AM55+IF($A56=AN$4,1,-1),AN55-1,AM56-1)</f>
        <v>-41</v>
      </c>
      <c r="AO56" s="2" t="n">
        <f aca="false">MAX(AN55+IF($A56=AO$4,1,-1),AO55-1,AN56-1)</f>
        <v>-41</v>
      </c>
      <c r="AP56" s="2" t="n">
        <f aca="false">MAX(AO55+IF($A56=AP$4,1,-1),AP55-1,AO56-1)</f>
        <v>-41</v>
      </c>
      <c r="AQ56" s="2" t="n">
        <f aca="false">MAX(AP55+IF($A56=AQ$4,1,-1),AQ55-1,AP56-1)</f>
        <v>-42</v>
      </c>
      <c r="AR56" s="2" t="n">
        <f aca="false">MAX(AQ55+IF($A56=AR$4,1,-1),AR55-1,AQ56-1)</f>
        <v>-43</v>
      </c>
      <c r="AS56" s="2" t="n">
        <f aca="false">MAX(AR55+IF($A56=AS$4,1,-1),AS55-1,AR56-1)</f>
        <v>-43</v>
      </c>
      <c r="AT56" s="2" t="n">
        <f aca="false">MAX(AS55+IF($A56=AT$4,1,-1),AT55-1,AS56-1)</f>
        <v>-43</v>
      </c>
      <c r="AU56" s="2" t="n">
        <f aca="false">MAX(AT55+IF($A56=AU$4,1,-1),AU55-1,AT56-1)</f>
        <v>-43</v>
      </c>
      <c r="AV56" s="2" t="n">
        <f aca="false">MAX(AU55+IF($A56=AV$4,1,-1),AV55-1,AU56-1)</f>
        <v>-43</v>
      </c>
      <c r="AW56" s="2" t="n">
        <f aca="false">MAX(AV55+IF($A56=AW$4,1,-1),AW55-1,AV56-1)</f>
        <v>-44</v>
      </c>
      <c r="AX56" s="2" t="n">
        <f aca="false">MAX(AW55+IF($A56=AX$4,1,-1),AX55-1,AW56-1)</f>
        <v>-44</v>
      </c>
      <c r="AY56" s="2" t="n">
        <f aca="false">MAX(AX55+IF($A56=AY$4,1,-1),AY55-1,AX56-1)</f>
        <v>-44</v>
      </c>
      <c r="AZ56" s="2" t="n">
        <f aca="false">MAX(AY55+IF($A56=AZ$4,1,-1),AZ55-1,AY56-1)</f>
        <v>-45</v>
      </c>
      <c r="BA56" s="2" t="n">
        <f aca="false">MAX(AZ55+IF($A56=BA$4,1,-1),BA55-1,AZ56-1)</f>
        <v>-45</v>
      </c>
      <c r="BB56" s="2" t="n">
        <f aca="false">MAX(BA55+IF($A56=BB$4,1,-1),BB55-1,BA56-1)</f>
        <v>-45</v>
      </c>
      <c r="BC56" s="2" t="n">
        <f aca="false">MAX(BB55+IF($A56=BC$4,1,-1),BC55-1,BB56-1)</f>
        <v>-45</v>
      </c>
      <c r="BD56" s="2" t="n">
        <f aca="false">MAX(BC55+IF($A56=BD$4,1,-1),BD55-1,BC56-1)</f>
        <v>-46</v>
      </c>
      <c r="BE56" s="2" t="n">
        <f aca="false">MAX(BD55+IF($A56=BE$4,1,-1),BE55-1,BD56-1)</f>
        <v>-47</v>
      </c>
      <c r="BF56" s="2" t="n">
        <f aca="false">MAX(BE55+IF($A56=BF$4,1,-1),BF55-1,BE56-1)</f>
        <v>-48</v>
      </c>
      <c r="BG56" s="2" t="n">
        <f aca="false">MAX(BF55+IF($A56=BG$4,1,-1),BG55-1,BF56-1)</f>
        <v>-49</v>
      </c>
      <c r="BH56" s="2" t="n">
        <f aca="false">MAX(BG55+IF($A56=BH$4,1,-1),BH55-1,BG56-1)</f>
        <v>-50</v>
      </c>
      <c r="BI56" s="2" t="n">
        <f aca="false">MAX(BH55+IF($A56=BI$4,1,-1),BI55-1,BH56-1)</f>
        <v>-51</v>
      </c>
      <c r="BJ56" s="2" t="n">
        <f aca="false">MAX(BI55+IF($A56=BJ$4,1,-1),BJ55-1,BI56-1)</f>
        <v>-52</v>
      </c>
      <c r="BK56" s="2" t="n">
        <f aca="false">MAX(BJ55+IF($A56=BK$4,1,-1),BK55-1,BJ56-1)</f>
        <v>-53</v>
      </c>
      <c r="BL56" s="2" t="n">
        <f aca="false">MAX(BK55+IF($A56=BL$4,1,-1),BL55-1,BK56-1)</f>
        <v>-54</v>
      </c>
      <c r="BM56" s="2" t="n">
        <f aca="false">MAX(BL55+IF($A56=BM$4,1,-1),BM55-1,BL56-1)</f>
        <v>-55</v>
      </c>
      <c r="BN56" s="2" t="n">
        <f aca="false">MAX(BM55+IF($A56=BN$4,1,-1),BN55-1,BM56-1)</f>
        <v>-56</v>
      </c>
      <c r="BO56" s="2" t="n">
        <f aca="false">MAX(BN55+IF($A56=BO$4,1,-1),BO55-1,BN56-1)</f>
        <v>-57</v>
      </c>
      <c r="BP56" s="2" t="n">
        <f aca="false">MAX(BO55+IF($A56=BP$4,1,-1),BP55-1,BO56-1)</f>
        <v>-58</v>
      </c>
      <c r="BQ56" s="2" t="n">
        <f aca="false">MAX(BP55+IF($A56=BQ$4,1,-1),BQ55-1,BP56-1)</f>
        <v>-59</v>
      </c>
      <c r="BR56" s="2" t="n">
        <f aca="false">MAX(BQ55+IF($A56=BR$4,1,-1),BR55-1,BQ56-1)</f>
        <v>-59</v>
      </c>
      <c r="BS56" s="2" t="n">
        <f aca="false">MAX(BR55+IF($A56=BS$4,1,-1),BS55-1,BR56-1)</f>
        <v>-59</v>
      </c>
      <c r="BT56" s="2" t="n">
        <f aca="false">MAX(BS55+IF($A56=BT$4,1,-1),BT55-1,BS56-1)</f>
        <v>-60</v>
      </c>
      <c r="BU56" s="2" t="n">
        <f aca="false">MAX(BT55+IF($A56=BU$4,1,-1),BU55-1,BT56-1)</f>
        <v>-61</v>
      </c>
      <c r="BV56" s="2" t="n">
        <f aca="false">MAX(BU55+IF($A56=BV$4,1,-1),BV55-1,BU56-1)</f>
        <v>-62</v>
      </c>
      <c r="BW56" s="2" t="n">
        <f aca="false">MAX(BV55+IF($A56=BW$4,1,-1),BW55-1,BV56-1)</f>
        <v>-63</v>
      </c>
      <c r="BX56" s="2" t="n">
        <f aca="false">MAX(BW55+IF($A56=BX$4,1,-1),BX55-1,BW56-1)</f>
        <v>-64</v>
      </c>
      <c r="BY56" s="2" t="n">
        <f aca="false">MAX(BX55+IF($A56=BY$4,1,-1),BY55-1,BX56-1)</f>
        <v>-65</v>
      </c>
      <c r="BZ56" s="2" t="n">
        <f aca="false">MAX(BY55+IF($A56=BZ$4,1,-1),BZ55-1,BY56-1)</f>
        <v>-66</v>
      </c>
      <c r="CA56" s="2" t="n">
        <f aca="false">MAX(BZ55+IF($A56=CA$4,1,-1),CA55-1,BZ56-1)</f>
        <v>-67</v>
      </c>
      <c r="CB56" s="2" t="n">
        <f aca="false">MAX(CA55+IF($A56=CB$4,1,-1),CB55-1,CA56-1)</f>
        <v>-67</v>
      </c>
      <c r="CC56" s="2" t="n">
        <f aca="false">MAX(CB55+IF($A56=CC$4,1,-1),CC55-1,CB56-1)</f>
        <v>-67</v>
      </c>
      <c r="CD56" s="2" t="n">
        <f aca="false">MAX(CC55+IF($A56=CD$4,1,-1),CD55-1,CC56-1)</f>
        <v>-68</v>
      </c>
      <c r="CE56" s="2" t="n">
        <f aca="false">MAX(CD55+IF($A56=CE$4,1,-1),CE55-1,CD56-1)</f>
        <v>-69</v>
      </c>
      <c r="CF56" s="2" t="n">
        <f aca="false">MAX(CE55+IF($A56=CF$4,1,-1),CF55-1,CE56-1)</f>
        <v>-70</v>
      </c>
      <c r="CG56" s="2" t="n">
        <f aca="false">MAX(CF55+IF($A56=CG$4,1,-1),CG55-1,CF56-1)</f>
        <v>-71</v>
      </c>
      <c r="CH56" s="2" t="n">
        <f aca="false">MAX(CG55+IF($A56=CH$4,1,-1),CH55-1,CG56-1)</f>
        <v>-72</v>
      </c>
      <c r="CI56" s="2" t="n">
        <f aca="false">MAX(CH55+IF($A56=CI$4,1,-1),CI55-1,CH56-1)</f>
        <v>-73</v>
      </c>
      <c r="CJ56" s="2" t="n">
        <f aca="false">MAX(CI55+IF($A56=CJ$4,1,-1),CJ55-1,CI56-1)</f>
        <v>-74</v>
      </c>
      <c r="CK56" s="2" t="n">
        <f aca="false">MAX(CJ55+IF($A56=CK$4,1,-1),CK55-1,CJ56-1)</f>
        <v>-75</v>
      </c>
      <c r="CL56" s="2" t="n">
        <f aca="false">MAX(CK55+IF($A56=CL$4,1,-1),CL55-1,CK56-1)</f>
        <v>-76</v>
      </c>
      <c r="CM56" s="2" t="n">
        <f aca="false">MAX(CL55+IF($A56=CM$4,1,-1),CM55-1,CL56-1)</f>
        <v>-77</v>
      </c>
      <c r="CN56" s="2" t="n">
        <f aca="false">MAX(CM55+IF($A56=CN$4,1,-1),CN55-1,CM56-1)</f>
        <v>-78</v>
      </c>
      <c r="CO56" s="2" t="n">
        <f aca="false">MAX(CN55+IF($A56=CO$4,1,-1),CO55-1,CN56-1)</f>
        <v>-79</v>
      </c>
      <c r="CP56" s="2" t="n">
        <f aca="false">MAX(CO55+IF($A56=CP$4,1,-1),CP55-1,CO56-1)</f>
        <v>-80</v>
      </c>
      <c r="CQ56" s="2" t="n">
        <f aca="false">MAX(CP55+IF($A56=CQ$4,1,-1),CQ55-1,CP56-1)</f>
        <v>-81</v>
      </c>
    </row>
    <row r="57" customFormat="false" ht="15" hidden="false" customHeight="false" outlineLevel="0" collapsed="false">
      <c r="A57" s="4" t="s">
        <v>177</v>
      </c>
      <c r="B57" s="12" t="n">
        <v>-52</v>
      </c>
      <c r="C57" s="2" t="n">
        <f aca="false">MAX(B56+IF($A57=C$4,1,-1),C56-1,B57-1)</f>
        <v>-52</v>
      </c>
      <c r="D57" s="2" t="n">
        <f aca="false">MAX(C56+IF($A57=D$4,1,-1),D56-1,C57-1)</f>
        <v>-50</v>
      </c>
      <c r="E57" s="2" t="n">
        <f aca="false">MAX(D56+IF($A57=E$4,1,-1),E56-1,D57-1)</f>
        <v>-48</v>
      </c>
      <c r="F57" s="2" t="n">
        <f aca="false">MAX(E56+IF($A57=F$4,1,-1),F56-1,E57-1)</f>
        <v>-46</v>
      </c>
      <c r="G57" s="2" t="n">
        <f aca="false">MAX(F56+IF($A57=G$4,1,-1),G56-1,F57-1)</f>
        <v>-46</v>
      </c>
      <c r="H57" s="2" t="n">
        <f aca="false">MAX(G56+IF($A57=H$4,1,-1),H56-1,G57-1)</f>
        <v>-46</v>
      </c>
      <c r="I57" s="2" t="n">
        <f aca="false">MAX(H56+IF($A57=I$4,1,-1),I56-1,H57-1)</f>
        <v>-46</v>
      </c>
      <c r="J57" s="2" t="n">
        <f aca="false">MAX(I56+IF($A57=J$4,1,-1),J56-1,I57-1)</f>
        <v>-46</v>
      </c>
      <c r="K57" s="2" t="n">
        <f aca="false">MAX(J56+IF($A57=K$4,1,-1),K56-1,J57-1)</f>
        <v>-45</v>
      </c>
      <c r="L57" s="2" t="n">
        <f aca="false">MAX(K56+IF($A57=L$4,1,-1),L56-1,K57-1)</f>
        <v>-45</v>
      </c>
      <c r="M57" s="2" t="n">
        <f aca="false">MAX(L56+IF($A57=M$4,1,-1),M56-1,L57-1)</f>
        <v>-45</v>
      </c>
      <c r="N57" s="2" t="n">
        <f aca="false">MAX(M56+IF($A57=N$4,1,-1),N56-1,M57-1)</f>
        <v>-43</v>
      </c>
      <c r="O57" s="2" t="n">
        <f aca="false">MAX(N56+IF($A57=O$4,1,-1),O56-1,N57-1)</f>
        <v>-42</v>
      </c>
      <c r="P57" s="2" t="n">
        <f aca="false">MAX(O56+IF($A57=P$4,1,-1),P56-1,O57-1)</f>
        <v>-42</v>
      </c>
      <c r="Q57" s="2" t="n">
        <f aca="false">MAX(P56+IF($A57=Q$4,1,-1),Q56-1,P57-1)</f>
        <v>-42</v>
      </c>
      <c r="R57" s="2" t="n">
        <f aca="false">MAX(Q56+IF($A57=R$4,1,-1),R56-1,Q57-1)</f>
        <v>-42</v>
      </c>
      <c r="S57" s="2" t="n">
        <f aca="false">MAX(R56+IF($A57=S$4,1,-1),S56-1,R57-1)</f>
        <v>-42</v>
      </c>
      <c r="T57" s="2" t="n">
        <f aca="false">MAX(S56+IF($A57=T$4,1,-1),T56-1,S57-1)</f>
        <v>-42</v>
      </c>
      <c r="U57" s="2" t="n">
        <f aca="false">MAX(T56+IF($A57=U$4,1,-1),U56-1,T57-1)</f>
        <v>-42</v>
      </c>
      <c r="V57" s="2" t="n">
        <f aca="false">MAX(U56+IF($A57=V$4,1,-1),V56-1,U57-1)</f>
        <v>-42</v>
      </c>
      <c r="W57" s="2" t="n">
        <f aca="false">MAX(V56+IF($A57=W$4,1,-1),W56-1,V57-1)</f>
        <v>-42</v>
      </c>
      <c r="X57" s="2" t="n">
        <f aca="false">MAX(W56+IF($A57=X$4,1,-1),X56-1,W57-1)</f>
        <v>-42</v>
      </c>
      <c r="Y57" s="2" t="n">
        <f aca="false">MAX(X56+IF($A57=Y$4,1,-1),Y56-1,X57-1)</f>
        <v>-42</v>
      </c>
      <c r="Z57" s="2" t="n">
        <f aca="false">MAX(Y56+IF($A57=Z$4,1,-1),Z56-1,Y57-1)</f>
        <v>-42</v>
      </c>
      <c r="AA57" s="2" t="n">
        <f aca="false">MAX(Z56+IF($A57=AA$4,1,-1),AA56-1,Z57-1)</f>
        <v>-42</v>
      </c>
      <c r="AB57" s="2" t="n">
        <f aca="false">MAX(AA56+IF($A57=AB$4,1,-1),AB56-1,AA57-1)</f>
        <v>-42</v>
      </c>
      <c r="AC57" s="2" t="n">
        <f aca="false">MAX(AB56+IF($A57=AC$4,1,-1),AC56-1,AB57-1)</f>
        <v>-42</v>
      </c>
      <c r="AD57" s="2" t="n">
        <f aca="false">MAX(AC56+IF($A57=AD$4,1,-1),AD56-1,AC57-1)</f>
        <v>-42</v>
      </c>
      <c r="AE57" s="2" t="n">
        <f aca="false">MAX(AD56+IF($A57=AE$4,1,-1),AE56-1,AD57-1)</f>
        <v>-42</v>
      </c>
      <c r="AF57" s="2" t="n">
        <f aca="false">MAX(AE56+IF($A57=AF$4,1,-1),AF56-1,AE57-1)</f>
        <v>-42</v>
      </c>
      <c r="AG57" s="2" t="n">
        <f aca="false">MAX(AF56+IF($A57=AG$4,1,-1),AG56-1,AF57-1)</f>
        <v>-42</v>
      </c>
      <c r="AH57" s="2" t="n">
        <f aca="false">MAX(AG56+IF($A57=AH$4,1,-1),AH56-1,AG57-1)</f>
        <v>-42</v>
      </c>
      <c r="AI57" s="2" t="n">
        <f aca="false">MAX(AH56+IF($A57=AI$4,1,-1),AI56-1,AH57-1)</f>
        <v>-42</v>
      </c>
      <c r="AJ57" s="2" t="n">
        <f aca="false">MAX(AI56+IF($A57=AJ$4,1,-1),AJ56-1,AI57-1)</f>
        <v>-42</v>
      </c>
      <c r="AK57" s="2" t="n">
        <f aca="false">MAX(AJ56+IF($A57=AK$4,1,-1),AK56-1,AJ57-1)</f>
        <v>-42</v>
      </c>
      <c r="AL57" s="2" t="n">
        <f aca="false">MAX(AK56+IF($A57=AL$4,1,-1),AL56-1,AK57-1)</f>
        <v>-42</v>
      </c>
      <c r="AM57" s="2" t="n">
        <f aca="false">MAX(AL56+IF($A57=AM$4,1,-1),AM56-1,AL57-1)</f>
        <v>-42</v>
      </c>
      <c r="AN57" s="2" t="n">
        <f aca="false">MAX(AM56+IF($A57=AN$4,1,-1),AN56-1,AM57-1)</f>
        <v>-42</v>
      </c>
      <c r="AO57" s="2" t="n">
        <f aca="false">MAX(AN56+IF($A57=AO$4,1,-1),AO56-1,AN57-1)</f>
        <v>-42</v>
      </c>
      <c r="AP57" s="2" t="n">
        <f aca="false">MAX(AO56+IF($A57=AP$4,1,-1),AP56-1,AO57-1)</f>
        <v>-42</v>
      </c>
      <c r="AQ57" s="2" t="n">
        <f aca="false">MAX(AP56+IF($A57=AQ$4,1,-1),AQ56-1,AP57-1)</f>
        <v>-42</v>
      </c>
      <c r="AR57" s="2" t="n">
        <f aca="false">MAX(AQ56+IF($A57=AR$4,1,-1),AR56-1,AQ57-1)</f>
        <v>-43</v>
      </c>
      <c r="AS57" s="2" t="n">
        <f aca="false">MAX(AR56+IF($A57=AS$4,1,-1),AS56-1,AR57-1)</f>
        <v>-44</v>
      </c>
      <c r="AT57" s="2" t="n">
        <f aca="false">MAX(AS56+IF($A57=AT$4,1,-1),AT56-1,AS57-1)</f>
        <v>-44</v>
      </c>
      <c r="AU57" s="2" t="n">
        <f aca="false">MAX(AT56+IF($A57=AU$4,1,-1),AU56-1,AT57-1)</f>
        <v>-44</v>
      </c>
      <c r="AV57" s="2" t="n">
        <f aca="false">MAX(AU56+IF($A57=AV$4,1,-1),AV56-1,AU57-1)</f>
        <v>-44</v>
      </c>
      <c r="AW57" s="2" t="n">
        <f aca="false">MAX(AV56+IF($A57=AW$4,1,-1),AW56-1,AV57-1)</f>
        <v>-44</v>
      </c>
      <c r="AX57" s="2" t="n">
        <f aca="false">MAX(AW56+IF($A57=AX$4,1,-1),AX56-1,AW57-1)</f>
        <v>-45</v>
      </c>
      <c r="AY57" s="2" t="n">
        <f aca="false">MAX(AX56+IF($A57=AY$4,1,-1),AY56-1,AX57-1)</f>
        <v>-45</v>
      </c>
      <c r="AZ57" s="2" t="n">
        <f aca="false">MAX(AY56+IF($A57=AZ$4,1,-1),AZ56-1,AY57-1)</f>
        <v>-45</v>
      </c>
      <c r="BA57" s="2" t="n">
        <f aca="false">MAX(AZ56+IF($A57=BA$4,1,-1),BA56-1,AZ57-1)</f>
        <v>-46</v>
      </c>
      <c r="BB57" s="2" t="n">
        <f aca="false">MAX(BA56+IF($A57=BB$4,1,-1),BB56-1,BA57-1)</f>
        <v>-46</v>
      </c>
      <c r="BC57" s="2" t="n">
        <f aca="false">MAX(BB56+IF($A57=BC$4,1,-1),BC56-1,BB57-1)</f>
        <v>-46</v>
      </c>
      <c r="BD57" s="2" t="n">
        <f aca="false">MAX(BC56+IF($A57=BD$4,1,-1),BD56-1,BC57-1)</f>
        <v>-46</v>
      </c>
      <c r="BE57" s="2" t="n">
        <f aca="false">MAX(BD56+IF($A57=BE$4,1,-1),BE56-1,BD57-1)</f>
        <v>-47</v>
      </c>
      <c r="BF57" s="2" t="n">
        <f aca="false">MAX(BE56+IF($A57=BF$4,1,-1),BF56-1,BE57-1)</f>
        <v>-48</v>
      </c>
      <c r="BG57" s="2" t="n">
        <f aca="false">MAX(BF56+IF($A57=BG$4,1,-1),BG56-1,BF57-1)</f>
        <v>-49</v>
      </c>
      <c r="BH57" s="2" t="n">
        <f aca="false">MAX(BG56+IF($A57=BH$4,1,-1),BH56-1,BG57-1)</f>
        <v>-50</v>
      </c>
      <c r="BI57" s="2" t="n">
        <f aca="false">MAX(BH56+IF($A57=BI$4,1,-1),BI56-1,BH57-1)</f>
        <v>-51</v>
      </c>
      <c r="BJ57" s="2" t="n">
        <f aca="false">MAX(BI56+IF($A57=BJ$4,1,-1),BJ56-1,BI57-1)</f>
        <v>-52</v>
      </c>
      <c r="BK57" s="2" t="n">
        <f aca="false">MAX(BJ56+IF($A57=BK$4,1,-1),BK56-1,BJ57-1)</f>
        <v>-53</v>
      </c>
      <c r="BL57" s="2" t="n">
        <f aca="false">MAX(BK56+IF($A57=BL$4,1,-1),BL56-1,BK57-1)</f>
        <v>-54</v>
      </c>
      <c r="BM57" s="2" t="n">
        <f aca="false">MAX(BL56+IF($A57=BM$4,1,-1),BM56-1,BL57-1)</f>
        <v>-55</v>
      </c>
      <c r="BN57" s="2" t="n">
        <f aca="false">MAX(BM56+IF($A57=BN$4,1,-1),BN56-1,BM57-1)</f>
        <v>-56</v>
      </c>
      <c r="BO57" s="2" t="n">
        <f aca="false">MAX(BN56+IF($A57=BO$4,1,-1),BO56-1,BN57-1)</f>
        <v>-57</v>
      </c>
      <c r="BP57" s="2" t="n">
        <f aca="false">MAX(BO56+IF($A57=BP$4,1,-1),BP56-1,BO57-1)</f>
        <v>-58</v>
      </c>
      <c r="BQ57" s="2" t="n">
        <f aca="false">MAX(BP56+IF($A57=BQ$4,1,-1),BQ56-1,BP57-1)</f>
        <v>-59</v>
      </c>
      <c r="BR57" s="2" t="n">
        <f aca="false">MAX(BQ56+IF($A57=BR$4,1,-1),BR56-1,BQ57-1)</f>
        <v>-60</v>
      </c>
      <c r="BS57" s="2" t="n">
        <f aca="false">MAX(BR56+IF($A57=BS$4,1,-1),BS56-1,BR57-1)</f>
        <v>-60</v>
      </c>
      <c r="BT57" s="2" t="n">
        <f aca="false">MAX(BS56+IF($A57=BT$4,1,-1),BT56-1,BS57-1)</f>
        <v>-60</v>
      </c>
      <c r="BU57" s="2" t="n">
        <f aca="false">MAX(BT56+IF($A57=BU$4,1,-1),BU56-1,BT57-1)</f>
        <v>-61</v>
      </c>
      <c r="BV57" s="2" t="n">
        <f aca="false">MAX(BU56+IF($A57=BV$4,1,-1),BV56-1,BU57-1)</f>
        <v>-62</v>
      </c>
      <c r="BW57" s="2" t="n">
        <f aca="false">MAX(BV56+IF($A57=BW$4,1,-1),BW56-1,BV57-1)</f>
        <v>-63</v>
      </c>
      <c r="BX57" s="2" t="n">
        <f aca="false">MAX(BW56+IF($A57=BX$4,1,-1),BX56-1,BW57-1)</f>
        <v>-64</v>
      </c>
      <c r="BY57" s="2" t="n">
        <f aca="false">MAX(BX56+IF($A57=BY$4,1,-1),BY56-1,BX57-1)</f>
        <v>-65</v>
      </c>
      <c r="BZ57" s="2" t="n">
        <f aca="false">MAX(BY56+IF($A57=BZ$4,1,-1),BZ56-1,BY57-1)</f>
        <v>-66</v>
      </c>
      <c r="CA57" s="2" t="n">
        <f aca="false">MAX(BZ56+IF($A57=CA$4,1,-1),CA56-1,BZ57-1)</f>
        <v>-67</v>
      </c>
      <c r="CB57" s="2" t="n">
        <f aca="false">MAX(CA56+IF($A57=CB$4,1,-1),CB56-1,CA57-1)</f>
        <v>-68</v>
      </c>
      <c r="CC57" s="2" t="n">
        <f aca="false">MAX(CB56+IF($A57=CC$4,1,-1),CC56-1,CB57-1)</f>
        <v>-68</v>
      </c>
      <c r="CD57" s="2" t="n">
        <f aca="false">MAX(CC56+IF($A57=CD$4,1,-1),CD56-1,CC57-1)</f>
        <v>-68</v>
      </c>
      <c r="CE57" s="2" t="n">
        <f aca="false">MAX(CD56+IF($A57=CE$4,1,-1),CE56-1,CD57-1)</f>
        <v>-69</v>
      </c>
      <c r="CF57" s="2" t="n">
        <f aca="false">MAX(CE56+IF($A57=CF$4,1,-1),CF56-1,CE57-1)</f>
        <v>-70</v>
      </c>
      <c r="CG57" s="2" t="n">
        <f aca="false">MAX(CF56+IF($A57=CG$4,1,-1),CG56-1,CF57-1)</f>
        <v>-71</v>
      </c>
      <c r="CH57" s="2" t="n">
        <f aca="false">MAX(CG56+IF($A57=CH$4,1,-1),CH56-1,CG57-1)</f>
        <v>-72</v>
      </c>
      <c r="CI57" s="2" t="n">
        <f aca="false">MAX(CH56+IF($A57=CI$4,1,-1),CI56-1,CH57-1)</f>
        <v>-73</v>
      </c>
      <c r="CJ57" s="2" t="n">
        <f aca="false">MAX(CI56+IF($A57=CJ$4,1,-1),CJ56-1,CI57-1)</f>
        <v>-74</v>
      </c>
      <c r="CK57" s="2" t="n">
        <f aca="false">MAX(CJ56+IF($A57=CK$4,1,-1),CK56-1,CJ57-1)</f>
        <v>-75</v>
      </c>
      <c r="CL57" s="2" t="n">
        <f aca="false">MAX(CK56+IF($A57=CL$4,1,-1),CL56-1,CK57-1)</f>
        <v>-76</v>
      </c>
      <c r="CM57" s="2" t="n">
        <f aca="false">MAX(CL56+IF($A57=CM$4,1,-1),CM56-1,CL57-1)</f>
        <v>-77</v>
      </c>
      <c r="CN57" s="2" t="n">
        <f aca="false">MAX(CM56+IF($A57=CN$4,1,-1),CN56-1,CM57-1)</f>
        <v>-78</v>
      </c>
      <c r="CO57" s="2" t="n">
        <f aca="false">MAX(CN56+IF($A57=CO$4,1,-1),CO56-1,CN57-1)</f>
        <v>-79</v>
      </c>
      <c r="CP57" s="2" t="n">
        <f aca="false">MAX(CO56+IF($A57=CP$4,1,-1),CP56-1,CO57-1)</f>
        <v>-80</v>
      </c>
      <c r="CQ57" s="2" t="n">
        <f aca="false">MAX(CP56+IF($A57=CQ$4,1,-1),CQ56-1,CP57-1)</f>
        <v>-81</v>
      </c>
    </row>
    <row r="58" customFormat="false" ht="15" hidden="false" customHeight="false" outlineLevel="0" collapsed="false">
      <c r="A58" s="4" t="s">
        <v>178</v>
      </c>
      <c r="B58" s="12" t="n">
        <v>-53</v>
      </c>
      <c r="C58" s="2" t="n">
        <f aca="false">MAX(B57+IF($A58=C$4,1,-1),C57-1,B58-1)</f>
        <v>-53</v>
      </c>
      <c r="D58" s="2" t="n">
        <f aca="false">MAX(C57+IF($A58=D$4,1,-1),D57-1,C58-1)</f>
        <v>-51</v>
      </c>
      <c r="E58" s="2" t="n">
        <f aca="false">MAX(D57+IF($A58=E$4,1,-1),E57-1,D58-1)</f>
        <v>-49</v>
      </c>
      <c r="F58" s="2" t="n">
        <f aca="false">MAX(E57+IF($A58=F$4,1,-1),F57-1,E58-1)</f>
        <v>-47</v>
      </c>
      <c r="G58" s="2" t="n">
        <f aca="false">MAX(F57+IF($A58=G$4,1,-1),G57-1,F58-1)</f>
        <v>-47</v>
      </c>
      <c r="H58" s="2" t="n">
        <f aca="false">MAX(G57+IF($A58=H$4,1,-1),H57-1,G58-1)</f>
        <v>-47</v>
      </c>
      <c r="I58" s="2" t="n">
        <f aca="false">MAX(H57+IF($A58=I$4,1,-1),I57-1,H58-1)</f>
        <v>-47</v>
      </c>
      <c r="J58" s="2" t="n">
        <f aca="false">MAX(I57+IF($A58=J$4,1,-1),J57-1,I58-1)</f>
        <v>-47</v>
      </c>
      <c r="K58" s="2" t="n">
        <f aca="false">MAX(J57+IF($A58=K$4,1,-1),K57-1,J58-1)</f>
        <v>-46</v>
      </c>
      <c r="L58" s="2" t="n">
        <f aca="false">MAX(K57+IF($A58=L$4,1,-1),L57-1,K58-1)</f>
        <v>-46</v>
      </c>
      <c r="M58" s="2" t="n">
        <f aca="false">MAX(L57+IF($A58=M$4,1,-1),M57-1,L58-1)</f>
        <v>-46</v>
      </c>
      <c r="N58" s="2" t="n">
        <f aca="false">MAX(M57+IF($A58=N$4,1,-1),N57-1,M58-1)</f>
        <v>-44</v>
      </c>
      <c r="O58" s="2" t="n">
        <f aca="false">MAX(N57+IF($A58=O$4,1,-1),O57-1,N58-1)</f>
        <v>-43</v>
      </c>
      <c r="P58" s="2" t="n">
        <f aca="false">MAX(O57+IF($A58=P$4,1,-1),P57-1,O58-1)</f>
        <v>-43</v>
      </c>
      <c r="Q58" s="2" t="n">
        <f aca="false">MAX(P57+IF($A58=Q$4,1,-1),Q57-1,P58-1)</f>
        <v>-43</v>
      </c>
      <c r="R58" s="2" t="n">
        <f aca="false">MAX(Q57+IF($A58=R$4,1,-1),R57-1,Q58-1)</f>
        <v>-43</v>
      </c>
      <c r="S58" s="2" t="n">
        <f aca="false">MAX(R57+IF($A58=S$4,1,-1),S57-1,R58-1)</f>
        <v>-43</v>
      </c>
      <c r="T58" s="2" t="n">
        <f aca="false">MAX(S57+IF($A58=T$4,1,-1),T57-1,S58-1)</f>
        <v>-43</v>
      </c>
      <c r="U58" s="2" t="n">
        <f aca="false">MAX(T57+IF($A58=U$4,1,-1),U57-1,T58-1)</f>
        <v>-43</v>
      </c>
      <c r="V58" s="2" t="n">
        <f aca="false">MAX(U57+IF($A58=V$4,1,-1),V57-1,U58-1)</f>
        <v>-43</v>
      </c>
      <c r="W58" s="2" t="n">
        <f aca="false">MAX(V57+IF($A58=W$4,1,-1),W57-1,V58-1)</f>
        <v>-43</v>
      </c>
      <c r="X58" s="2" t="n">
        <f aca="false">MAX(W57+IF($A58=X$4,1,-1),X57-1,W58-1)</f>
        <v>-43</v>
      </c>
      <c r="Y58" s="2" t="n">
        <f aca="false">MAX(X57+IF($A58=Y$4,1,-1),Y57-1,X58-1)</f>
        <v>-43</v>
      </c>
      <c r="Z58" s="2" t="n">
        <f aca="false">MAX(Y57+IF($A58=Z$4,1,-1),Z57-1,Y58-1)</f>
        <v>-43</v>
      </c>
      <c r="AA58" s="2" t="n">
        <f aca="false">MAX(Z57+IF($A58=AA$4,1,-1),AA57-1,Z58-1)</f>
        <v>-43</v>
      </c>
      <c r="AB58" s="2" t="n">
        <f aca="false">MAX(AA57+IF($A58=AB$4,1,-1),AB57-1,AA58-1)</f>
        <v>-43</v>
      </c>
      <c r="AC58" s="2" t="n">
        <f aca="false">MAX(AB57+IF($A58=AC$4,1,-1),AC57-1,AB58-1)</f>
        <v>-43</v>
      </c>
      <c r="AD58" s="2" t="n">
        <f aca="false">MAX(AC57+IF($A58=AD$4,1,-1),AD57-1,AC58-1)</f>
        <v>-43</v>
      </c>
      <c r="AE58" s="2" t="n">
        <f aca="false">MAX(AD57+IF($A58=AE$4,1,-1),AE57-1,AD58-1)</f>
        <v>-43</v>
      </c>
      <c r="AF58" s="2" t="n">
        <f aca="false">MAX(AE57+IF($A58=AF$4,1,-1),AF57-1,AE58-1)</f>
        <v>-43</v>
      </c>
      <c r="AG58" s="2" t="n">
        <f aca="false">MAX(AF57+IF($A58=AG$4,1,-1),AG57-1,AF58-1)</f>
        <v>-43</v>
      </c>
      <c r="AH58" s="2" t="n">
        <f aca="false">MAX(AG57+IF($A58=AH$4,1,-1),AH57-1,AG58-1)</f>
        <v>-43</v>
      </c>
      <c r="AI58" s="2" t="n">
        <f aca="false">MAX(AH57+IF($A58=AI$4,1,-1),AI57-1,AH58-1)</f>
        <v>-43</v>
      </c>
      <c r="AJ58" s="2" t="n">
        <f aca="false">MAX(AI57+IF($A58=AJ$4,1,-1),AJ57-1,AI58-1)</f>
        <v>-43</v>
      </c>
      <c r="AK58" s="2" t="n">
        <f aca="false">MAX(AJ57+IF($A58=AK$4,1,-1),AK57-1,AJ58-1)</f>
        <v>-43</v>
      </c>
      <c r="AL58" s="2" t="n">
        <f aca="false">MAX(AK57+IF($A58=AL$4,1,-1),AL57-1,AK58-1)</f>
        <v>-43</v>
      </c>
      <c r="AM58" s="2" t="n">
        <f aca="false">MAX(AL57+IF($A58=AM$4,1,-1),AM57-1,AL58-1)</f>
        <v>-43</v>
      </c>
      <c r="AN58" s="2" t="n">
        <f aca="false">MAX(AM57+IF($A58=AN$4,1,-1),AN57-1,AM58-1)</f>
        <v>-43</v>
      </c>
      <c r="AO58" s="2" t="n">
        <f aca="false">MAX(AN57+IF($A58=AO$4,1,-1),AO57-1,AN58-1)</f>
        <v>-43</v>
      </c>
      <c r="AP58" s="2" t="n">
        <f aca="false">MAX(AO57+IF($A58=AP$4,1,-1),AP57-1,AO58-1)</f>
        <v>-43</v>
      </c>
      <c r="AQ58" s="2" t="n">
        <f aca="false">MAX(AP57+IF($A58=AQ$4,1,-1),AQ57-1,AP58-1)</f>
        <v>-43</v>
      </c>
      <c r="AR58" s="2" t="n">
        <f aca="false">MAX(AQ57+IF($A58=AR$4,1,-1),AR57-1,AQ58-1)</f>
        <v>-43</v>
      </c>
      <c r="AS58" s="2" t="n">
        <f aca="false">MAX(AR57+IF($A58=AS$4,1,-1),AS57-1,AR58-1)</f>
        <v>-44</v>
      </c>
      <c r="AT58" s="2" t="n">
        <f aca="false">MAX(AS57+IF($A58=AT$4,1,-1),AT57-1,AS58-1)</f>
        <v>-45</v>
      </c>
      <c r="AU58" s="2" t="n">
        <f aca="false">MAX(AT57+IF($A58=AU$4,1,-1),AU57-1,AT58-1)</f>
        <v>-45</v>
      </c>
      <c r="AV58" s="2" t="n">
        <f aca="false">MAX(AU57+IF($A58=AV$4,1,-1),AV57-1,AU58-1)</f>
        <v>-45</v>
      </c>
      <c r="AW58" s="2" t="n">
        <f aca="false">MAX(AV57+IF($A58=AW$4,1,-1),AW57-1,AV58-1)</f>
        <v>-45</v>
      </c>
      <c r="AX58" s="2" t="n">
        <f aca="false">MAX(AW57+IF($A58=AX$4,1,-1),AX57-1,AW58-1)</f>
        <v>-45</v>
      </c>
      <c r="AY58" s="2" t="n">
        <f aca="false">MAX(AX57+IF($A58=AY$4,1,-1),AY57-1,AX58-1)</f>
        <v>-46</v>
      </c>
      <c r="AZ58" s="2" t="n">
        <f aca="false">MAX(AY57+IF($A58=AZ$4,1,-1),AZ57-1,AY58-1)</f>
        <v>-46</v>
      </c>
      <c r="BA58" s="2" t="n">
        <f aca="false">MAX(AZ57+IF($A58=BA$4,1,-1),BA57-1,AZ58-1)</f>
        <v>-46</v>
      </c>
      <c r="BB58" s="2" t="n">
        <f aca="false">MAX(BA57+IF($A58=BB$4,1,-1),BB57-1,BA58-1)</f>
        <v>-47</v>
      </c>
      <c r="BC58" s="2" t="n">
        <f aca="false">MAX(BB57+IF($A58=BC$4,1,-1),BC57-1,BB58-1)</f>
        <v>-47</v>
      </c>
      <c r="BD58" s="2" t="n">
        <f aca="false">MAX(BC57+IF($A58=BD$4,1,-1),BD57-1,BC58-1)</f>
        <v>-47</v>
      </c>
      <c r="BE58" s="2" t="n">
        <f aca="false">MAX(BD57+IF($A58=BE$4,1,-1),BE57-1,BD58-1)</f>
        <v>-47</v>
      </c>
      <c r="BF58" s="2" t="n">
        <f aca="false">MAX(BE57+IF($A58=BF$4,1,-1),BF57-1,BE58-1)</f>
        <v>-48</v>
      </c>
      <c r="BG58" s="2" t="n">
        <f aca="false">MAX(BF57+IF($A58=BG$4,1,-1),BG57-1,BF58-1)</f>
        <v>-49</v>
      </c>
      <c r="BH58" s="2" t="n">
        <f aca="false">MAX(BG57+IF($A58=BH$4,1,-1),BH57-1,BG58-1)</f>
        <v>-50</v>
      </c>
      <c r="BI58" s="2" t="n">
        <f aca="false">MAX(BH57+IF($A58=BI$4,1,-1),BI57-1,BH58-1)</f>
        <v>-51</v>
      </c>
      <c r="BJ58" s="2" t="n">
        <f aca="false">MAX(BI57+IF($A58=BJ$4,1,-1),BJ57-1,BI58-1)</f>
        <v>-52</v>
      </c>
      <c r="BK58" s="2" t="n">
        <f aca="false">MAX(BJ57+IF($A58=BK$4,1,-1),BK57-1,BJ58-1)</f>
        <v>-53</v>
      </c>
      <c r="BL58" s="2" t="n">
        <f aca="false">MAX(BK57+IF($A58=BL$4,1,-1),BL57-1,BK58-1)</f>
        <v>-54</v>
      </c>
      <c r="BM58" s="2" t="n">
        <f aca="false">MAX(BL57+IF($A58=BM$4,1,-1),BM57-1,BL58-1)</f>
        <v>-55</v>
      </c>
      <c r="BN58" s="2" t="n">
        <f aca="false">MAX(BM57+IF($A58=BN$4,1,-1),BN57-1,BM58-1)</f>
        <v>-56</v>
      </c>
      <c r="BO58" s="2" t="n">
        <f aca="false">MAX(BN57+IF($A58=BO$4,1,-1),BO57-1,BN58-1)</f>
        <v>-57</v>
      </c>
      <c r="BP58" s="2" t="n">
        <f aca="false">MAX(BO57+IF($A58=BP$4,1,-1),BP57-1,BO58-1)</f>
        <v>-58</v>
      </c>
      <c r="BQ58" s="2" t="n">
        <f aca="false">MAX(BP57+IF($A58=BQ$4,1,-1),BQ57-1,BP58-1)</f>
        <v>-59</v>
      </c>
      <c r="BR58" s="2" t="n">
        <f aca="false">MAX(BQ57+IF($A58=BR$4,1,-1),BR57-1,BQ58-1)</f>
        <v>-60</v>
      </c>
      <c r="BS58" s="2" t="n">
        <f aca="false">MAX(BR57+IF($A58=BS$4,1,-1),BS57-1,BR58-1)</f>
        <v>-61</v>
      </c>
      <c r="BT58" s="2" t="n">
        <f aca="false">MAX(BS57+IF($A58=BT$4,1,-1),BT57-1,BS58-1)</f>
        <v>-61</v>
      </c>
      <c r="BU58" s="2" t="n">
        <f aca="false">MAX(BT57+IF($A58=BU$4,1,-1),BU57-1,BT58-1)</f>
        <v>-61</v>
      </c>
      <c r="BV58" s="2" t="n">
        <f aca="false">MAX(BU57+IF($A58=BV$4,1,-1),BV57-1,BU58-1)</f>
        <v>-62</v>
      </c>
      <c r="BW58" s="2" t="n">
        <f aca="false">MAX(BV57+IF($A58=BW$4,1,-1),BW57-1,BV58-1)</f>
        <v>-63</v>
      </c>
      <c r="BX58" s="2" t="n">
        <f aca="false">MAX(BW57+IF($A58=BX$4,1,-1),BX57-1,BW58-1)</f>
        <v>-64</v>
      </c>
      <c r="BY58" s="2" t="n">
        <f aca="false">MAX(BX57+IF($A58=BY$4,1,-1),BY57-1,BX58-1)</f>
        <v>-65</v>
      </c>
      <c r="BZ58" s="2" t="n">
        <f aca="false">MAX(BY57+IF($A58=BZ$4,1,-1),BZ57-1,BY58-1)</f>
        <v>-66</v>
      </c>
      <c r="CA58" s="2" t="n">
        <f aca="false">MAX(BZ57+IF($A58=CA$4,1,-1),CA57-1,BZ58-1)</f>
        <v>-67</v>
      </c>
      <c r="CB58" s="2" t="n">
        <f aca="false">MAX(CA57+IF($A58=CB$4,1,-1),CB57-1,CA58-1)</f>
        <v>-68</v>
      </c>
      <c r="CC58" s="2" t="n">
        <f aca="false">MAX(CB57+IF($A58=CC$4,1,-1),CC57-1,CB58-1)</f>
        <v>-69</v>
      </c>
      <c r="CD58" s="2" t="n">
        <f aca="false">MAX(CC57+IF($A58=CD$4,1,-1),CD57-1,CC58-1)</f>
        <v>-69</v>
      </c>
      <c r="CE58" s="2" t="n">
        <f aca="false">MAX(CD57+IF($A58=CE$4,1,-1),CE57-1,CD58-1)</f>
        <v>-69</v>
      </c>
      <c r="CF58" s="2" t="n">
        <f aca="false">MAX(CE57+IF($A58=CF$4,1,-1),CF57-1,CE58-1)</f>
        <v>-70</v>
      </c>
      <c r="CG58" s="2" t="n">
        <f aca="false">MAX(CF57+IF($A58=CG$4,1,-1),CG57-1,CF58-1)</f>
        <v>-71</v>
      </c>
      <c r="CH58" s="2" t="n">
        <f aca="false">MAX(CG57+IF($A58=CH$4,1,-1),CH57-1,CG58-1)</f>
        <v>-72</v>
      </c>
      <c r="CI58" s="2" t="n">
        <f aca="false">MAX(CH57+IF($A58=CI$4,1,-1),CI57-1,CH58-1)</f>
        <v>-73</v>
      </c>
      <c r="CJ58" s="2" t="n">
        <f aca="false">MAX(CI57+IF($A58=CJ$4,1,-1),CJ57-1,CI58-1)</f>
        <v>-74</v>
      </c>
      <c r="CK58" s="2" t="n">
        <f aca="false">MAX(CJ57+IF($A58=CK$4,1,-1),CK57-1,CJ58-1)</f>
        <v>-75</v>
      </c>
      <c r="CL58" s="2" t="n">
        <f aca="false">MAX(CK57+IF($A58=CL$4,1,-1),CL57-1,CK58-1)</f>
        <v>-76</v>
      </c>
      <c r="CM58" s="2" t="n">
        <f aca="false">MAX(CL57+IF($A58=CM$4,1,-1),CM57-1,CL58-1)</f>
        <v>-77</v>
      </c>
      <c r="CN58" s="2" t="n">
        <f aca="false">MAX(CM57+IF($A58=CN$4,1,-1),CN57-1,CM58-1)</f>
        <v>-78</v>
      </c>
      <c r="CO58" s="2" t="n">
        <f aca="false">MAX(CN57+IF($A58=CO$4,1,-1),CO57-1,CN58-1)</f>
        <v>-79</v>
      </c>
      <c r="CP58" s="2" t="n">
        <f aca="false">MAX(CO57+IF($A58=CP$4,1,-1),CP57-1,CO58-1)</f>
        <v>-80</v>
      </c>
      <c r="CQ58" s="2" t="n">
        <f aca="false">MAX(CP57+IF($A58=CQ$4,1,-1),CQ57-1,CP58-1)</f>
        <v>-81</v>
      </c>
    </row>
    <row r="59" customFormat="false" ht="15" hidden="false" customHeight="false" outlineLevel="0" collapsed="false">
      <c r="A59" s="4" t="s">
        <v>99</v>
      </c>
      <c r="B59" s="12" t="n">
        <v>-54</v>
      </c>
      <c r="C59" s="2" t="n">
        <f aca="false">MAX(B58+IF($A59=C$4,1,-1),C58-1,B59-1)</f>
        <v>-54</v>
      </c>
      <c r="D59" s="2" t="n">
        <f aca="false">MAX(C58+IF($A59=D$4,1,-1),D58-1,C59-1)</f>
        <v>-52</v>
      </c>
      <c r="E59" s="2" t="n">
        <f aca="false">MAX(D58+IF($A59=E$4,1,-1),E58-1,D59-1)</f>
        <v>-50</v>
      </c>
      <c r="F59" s="2" t="n">
        <f aca="false">MAX(E58+IF($A59=F$4,1,-1),F58-1,E59-1)</f>
        <v>-48</v>
      </c>
      <c r="G59" s="2" t="n">
        <f aca="false">MAX(F58+IF($A59=G$4,1,-1),G58-1,F59-1)</f>
        <v>-48</v>
      </c>
      <c r="H59" s="2" t="n">
        <f aca="false">MAX(G58+IF($A59=H$4,1,-1),H58-1,G59-1)</f>
        <v>-48</v>
      </c>
      <c r="I59" s="2" t="n">
        <f aca="false">MAX(H58+IF($A59=I$4,1,-1),I58-1,H59-1)</f>
        <v>-48</v>
      </c>
      <c r="J59" s="2" t="n">
        <f aca="false">MAX(I58+IF($A59=J$4,1,-1),J58-1,I59-1)</f>
        <v>-48</v>
      </c>
      <c r="K59" s="2" t="n">
        <f aca="false">MAX(J58+IF($A59=K$4,1,-1),K58-1,J59-1)</f>
        <v>-47</v>
      </c>
      <c r="L59" s="2" t="n">
        <f aca="false">MAX(K58+IF($A59=L$4,1,-1),L58-1,K59-1)</f>
        <v>-47</v>
      </c>
      <c r="M59" s="2" t="n">
        <f aca="false">MAX(L58+IF($A59=M$4,1,-1),M58-1,L59-1)</f>
        <v>-47</v>
      </c>
      <c r="N59" s="2" t="n">
        <f aca="false">MAX(M58+IF($A59=N$4,1,-1),N58-1,M59-1)</f>
        <v>-45</v>
      </c>
      <c r="O59" s="2" t="n">
        <f aca="false">MAX(N58+IF($A59=O$4,1,-1),O58-1,N59-1)</f>
        <v>-44</v>
      </c>
      <c r="P59" s="2" t="n">
        <f aca="false">MAX(O58+IF($A59=P$4,1,-1),P58-1,O59-1)</f>
        <v>-44</v>
      </c>
      <c r="Q59" s="2" t="n">
        <f aca="false">MAX(P58+IF($A59=Q$4,1,-1),Q58-1,P59-1)</f>
        <v>-44</v>
      </c>
      <c r="R59" s="2" t="n">
        <f aca="false">MAX(Q58+IF($A59=R$4,1,-1),R58-1,Q59-1)</f>
        <v>-44</v>
      </c>
      <c r="S59" s="2" t="n">
        <f aca="false">MAX(R58+IF($A59=S$4,1,-1),S58-1,R59-1)</f>
        <v>-44</v>
      </c>
      <c r="T59" s="2" t="n">
        <f aca="false">MAX(S58+IF($A59=T$4,1,-1),T58-1,S59-1)</f>
        <v>-44</v>
      </c>
      <c r="U59" s="2" t="n">
        <f aca="false">MAX(T58+IF($A59=U$4,1,-1),U58-1,T59-1)</f>
        <v>-44</v>
      </c>
      <c r="V59" s="2" t="n">
        <f aca="false">MAX(U58+IF($A59=V$4,1,-1),V58-1,U59-1)</f>
        <v>-44</v>
      </c>
      <c r="W59" s="2" t="n">
        <f aca="false">MAX(V58+IF($A59=W$4,1,-1),W58-1,V59-1)</f>
        <v>-42</v>
      </c>
      <c r="X59" s="2" t="n">
        <f aca="false">MAX(W58+IF($A59=X$4,1,-1),X58-1,W59-1)</f>
        <v>-43</v>
      </c>
      <c r="Y59" s="2" t="n">
        <f aca="false">MAX(X58+IF($A59=Y$4,1,-1),Y58-1,X59-1)</f>
        <v>-44</v>
      </c>
      <c r="Z59" s="2" t="n">
        <f aca="false">MAX(Y58+IF($A59=Z$4,1,-1),Z58-1,Y59-1)</f>
        <v>-44</v>
      </c>
      <c r="AA59" s="2" t="n">
        <f aca="false">MAX(Z58+IF($A59=AA$4,1,-1),AA58-1,Z59-1)</f>
        <v>-44</v>
      </c>
      <c r="AB59" s="2" t="n">
        <f aca="false">MAX(AA58+IF($A59=AB$4,1,-1),AB58-1,AA59-1)</f>
        <v>-44</v>
      </c>
      <c r="AC59" s="2" t="n">
        <f aca="false">MAX(AB58+IF($A59=AC$4,1,-1),AC58-1,AB59-1)</f>
        <v>-44</v>
      </c>
      <c r="AD59" s="2" t="n">
        <f aca="false">MAX(AC58+IF($A59=AD$4,1,-1),AD58-1,AC59-1)</f>
        <v>-44</v>
      </c>
      <c r="AE59" s="2" t="n">
        <f aca="false">MAX(AD58+IF($A59=AE$4,1,-1),AE58-1,AD59-1)</f>
        <v>-44</v>
      </c>
      <c r="AF59" s="2" t="n">
        <f aca="false">MAX(AE58+IF($A59=AF$4,1,-1),AF58-1,AE59-1)</f>
        <v>-44</v>
      </c>
      <c r="AG59" s="2" t="n">
        <f aca="false">MAX(AF58+IF($A59=AG$4,1,-1),AG58-1,AF59-1)</f>
        <v>-44</v>
      </c>
      <c r="AH59" s="2" t="n">
        <f aca="false">MAX(AG58+IF($A59=AH$4,1,-1),AH58-1,AG59-1)</f>
        <v>-44</v>
      </c>
      <c r="AI59" s="2" t="n">
        <f aca="false">MAX(AH58+IF($A59=AI$4,1,-1),AI58-1,AH59-1)</f>
        <v>-44</v>
      </c>
      <c r="AJ59" s="2" t="n">
        <f aca="false">MAX(AI58+IF($A59=AJ$4,1,-1),AJ58-1,AI59-1)</f>
        <v>-44</v>
      </c>
      <c r="AK59" s="2" t="n">
        <f aca="false">MAX(AJ58+IF($A59=AK$4,1,-1),AK58-1,AJ59-1)</f>
        <v>-44</v>
      </c>
      <c r="AL59" s="2" t="n">
        <f aca="false">MAX(AK58+IF($A59=AL$4,1,-1),AL58-1,AK59-1)</f>
        <v>-44</v>
      </c>
      <c r="AM59" s="2" t="n">
        <f aca="false">MAX(AL58+IF($A59=AM$4,1,-1),AM58-1,AL59-1)</f>
        <v>-44</v>
      </c>
      <c r="AN59" s="2" t="n">
        <f aca="false">MAX(AM58+IF($A59=AN$4,1,-1),AN58-1,AM59-1)</f>
        <v>-44</v>
      </c>
      <c r="AO59" s="2" t="n">
        <f aca="false">MAX(AN58+IF($A59=AO$4,1,-1),AO58-1,AN59-1)</f>
        <v>-44</v>
      </c>
      <c r="AP59" s="2" t="n">
        <f aca="false">MAX(AO58+IF($A59=AP$4,1,-1),AP58-1,AO59-1)</f>
        <v>-44</v>
      </c>
      <c r="AQ59" s="2" t="n">
        <f aca="false">MAX(AP58+IF($A59=AQ$4,1,-1),AQ58-1,AP59-1)</f>
        <v>-44</v>
      </c>
      <c r="AR59" s="2" t="n">
        <f aca="false">MAX(AQ58+IF($A59=AR$4,1,-1),AR58-1,AQ59-1)</f>
        <v>-44</v>
      </c>
      <c r="AS59" s="2" t="n">
        <f aca="false">MAX(AR58+IF($A59=AS$4,1,-1),AS58-1,AR59-1)</f>
        <v>-44</v>
      </c>
      <c r="AT59" s="2" t="n">
        <f aca="false">MAX(AS58+IF($A59=AT$4,1,-1),AT58-1,AS59-1)</f>
        <v>-45</v>
      </c>
      <c r="AU59" s="2" t="n">
        <f aca="false">MAX(AT58+IF($A59=AU$4,1,-1),AU58-1,AT59-1)</f>
        <v>-46</v>
      </c>
      <c r="AV59" s="2" t="n">
        <f aca="false">MAX(AU58+IF($A59=AV$4,1,-1),AV58-1,AU59-1)</f>
        <v>-46</v>
      </c>
      <c r="AW59" s="2" t="n">
        <f aca="false">MAX(AV58+IF($A59=AW$4,1,-1),AW58-1,AV59-1)</f>
        <v>-46</v>
      </c>
      <c r="AX59" s="2" t="n">
        <f aca="false">MAX(AW58+IF($A59=AX$4,1,-1),AX58-1,AW59-1)</f>
        <v>-46</v>
      </c>
      <c r="AY59" s="2" t="n">
        <f aca="false">MAX(AX58+IF($A59=AY$4,1,-1),AY58-1,AX59-1)</f>
        <v>-46</v>
      </c>
      <c r="AZ59" s="2" t="n">
        <f aca="false">MAX(AY58+IF($A59=AZ$4,1,-1),AZ58-1,AY59-1)</f>
        <v>-47</v>
      </c>
      <c r="BA59" s="2" t="n">
        <f aca="false">MAX(AZ58+IF($A59=BA$4,1,-1),BA58-1,AZ59-1)</f>
        <v>-47</v>
      </c>
      <c r="BB59" s="2" t="n">
        <f aca="false">MAX(BA58+IF($A59=BB$4,1,-1),BB58-1,BA59-1)</f>
        <v>-47</v>
      </c>
      <c r="BC59" s="2" t="n">
        <f aca="false">MAX(BB58+IF($A59=BC$4,1,-1),BC58-1,BB59-1)</f>
        <v>-48</v>
      </c>
      <c r="BD59" s="2" t="n">
        <f aca="false">MAX(BC58+IF($A59=BD$4,1,-1),BD58-1,BC59-1)</f>
        <v>-48</v>
      </c>
      <c r="BE59" s="2" t="n">
        <f aca="false">MAX(BD58+IF($A59=BE$4,1,-1),BE58-1,BD59-1)</f>
        <v>-48</v>
      </c>
      <c r="BF59" s="2" t="n">
        <f aca="false">MAX(BE58+IF($A59=BF$4,1,-1),BF58-1,BE59-1)</f>
        <v>-48</v>
      </c>
      <c r="BG59" s="2" t="n">
        <f aca="false">MAX(BF58+IF($A59=BG$4,1,-1),BG58-1,BF59-1)</f>
        <v>-49</v>
      </c>
      <c r="BH59" s="2" t="n">
        <f aca="false">MAX(BG58+IF($A59=BH$4,1,-1),BH58-1,BG59-1)</f>
        <v>-50</v>
      </c>
      <c r="BI59" s="2" t="n">
        <f aca="false">MAX(BH58+IF($A59=BI$4,1,-1),BI58-1,BH59-1)</f>
        <v>-51</v>
      </c>
      <c r="BJ59" s="2" t="n">
        <f aca="false">MAX(BI58+IF($A59=BJ$4,1,-1),BJ58-1,BI59-1)</f>
        <v>-52</v>
      </c>
      <c r="BK59" s="2" t="n">
        <f aca="false">MAX(BJ58+IF($A59=BK$4,1,-1),BK58-1,BJ59-1)</f>
        <v>-53</v>
      </c>
      <c r="BL59" s="2" t="n">
        <f aca="false">MAX(BK58+IF($A59=BL$4,1,-1),BL58-1,BK59-1)</f>
        <v>-54</v>
      </c>
      <c r="BM59" s="2" t="n">
        <f aca="false">MAX(BL58+IF($A59=BM$4,1,-1),BM58-1,BL59-1)</f>
        <v>-55</v>
      </c>
      <c r="BN59" s="2" t="n">
        <f aca="false">MAX(BM58+IF($A59=BN$4,1,-1),BN58-1,BM59-1)</f>
        <v>-56</v>
      </c>
      <c r="BO59" s="2" t="n">
        <f aca="false">MAX(BN58+IF($A59=BO$4,1,-1),BO58-1,BN59-1)</f>
        <v>-57</v>
      </c>
      <c r="BP59" s="2" t="n">
        <f aca="false">MAX(BO58+IF($A59=BP$4,1,-1),BP58-1,BO59-1)</f>
        <v>-58</v>
      </c>
      <c r="BQ59" s="2" t="n">
        <f aca="false">MAX(BP58+IF($A59=BQ$4,1,-1),BQ58-1,BP59-1)</f>
        <v>-59</v>
      </c>
      <c r="BR59" s="2" t="n">
        <f aca="false">MAX(BQ58+IF($A59=BR$4,1,-1),BR58-1,BQ59-1)</f>
        <v>-60</v>
      </c>
      <c r="BS59" s="2" t="n">
        <f aca="false">MAX(BR58+IF($A59=BS$4,1,-1),BS58-1,BR59-1)</f>
        <v>-61</v>
      </c>
      <c r="BT59" s="2" t="n">
        <f aca="false">MAX(BS58+IF($A59=BT$4,1,-1),BT58-1,BS59-1)</f>
        <v>-62</v>
      </c>
      <c r="BU59" s="2" t="n">
        <f aca="false">MAX(BT58+IF($A59=BU$4,1,-1),BU58-1,BT59-1)</f>
        <v>-62</v>
      </c>
      <c r="BV59" s="2" t="n">
        <f aca="false">MAX(BU58+IF($A59=BV$4,1,-1),BV58-1,BU59-1)</f>
        <v>-62</v>
      </c>
      <c r="BW59" s="2" t="n">
        <f aca="false">MAX(BV58+IF($A59=BW$4,1,-1),BW58-1,BV59-1)</f>
        <v>-63</v>
      </c>
      <c r="BX59" s="2" t="n">
        <f aca="false">MAX(BW58+IF($A59=BX$4,1,-1),BX58-1,BW59-1)</f>
        <v>-64</v>
      </c>
      <c r="BY59" s="2" t="n">
        <f aca="false">MAX(BX58+IF($A59=BY$4,1,-1),BY58-1,BX59-1)</f>
        <v>-65</v>
      </c>
      <c r="BZ59" s="2" t="n">
        <f aca="false">MAX(BY58+IF($A59=BZ$4,1,-1),BZ58-1,BY59-1)</f>
        <v>-66</v>
      </c>
      <c r="CA59" s="2" t="n">
        <f aca="false">MAX(BZ58+IF($A59=CA$4,1,-1),CA58-1,BZ59-1)</f>
        <v>-67</v>
      </c>
      <c r="CB59" s="2" t="n">
        <f aca="false">MAX(CA58+IF($A59=CB$4,1,-1),CB58-1,CA59-1)</f>
        <v>-68</v>
      </c>
      <c r="CC59" s="2" t="n">
        <f aca="false">MAX(CB58+IF($A59=CC$4,1,-1),CC58-1,CB59-1)</f>
        <v>-69</v>
      </c>
      <c r="CD59" s="2" t="n">
        <f aca="false">MAX(CC58+IF($A59=CD$4,1,-1),CD58-1,CC59-1)</f>
        <v>-70</v>
      </c>
      <c r="CE59" s="2" t="n">
        <f aca="false">MAX(CD58+IF($A59=CE$4,1,-1),CE58-1,CD59-1)</f>
        <v>-70</v>
      </c>
      <c r="CF59" s="2" t="n">
        <f aca="false">MAX(CE58+IF($A59=CF$4,1,-1),CF58-1,CE59-1)</f>
        <v>-70</v>
      </c>
      <c r="CG59" s="2" t="n">
        <f aca="false">MAX(CF58+IF($A59=CG$4,1,-1),CG58-1,CF59-1)</f>
        <v>-71</v>
      </c>
      <c r="CH59" s="2" t="n">
        <f aca="false">MAX(CG58+IF($A59=CH$4,1,-1),CH58-1,CG59-1)</f>
        <v>-72</v>
      </c>
      <c r="CI59" s="2" t="n">
        <f aca="false">MAX(CH58+IF($A59=CI$4,1,-1),CI58-1,CH59-1)</f>
        <v>-73</v>
      </c>
      <c r="CJ59" s="2" t="n">
        <f aca="false">MAX(CI58+IF($A59=CJ$4,1,-1),CJ58-1,CI59-1)</f>
        <v>-74</v>
      </c>
      <c r="CK59" s="2" t="n">
        <f aca="false">MAX(CJ58+IF($A59=CK$4,1,-1),CK58-1,CJ59-1)</f>
        <v>-75</v>
      </c>
      <c r="CL59" s="2" t="n">
        <f aca="false">MAX(CK58+IF($A59=CL$4,1,-1),CL58-1,CK59-1)</f>
        <v>-76</v>
      </c>
      <c r="CM59" s="2" t="n">
        <f aca="false">MAX(CL58+IF($A59=CM$4,1,-1),CM58-1,CL59-1)</f>
        <v>-77</v>
      </c>
      <c r="CN59" s="2" t="n">
        <f aca="false">MAX(CM58+IF($A59=CN$4,1,-1),CN58-1,CM59-1)</f>
        <v>-78</v>
      </c>
      <c r="CO59" s="2" t="n">
        <f aca="false">MAX(CN58+IF($A59=CO$4,1,-1),CO58-1,CN59-1)</f>
        <v>-79</v>
      </c>
      <c r="CP59" s="2" t="n">
        <f aca="false">MAX(CO58+IF($A59=CP$4,1,-1),CP58-1,CO59-1)</f>
        <v>-80</v>
      </c>
      <c r="CQ59" s="2" t="n">
        <f aca="false">MAX(CP58+IF($A59=CQ$4,1,-1),CQ58-1,CP59-1)</f>
        <v>-81</v>
      </c>
    </row>
    <row r="60" customFormat="false" ht="15" hidden="false" customHeight="false" outlineLevel="0" collapsed="false">
      <c r="A60" s="4" t="s">
        <v>179</v>
      </c>
      <c r="B60" s="12" t="n">
        <v>-55</v>
      </c>
      <c r="C60" s="2" t="n">
        <f aca="false">MAX(B59+IF($A60=C$4,1,-1),C59-1,B60-1)</f>
        <v>-55</v>
      </c>
      <c r="D60" s="2" t="n">
        <f aca="false">MAX(C59+IF($A60=D$4,1,-1),D59-1,C60-1)</f>
        <v>-53</v>
      </c>
      <c r="E60" s="2" t="n">
        <f aca="false">MAX(D59+IF($A60=E$4,1,-1),E59-1,D60-1)</f>
        <v>-51</v>
      </c>
      <c r="F60" s="2" t="n">
        <f aca="false">MAX(E59+IF($A60=F$4,1,-1),F59-1,E60-1)</f>
        <v>-49</v>
      </c>
      <c r="G60" s="2" t="n">
        <f aca="false">MAX(F59+IF($A60=G$4,1,-1),G59-1,F60-1)</f>
        <v>-49</v>
      </c>
      <c r="H60" s="2" t="n">
        <f aca="false">MAX(G59+IF($A60=H$4,1,-1),H59-1,G60-1)</f>
        <v>-49</v>
      </c>
      <c r="I60" s="2" t="n">
        <f aca="false">MAX(H59+IF($A60=I$4,1,-1),I59-1,H60-1)</f>
        <v>-49</v>
      </c>
      <c r="J60" s="2" t="n">
        <f aca="false">MAX(I59+IF($A60=J$4,1,-1),J59-1,I60-1)</f>
        <v>-49</v>
      </c>
      <c r="K60" s="2" t="n">
        <f aca="false">MAX(J59+IF($A60=K$4,1,-1),K59-1,J60-1)</f>
        <v>-48</v>
      </c>
      <c r="L60" s="2" t="n">
        <f aca="false">MAX(K59+IF($A60=L$4,1,-1),L59-1,K60-1)</f>
        <v>-48</v>
      </c>
      <c r="M60" s="2" t="n">
        <f aca="false">MAX(L59+IF($A60=M$4,1,-1),M59-1,L60-1)</f>
        <v>-48</v>
      </c>
      <c r="N60" s="2" t="n">
        <f aca="false">MAX(M59+IF($A60=N$4,1,-1),N59-1,M60-1)</f>
        <v>-46</v>
      </c>
      <c r="O60" s="2" t="n">
        <f aca="false">MAX(N59+IF($A60=O$4,1,-1),O59-1,N60-1)</f>
        <v>-45</v>
      </c>
      <c r="P60" s="2" t="n">
        <f aca="false">MAX(O59+IF($A60=P$4,1,-1),P59-1,O60-1)</f>
        <v>-45</v>
      </c>
      <c r="Q60" s="2" t="n">
        <f aca="false">MAX(P59+IF($A60=Q$4,1,-1),Q59-1,P60-1)</f>
        <v>-45</v>
      </c>
      <c r="R60" s="2" t="n">
        <f aca="false">MAX(Q59+IF($A60=R$4,1,-1),R59-1,Q60-1)</f>
        <v>-45</v>
      </c>
      <c r="S60" s="2" t="n">
        <f aca="false">MAX(R59+IF($A60=S$4,1,-1),S59-1,R60-1)</f>
        <v>-45</v>
      </c>
      <c r="T60" s="2" t="n">
        <f aca="false">MAX(S59+IF($A60=T$4,1,-1),T59-1,S60-1)</f>
        <v>-45</v>
      </c>
      <c r="U60" s="2" t="n">
        <f aca="false">MAX(T59+IF($A60=U$4,1,-1),U59-1,T60-1)</f>
        <v>-45</v>
      </c>
      <c r="V60" s="2" t="n">
        <f aca="false">MAX(U59+IF($A60=V$4,1,-1),V59-1,U60-1)</f>
        <v>-45</v>
      </c>
      <c r="W60" s="2" t="n">
        <f aca="false">MAX(V59+IF($A60=W$4,1,-1),W59-1,V60-1)</f>
        <v>-43</v>
      </c>
      <c r="X60" s="2" t="n">
        <f aca="false">MAX(W59+IF($A60=X$4,1,-1),X59-1,W60-1)</f>
        <v>-43</v>
      </c>
      <c r="Y60" s="2" t="n">
        <f aca="false">MAX(X59+IF($A60=Y$4,1,-1),Y59-1,X60-1)</f>
        <v>-44</v>
      </c>
      <c r="Z60" s="2" t="n">
        <f aca="false">MAX(Y59+IF($A60=Z$4,1,-1),Z59-1,Y60-1)</f>
        <v>-45</v>
      </c>
      <c r="AA60" s="2" t="n">
        <f aca="false">MAX(Z59+IF($A60=AA$4,1,-1),AA59-1,Z60-1)</f>
        <v>-45</v>
      </c>
      <c r="AB60" s="2" t="n">
        <f aca="false">MAX(AA59+IF($A60=AB$4,1,-1),AB59-1,AA60-1)</f>
        <v>-45</v>
      </c>
      <c r="AC60" s="2" t="n">
        <f aca="false">MAX(AB59+IF($A60=AC$4,1,-1),AC59-1,AB60-1)</f>
        <v>-45</v>
      </c>
      <c r="AD60" s="2" t="n">
        <f aca="false">MAX(AC59+IF($A60=AD$4,1,-1),AD59-1,AC60-1)</f>
        <v>-45</v>
      </c>
      <c r="AE60" s="2" t="n">
        <f aca="false">MAX(AD59+IF($A60=AE$4,1,-1),AE59-1,AD60-1)</f>
        <v>-45</v>
      </c>
      <c r="AF60" s="2" t="n">
        <f aca="false">MAX(AE59+IF($A60=AF$4,1,-1),AF59-1,AE60-1)</f>
        <v>-45</v>
      </c>
      <c r="AG60" s="2" t="n">
        <f aca="false">MAX(AF59+IF($A60=AG$4,1,-1),AG59-1,AF60-1)</f>
        <v>-45</v>
      </c>
      <c r="AH60" s="2" t="n">
        <f aca="false">MAX(AG59+IF($A60=AH$4,1,-1),AH59-1,AG60-1)</f>
        <v>-45</v>
      </c>
      <c r="AI60" s="2" t="n">
        <f aca="false">MAX(AH59+IF($A60=AI$4,1,-1),AI59-1,AH60-1)</f>
        <v>-45</v>
      </c>
      <c r="AJ60" s="2" t="n">
        <f aca="false">MAX(AI59+IF($A60=AJ$4,1,-1),AJ59-1,AI60-1)</f>
        <v>-45</v>
      </c>
      <c r="AK60" s="2" t="n">
        <f aca="false">MAX(AJ59+IF($A60=AK$4,1,-1),AK59-1,AJ60-1)</f>
        <v>-45</v>
      </c>
      <c r="AL60" s="2" t="n">
        <f aca="false">MAX(AK59+IF($A60=AL$4,1,-1),AL59-1,AK60-1)</f>
        <v>-45</v>
      </c>
      <c r="AM60" s="2" t="n">
        <f aca="false">MAX(AL59+IF($A60=AM$4,1,-1),AM59-1,AL60-1)</f>
        <v>-45</v>
      </c>
      <c r="AN60" s="2" t="n">
        <f aca="false">MAX(AM59+IF($A60=AN$4,1,-1),AN59-1,AM60-1)</f>
        <v>-45</v>
      </c>
      <c r="AO60" s="2" t="n">
        <f aca="false">MAX(AN59+IF($A60=AO$4,1,-1),AO59-1,AN60-1)</f>
        <v>-45</v>
      </c>
      <c r="AP60" s="2" t="n">
        <f aca="false">MAX(AO59+IF($A60=AP$4,1,-1),AP59-1,AO60-1)</f>
        <v>-45</v>
      </c>
      <c r="AQ60" s="2" t="n">
        <f aca="false">MAX(AP59+IF($A60=AQ$4,1,-1),AQ59-1,AP60-1)</f>
        <v>-45</v>
      </c>
      <c r="AR60" s="2" t="n">
        <f aca="false">MAX(AQ59+IF($A60=AR$4,1,-1),AR59-1,AQ60-1)</f>
        <v>-45</v>
      </c>
      <c r="AS60" s="2" t="n">
        <f aca="false">MAX(AR59+IF($A60=AS$4,1,-1),AS59-1,AR60-1)</f>
        <v>-45</v>
      </c>
      <c r="AT60" s="2" t="n">
        <f aca="false">MAX(AS59+IF($A60=AT$4,1,-1),AT59-1,AS60-1)</f>
        <v>-45</v>
      </c>
      <c r="AU60" s="2" t="n">
        <f aca="false">MAX(AT59+IF($A60=AU$4,1,-1),AU59-1,AT60-1)</f>
        <v>-46</v>
      </c>
      <c r="AV60" s="2" t="n">
        <f aca="false">MAX(AU59+IF($A60=AV$4,1,-1),AV59-1,AU60-1)</f>
        <v>-47</v>
      </c>
      <c r="AW60" s="2" t="n">
        <f aca="false">MAX(AV59+IF($A60=AW$4,1,-1),AW59-1,AV60-1)</f>
        <v>-47</v>
      </c>
      <c r="AX60" s="2" t="n">
        <f aca="false">MAX(AW59+IF($A60=AX$4,1,-1),AX59-1,AW60-1)</f>
        <v>-47</v>
      </c>
      <c r="AY60" s="2" t="n">
        <f aca="false">MAX(AX59+IF($A60=AY$4,1,-1),AY59-1,AX60-1)</f>
        <v>-47</v>
      </c>
      <c r="AZ60" s="2" t="n">
        <f aca="false">MAX(AY59+IF($A60=AZ$4,1,-1),AZ59-1,AY60-1)</f>
        <v>-47</v>
      </c>
      <c r="BA60" s="2" t="n">
        <f aca="false">MAX(AZ59+IF($A60=BA$4,1,-1),BA59-1,AZ60-1)</f>
        <v>-48</v>
      </c>
      <c r="BB60" s="2" t="n">
        <f aca="false">MAX(BA59+IF($A60=BB$4,1,-1),BB59-1,BA60-1)</f>
        <v>-48</v>
      </c>
      <c r="BC60" s="2" t="n">
        <f aca="false">MAX(BB59+IF($A60=BC$4,1,-1),BC59-1,BB60-1)</f>
        <v>-48</v>
      </c>
      <c r="BD60" s="2" t="n">
        <f aca="false">MAX(BC59+IF($A60=BD$4,1,-1),BD59-1,BC60-1)</f>
        <v>-49</v>
      </c>
      <c r="BE60" s="2" t="n">
        <f aca="false">MAX(BD59+IF($A60=BE$4,1,-1),BE59-1,BD60-1)</f>
        <v>-49</v>
      </c>
      <c r="BF60" s="2" t="n">
        <f aca="false">MAX(BE59+IF($A60=BF$4,1,-1),BF59-1,BE60-1)</f>
        <v>-49</v>
      </c>
      <c r="BG60" s="2" t="n">
        <f aca="false">MAX(BF59+IF($A60=BG$4,1,-1),BG59-1,BF60-1)</f>
        <v>-49</v>
      </c>
      <c r="BH60" s="2" t="n">
        <f aca="false">MAX(BG59+IF($A60=BH$4,1,-1),BH59-1,BG60-1)</f>
        <v>-50</v>
      </c>
      <c r="BI60" s="2" t="n">
        <f aca="false">MAX(BH59+IF($A60=BI$4,1,-1),BI59-1,BH60-1)</f>
        <v>-51</v>
      </c>
      <c r="BJ60" s="2" t="n">
        <f aca="false">MAX(BI59+IF($A60=BJ$4,1,-1),BJ59-1,BI60-1)</f>
        <v>-52</v>
      </c>
      <c r="BK60" s="2" t="n">
        <f aca="false">MAX(BJ59+IF($A60=BK$4,1,-1),BK59-1,BJ60-1)</f>
        <v>-53</v>
      </c>
      <c r="BL60" s="2" t="n">
        <f aca="false">MAX(BK59+IF($A60=BL$4,1,-1),BL59-1,BK60-1)</f>
        <v>-54</v>
      </c>
      <c r="BM60" s="2" t="n">
        <f aca="false">MAX(BL59+IF($A60=BM$4,1,-1),BM59-1,BL60-1)</f>
        <v>-55</v>
      </c>
      <c r="BN60" s="2" t="n">
        <f aca="false">MAX(BM59+IF($A60=BN$4,1,-1),BN59-1,BM60-1)</f>
        <v>-56</v>
      </c>
      <c r="BO60" s="2" t="n">
        <f aca="false">MAX(BN59+IF($A60=BO$4,1,-1),BO59-1,BN60-1)</f>
        <v>-57</v>
      </c>
      <c r="BP60" s="2" t="n">
        <f aca="false">MAX(BO59+IF($A60=BP$4,1,-1),BP59-1,BO60-1)</f>
        <v>-58</v>
      </c>
      <c r="BQ60" s="2" t="n">
        <f aca="false">MAX(BP59+IF($A60=BQ$4,1,-1),BQ59-1,BP60-1)</f>
        <v>-59</v>
      </c>
      <c r="BR60" s="2" t="n">
        <f aca="false">MAX(BQ59+IF($A60=BR$4,1,-1),BR59-1,BQ60-1)</f>
        <v>-60</v>
      </c>
      <c r="BS60" s="2" t="n">
        <f aca="false">MAX(BR59+IF($A60=BS$4,1,-1),BS59-1,BR60-1)</f>
        <v>-61</v>
      </c>
      <c r="BT60" s="2" t="n">
        <f aca="false">MAX(BS59+IF($A60=BT$4,1,-1),BT59-1,BS60-1)</f>
        <v>-62</v>
      </c>
      <c r="BU60" s="2" t="n">
        <f aca="false">MAX(BT59+IF($A60=BU$4,1,-1),BU59-1,BT60-1)</f>
        <v>-63</v>
      </c>
      <c r="BV60" s="2" t="n">
        <f aca="false">MAX(BU59+IF($A60=BV$4,1,-1),BV59-1,BU60-1)</f>
        <v>-63</v>
      </c>
      <c r="BW60" s="2" t="n">
        <f aca="false">MAX(BV59+IF($A60=BW$4,1,-1),BW59-1,BV60-1)</f>
        <v>-63</v>
      </c>
      <c r="BX60" s="2" t="n">
        <f aca="false">MAX(BW59+IF($A60=BX$4,1,-1),BX59-1,BW60-1)</f>
        <v>-64</v>
      </c>
      <c r="BY60" s="2" t="n">
        <f aca="false">MAX(BX59+IF($A60=BY$4,1,-1),BY59-1,BX60-1)</f>
        <v>-65</v>
      </c>
      <c r="BZ60" s="2" t="n">
        <f aca="false">MAX(BY59+IF($A60=BZ$4,1,-1),BZ59-1,BY60-1)</f>
        <v>-66</v>
      </c>
      <c r="CA60" s="2" t="n">
        <f aca="false">MAX(BZ59+IF($A60=CA$4,1,-1),CA59-1,BZ60-1)</f>
        <v>-67</v>
      </c>
      <c r="CB60" s="2" t="n">
        <f aca="false">MAX(CA59+IF($A60=CB$4,1,-1),CB59-1,CA60-1)</f>
        <v>-68</v>
      </c>
      <c r="CC60" s="2" t="n">
        <f aca="false">MAX(CB59+IF($A60=CC$4,1,-1),CC59-1,CB60-1)</f>
        <v>-69</v>
      </c>
      <c r="CD60" s="2" t="n">
        <f aca="false">MAX(CC59+IF($A60=CD$4,1,-1),CD59-1,CC60-1)</f>
        <v>-70</v>
      </c>
      <c r="CE60" s="2" t="n">
        <f aca="false">MAX(CD59+IF($A60=CE$4,1,-1),CE59-1,CD60-1)</f>
        <v>-71</v>
      </c>
      <c r="CF60" s="2" t="n">
        <f aca="false">MAX(CE59+IF($A60=CF$4,1,-1),CF59-1,CE60-1)</f>
        <v>-71</v>
      </c>
      <c r="CG60" s="2" t="n">
        <f aca="false">MAX(CF59+IF($A60=CG$4,1,-1),CG59-1,CF60-1)</f>
        <v>-71</v>
      </c>
      <c r="CH60" s="2" t="n">
        <f aca="false">MAX(CG59+IF($A60=CH$4,1,-1),CH59-1,CG60-1)</f>
        <v>-72</v>
      </c>
      <c r="CI60" s="2" t="n">
        <f aca="false">MAX(CH59+IF($A60=CI$4,1,-1),CI59-1,CH60-1)</f>
        <v>-73</v>
      </c>
      <c r="CJ60" s="2" t="n">
        <f aca="false">MAX(CI59+IF($A60=CJ$4,1,-1),CJ59-1,CI60-1)</f>
        <v>-74</v>
      </c>
      <c r="CK60" s="2" t="n">
        <f aca="false">MAX(CJ59+IF($A60=CK$4,1,-1),CK59-1,CJ60-1)</f>
        <v>-75</v>
      </c>
      <c r="CL60" s="2" t="n">
        <f aca="false">MAX(CK59+IF($A60=CL$4,1,-1),CL59-1,CK60-1)</f>
        <v>-76</v>
      </c>
      <c r="CM60" s="2" t="n">
        <f aca="false">MAX(CL59+IF($A60=CM$4,1,-1),CM59-1,CL60-1)</f>
        <v>-77</v>
      </c>
      <c r="CN60" s="2" t="n">
        <f aca="false">MAX(CM59+IF($A60=CN$4,1,-1),CN59-1,CM60-1)</f>
        <v>-78</v>
      </c>
      <c r="CO60" s="2" t="n">
        <f aca="false">MAX(CN59+IF($A60=CO$4,1,-1),CO59-1,CN60-1)</f>
        <v>-79</v>
      </c>
      <c r="CP60" s="2" t="n">
        <f aca="false">MAX(CO59+IF($A60=CP$4,1,-1),CP59-1,CO60-1)</f>
        <v>-80</v>
      </c>
      <c r="CQ60" s="2" t="n">
        <f aca="false">MAX(CP59+IF($A60=CQ$4,1,-1),CQ59-1,CP60-1)</f>
        <v>-81</v>
      </c>
    </row>
    <row r="61" customFormat="false" ht="15" hidden="false" customHeight="false" outlineLevel="0" collapsed="false">
      <c r="A61" s="4" t="s">
        <v>180</v>
      </c>
      <c r="B61" s="12" t="n">
        <v>-56</v>
      </c>
      <c r="C61" s="2" t="n">
        <f aca="false">MAX(B60+IF($A61=C$4,1,-1),C60-1,B61-1)</f>
        <v>-56</v>
      </c>
      <c r="D61" s="2" t="n">
        <f aca="false">MAX(C60+IF($A61=D$4,1,-1),D60-1,C61-1)</f>
        <v>-54</v>
      </c>
      <c r="E61" s="2" t="n">
        <f aca="false">MAX(D60+IF($A61=E$4,1,-1),E60-1,D61-1)</f>
        <v>-52</v>
      </c>
      <c r="F61" s="2" t="n">
        <f aca="false">MAX(E60+IF($A61=F$4,1,-1),F60-1,E61-1)</f>
        <v>-50</v>
      </c>
      <c r="G61" s="2" t="n">
        <f aca="false">MAX(F60+IF($A61=G$4,1,-1),G60-1,F61-1)</f>
        <v>-50</v>
      </c>
      <c r="H61" s="2" t="n">
        <f aca="false">MAX(G60+IF($A61=H$4,1,-1),H60-1,G61-1)</f>
        <v>-50</v>
      </c>
      <c r="I61" s="2" t="n">
        <f aca="false">MAX(H60+IF($A61=I$4,1,-1),I60-1,H61-1)</f>
        <v>-50</v>
      </c>
      <c r="J61" s="2" t="n">
        <f aca="false">MAX(I60+IF($A61=J$4,1,-1),J60-1,I61-1)</f>
        <v>-50</v>
      </c>
      <c r="K61" s="2" t="n">
        <f aca="false">MAX(J60+IF($A61=K$4,1,-1),K60-1,J61-1)</f>
        <v>-49</v>
      </c>
      <c r="L61" s="2" t="n">
        <f aca="false">MAX(K60+IF($A61=L$4,1,-1),L60-1,K61-1)</f>
        <v>-49</v>
      </c>
      <c r="M61" s="2" t="n">
        <f aca="false">MAX(L60+IF($A61=M$4,1,-1),M60-1,L61-1)</f>
        <v>-49</v>
      </c>
      <c r="N61" s="2" t="n">
        <f aca="false">MAX(M60+IF($A61=N$4,1,-1),N60-1,M61-1)</f>
        <v>-47</v>
      </c>
      <c r="O61" s="2" t="n">
        <f aca="false">MAX(N60+IF($A61=O$4,1,-1),O60-1,N61-1)</f>
        <v>-46</v>
      </c>
      <c r="P61" s="2" t="n">
        <f aca="false">MAX(O60+IF($A61=P$4,1,-1),P60-1,O61-1)</f>
        <v>-46</v>
      </c>
      <c r="Q61" s="2" t="n">
        <f aca="false">MAX(P60+IF($A61=Q$4,1,-1),Q60-1,P61-1)</f>
        <v>-46</v>
      </c>
      <c r="R61" s="2" t="n">
        <f aca="false">MAX(Q60+IF($A61=R$4,1,-1),R60-1,Q61-1)</f>
        <v>-46</v>
      </c>
      <c r="S61" s="2" t="n">
        <f aca="false">MAX(R60+IF($A61=S$4,1,-1),S60-1,R61-1)</f>
        <v>-46</v>
      </c>
      <c r="T61" s="2" t="n">
        <f aca="false">MAX(S60+IF($A61=T$4,1,-1),T60-1,S61-1)</f>
        <v>-46</v>
      </c>
      <c r="U61" s="2" t="n">
        <f aca="false">MAX(T60+IF($A61=U$4,1,-1),U60-1,T61-1)</f>
        <v>-46</v>
      </c>
      <c r="V61" s="2" t="n">
        <f aca="false">MAX(U60+IF($A61=V$4,1,-1),V60-1,U61-1)</f>
        <v>-46</v>
      </c>
      <c r="W61" s="2" t="n">
        <f aca="false">MAX(V60+IF($A61=W$4,1,-1),W60-1,V61-1)</f>
        <v>-44</v>
      </c>
      <c r="X61" s="2" t="n">
        <f aca="false">MAX(W60+IF($A61=X$4,1,-1),X60-1,W61-1)</f>
        <v>-44</v>
      </c>
      <c r="Y61" s="2" t="n">
        <f aca="false">MAX(X60+IF($A61=Y$4,1,-1),Y60-1,X61-1)</f>
        <v>-44</v>
      </c>
      <c r="Z61" s="2" t="n">
        <f aca="false">MAX(Y60+IF($A61=Z$4,1,-1),Z60-1,Y61-1)</f>
        <v>-45</v>
      </c>
      <c r="AA61" s="2" t="n">
        <f aca="false">MAX(Z60+IF($A61=AA$4,1,-1),AA60-1,Z61-1)</f>
        <v>-46</v>
      </c>
      <c r="AB61" s="2" t="n">
        <f aca="false">MAX(AA60+IF($A61=AB$4,1,-1),AB60-1,AA61-1)</f>
        <v>-46</v>
      </c>
      <c r="AC61" s="2" t="n">
        <f aca="false">MAX(AB60+IF($A61=AC$4,1,-1),AC60-1,AB61-1)</f>
        <v>-46</v>
      </c>
      <c r="AD61" s="2" t="n">
        <f aca="false">MAX(AC60+IF($A61=AD$4,1,-1),AD60-1,AC61-1)</f>
        <v>-46</v>
      </c>
      <c r="AE61" s="2" t="n">
        <f aca="false">MAX(AD60+IF($A61=AE$4,1,-1),AE60-1,AD61-1)</f>
        <v>-46</v>
      </c>
      <c r="AF61" s="2" t="n">
        <f aca="false">MAX(AE60+IF($A61=AF$4,1,-1),AF60-1,AE61-1)</f>
        <v>-46</v>
      </c>
      <c r="AG61" s="2" t="n">
        <f aca="false">MAX(AF60+IF($A61=AG$4,1,-1),AG60-1,AF61-1)</f>
        <v>-46</v>
      </c>
      <c r="AH61" s="2" t="n">
        <f aca="false">MAX(AG60+IF($A61=AH$4,1,-1),AH60-1,AG61-1)</f>
        <v>-46</v>
      </c>
      <c r="AI61" s="2" t="n">
        <f aca="false">MAX(AH60+IF($A61=AI$4,1,-1),AI60-1,AH61-1)</f>
        <v>-46</v>
      </c>
      <c r="AJ61" s="2" t="n">
        <f aca="false">MAX(AI60+IF($A61=AJ$4,1,-1),AJ60-1,AI61-1)</f>
        <v>-46</v>
      </c>
      <c r="AK61" s="2" t="n">
        <f aca="false">MAX(AJ60+IF($A61=AK$4,1,-1),AK60-1,AJ61-1)</f>
        <v>-46</v>
      </c>
      <c r="AL61" s="2" t="n">
        <f aca="false">MAX(AK60+IF($A61=AL$4,1,-1),AL60-1,AK61-1)</f>
        <v>-46</v>
      </c>
      <c r="AM61" s="2" t="n">
        <f aca="false">MAX(AL60+IF($A61=AM$4,1,-1),AM60-1,AL61-1)</f>
        <v>-46</v>
      </c>
      <c r="AN61" s="2" t="n">
        <f aca="false">MAX(AM60+IF($A61=AN$4,1,-1),AN60-1,AM61-1)</f>
        <v>-46</v>
      </c>
      <c r="AO61" s="2" t="n">
        <f aca="false">MAX(AN60+IF($A61=AO$4,1,-1),AO60-1,AN61-1)</f>
        <v>-46</v>
      </c>
      <c r="AP61" s="2" t="n">
        <f aca="false">MAX(AO60+IF($A61=AP$4,1,-1),AP60-1,AO61-1)</f>
        <v>-46</v>
      </c>
      <c r="AQ61" s="2" t="n">
        <f aca="false">MAX(AP60+IF($A61=AQ$4,1,-1),AQ60-1,AP61-1)</f>
        <v>-46</v>
      </c>
      <c r="AR61" s="2" t="n">
        <f aca="false">MAX(AQ60+IF($A61=AR$4,1,-1),AR60-1,AQ61-1)</f>
        <v>-46</v>
      </c>
      <c r="AS61" s="2" t="n">
        <f aca="false">MAX(AR60+IF($A61=AS$4,1,-1),AS60-1,AR61-1)</f>
        <v>-46</v>
      </c>
      <c r="AT61" s="2" t="n">
        <f aca="false">MAX(AS60+IF($A61=AT$4,1,-1),AT60-1,AS61-1)</f>
        <v>-46</v>
      </c>
      <c r="AU61" s="2" t="n">
        <f aca="false">MAX(AT60+IF($A61=AU$4,1,-1),AU60-1,AT61-1)</f>
        <v>-46</v>
      </c>
      <c r="AV61" s="2" t="n">
        <f aca="false">MAX(AU60+IF($A61=AV$4,1,-1),AV60-1,AU61-1)</f>
        <v>-47</v>
      </c>
      <c r="AW61" s="2" t="n">
        <f aca="false">MAX(AV60+IF($A61=AW$4,1,-1),AW60-1,AV61-1)</f>
        <v>-48</v>
      </c>
      <c r="AX61" s="2" t="n">
        <f aca="false">MAX(AW60+IF($A61=AX$4,1,-1),AX60-1,AW61-1)</f>
        <v>-48</v>
      </c>
      <c r="AY61" s="2" t="n">
        <f aca="false">MAX(AX60+IF($A61=AY$4,1,-1),AY60-1,AX61-1)</f>
        <v>-48</v>
      </c>
      <c r="AZ61" s="2" t="n">
        <f aca="false">MAX(AY60+IF($A61=AZ$4,1,-1),AZ60-1,AY61-1)</f>
        <v>-48</v>
      </c>
      <c r="BA61" s="2" t="n">
        <f aca="false">MAX(AZ60+IF($A61=BA$4,1,-1),BA60-1,AZ61-1)</f>
        <v>-48</v>
      </c>
      <c r="BB61" s="2" t="n">
        <f aca="false">MAX(BA60+IF($A61=BB$4,1,-1),BB60-1,BA61-1)</f>
        <v>-49</v>
      </c>
      <c r="BC61" s="2" t="n">
        <f aca="false">MAX(BB60+IF($A61=BC$4,1,-1),BC60-1,BB61-1)</f>
        <v>-49</v>
      </c>
      <c r="BD61" s="2" t="n">
        <f aca="false">MAX(BC60+IF($A61=BD$4,1,-1),BD60-1,BC61-1)</f>
        <v>-49</v>
      </c>
      <c r="BE61" s="2" t="n">
        <f aca="false">MAX(BD60+IF($A61=BE$4,1,-1),BE60-1,BD61-1)</f>
        <v>-50</v>
      </c>
      <c r="BF61" s="2" t="n">
        <f aca="false">MAX(BE60+IF($A61=BF$4,1,-1),BF60-1,BE61-1)</f>
        <v>-50</v>
      </c>
      <c r="BG61" s="2" t="n">
        <f aca="false">MAX(BF60+IF($A61=BG$4,1,-1),BG60-1,BF61-1)</f>
        <v>-50</v>
      </c>
      <c r="BH61" s="2" t="n">
        <f aca="false">MAX(BG60+IF($A61=BH$4,1,-1),BH60-1,BG61-1)</f>
        <v>-50</v>
      </c>
      <c r="BI61" s="2" t="n">
        <f aca="false">MAX(BH60+IF($A61=BI$4,1,-1),BI60-1,BH61-1)</f>
        <v>-51</v>
      </c>
      <c r="BJ61" s="2" t="n">
        <f aca="false">MAX(BI60+IF($A61=BJ$4,1,-1),BJ60-1,BI61-1)</f>
        <v>-52</v>
      </c>
      <c r="BK61" s="2" t="n">
        <f aca="false">MAX(BJ60+IF($A61=BK$4,1,-1),BK60-1,BJ61-1)</f>
        <v>-53</v>
      </c>
      <c r="BL61" s="2" t="n">
        <f aca="false">MAX(BK60+IF($A61=BL$4,1,-1),BL60-1,BK61-1)</f>
        <v>-54</v>
      </c>
      <c r="BM61" s="2" t="n">
        <f aca="false">MAX(BL60+IF($A61=BM$4,1,-1),BM60-1,BL61-1)</f>
        <v>-55</v>
      </c>
      <c r="BN61" s="2" t="n">
        <f aca="false">MAX(BM60+IF($A61=BN$4,1,-1),BN60-1,BM61-1)</f>
        <v>-56</v>
      </c>
      <c r="BO61" s="2" t="n">
        <f aca="false">MAX(BN60+IF($A61=BO$4,1,-1),BO60-1,BN61-1)</f>
        <v>-57</v>
      </c>
      <c r="BP61" s="2" t="n">
        <f aca="false">MAX(BO60+IF($A61=BP$4,1,-1),BP60-1,BO61-1)</f>
        <v>-58</v>
      </c>
      <c r="BQ61" s="2" t="n">
        <f aca="false">MAX(BP60+IF($A61=BQ$4,1,-1),BQ60-1,BP61-1)</f>
        <v>-59</v>
      </c>
      <c r="BR61" s="2" t="n">
        <f aca="false">MAX(BQ60+IF($A61=BR$4,1,-1),BR60-1,BQ61-1)</f>
        <v>-60</v>
      </c>
      <c r="BS61" s="2" t="n">
        <f aca="false">MAX(BR60+IF($A61=BS$4,1,-1),BS60-1,BR61-1)</f>
        <v>-61</v>
      </c>
      <c r="BT61" s="2" t="n">
        <f aca="false">MAX(BS60+IF($A61=BT$4,1,-1),BT60-1,BS61-1)</f>
        <v>-62</v>
      </c>
      <c r="BU61" s="2" t="n">
        <f aca="false">MAX(BT60+IF($A61=BU$4,1,-1),BU60-1,BT61-1)</f>
        <v>-63</v>
      </c>
      <c r="BV61" s="2" t="n">
        <f aca="false">MAX(BU60+IF($A61=BV$4,1,-1),BV60-1,BU61-1)</f>
        <v>-64</v>
      </c>
      <c r="BW61" s="2" t="n">
        <f aca="false">MAX(BV60+IF($A61=BW$4,1,-1),BW60-1,BV61-1)</f>
        <v>-64</v>
      </c>
      <c r="BX61" s="2" t="n">
        <f aca="false">MAX(BW60+IF($A61=BX$4,1,-1),BX60-1,BW61-1)</f>
        <v>-64</v>
      </c>
      <c r="BY61" s="2" t="n">
        <f aca="false">MAX(BX60+IF($A61=BY$4,1,-1),BY60-1,BX61-1)</f>
        <v>-65</v>
      </c>
      <c r="BZ61" s="2" t="n">
        <f aca="false">MAX(BY60+IF($A61=BZ$4,1,-1),BZ60-1,BY61-1)</f>
        <v>-66</v>
      </c>
      <c r="CA61" s="2" t="n">
        <f aca="false">MAX(BZ60+IF($A61=CA$4,1,-1),CA60-1,BZ61-1)</f>
        <v>-67</v>
      </c>
      <c r="CB61" s="2" t="n">
        <f aca="false">MAX(CA60+IF($A61=CB$4,1,-1),CB60-1,CA61-1)</f>
        <v>-68</v>
      </c>
      <c r="CC61" s="2" t="n">
        <f aca="false">MAX(CB60+IF($A61=CC$4,1,-1),CC60-1,CB61-1)</f>
        <v>-69</v>
      </c>
      <c r="CD61" s="2" t="n">
        <f aca="false">MAX(CC60+IF($A61=CD$4,1,-1),CD60-1,CC61-1)</f>
        <v>-70</v>
      </c>
      <c r="CE61" s="2" t="n">
        <f aca="false">MAX(CD60+IF($A61=CE$4,1,-1),CE60-1,CD61-1)</f>
        <v>-71</v>
      </c>
      <c r="CF61" s="2" t="n">
        <f aca="false">MAX(CE60+IF($A61=CF$4,1,-1),CF60-1,CE61-1)</f>
        <v>-72</v>
      </c>
      <c r="CG61" s="2" t="n">
        <f aca="false">MAX(CF60+IF($A61=CG$4,1,-1),CG60-1,CF61-1)</f>
        <v>-72</v>
      </c>
      <c r="CH61" s="2" t="n">
        <f aca="false">MAX(CG60+IF($A61=CH$4,1,-1),CH60-1,CG61-1)</f>
        <v>-72</v>
      </c>
      <c r="CI61" s="2" t="n">
        <f aca="false">MAX(CH60+IF($A61=CI$4,1,-1),CI60-1,CH61-1)</f>
        <v>-73</v>
      </c>
      <c r="CJ61" s="2" t="n">
        <f aca="false">MAX(CI60+IF($A61=CJ$4,1,-1),CJ60-1,CI61-1)</f>
        <v>-74</v>
      </c>
      <c r="CK61" s="2" t="n">
        <f aca="false">MAX(CJ60+IF($A61=CK$4,1,-1),CK60-1,CJ61-1)</f>
        <v>-75</v>
      </c>
      <c r="CL61" s="2" t="n">
        <f aca="false">MAX(CK60+IF($A61=CL$4,1,-1),CL60-1,CK61-1)</f>
        <v>-76</v>
      </c>
      <c r="CM61" s="2" t="n">
        <f aca="false">MAX(CL60+IF($A61=CM$4,1,-1),CM60-1,CL61-1)</f>
        <v>-77</v>
      </c>
      <c r="CN61" s="2" t="n">
        <f aca="false">MAX(CM60+IF($A61=CN$4,1,-1),CN60-1,CM61-1)</f>
        <v>-78</v>
      </c>
      <c r="CO61" s="2" t="n">
        <f aca="false">MAX(CN60+IF($A61=CO$4,1,-1),CO60-1,CN61-1)</f>
        <v>-79</v>
      </c>
      <c r="CP61" s="2" t="n">
        <f aca="false">MAX(CO60+IF($A61=CP$4,1,-1),CP60-1,CO61-1)</f>
        <v>-80</v>
      </c>
      <c r="CQ61" s="2" t="n">
        <f aca="false">MAX(CP60+IF($A61=CQ$4,1,-1),CQ60-1,CP61-1)</f>
        <v>-81</v>
      </c>
    </row>
    <row r="62" customFormat="false" ht="15" hidden="false" customHeight="false" outlineLevel="0" collapsed="false">
      <c r="A62" s="4" t="s">
        <v>181</v>
      </c>
      <c r="B62" s="12" t="n">
        <v>-57</v>
      </c>
      <c r="C62" s="2" t="n">
        <f aca="false">MAX(B61+IF($A62=C$4,1,-1),C61-1,B62-1)</f>
        <v>-57</v>
      </c>
      <c r="D62" s="2" t="n">
        <f aca="false">MAX(C61+IF($A62=D$4,1,-1),D61-1,C62-1)</f>
        <v>-55</v>
      </c>
      <c r="E62" s="2" t="n">
        <f aca="false">MAX(D61+IF($A62=E$4,1,-1),E61-1,D62-1)</f>
        <v>-53</v>
      </c>
      <c r="F62" s="2" t="n">
        <f aca="false">MAX(E61+IF($A62=F$4,1,-1),F61-1,E62-1)</f>
        <v>-51</v>
      </c>
      <c r="G62" s="2" t="n">
        <f aca="false">MAX(F61+IF($A62=G$4,1,-1),G61-1,F62-1)</f>
        <v>-51</v>
      </c>
      <c r="H62" s="2" t="n">
        <f aca="false">MAX(G61+IF($A62=H$4,1,-1),H61-1,G62-1)</f>
        <v>-51</v>
      </c>
      <c r="I62" s="2" t="n">
        <f aca="false">MAX(H61+IF($A62=I$4,1,-1),I61-1,H62-1)</f>
        <v>-51</v>
      </c>
      <c r="J62" s="2" t="n">
        <f aca="false">MAX(I61+IF($A62=J$4,1,-1),J61-1,I62-1)</f>
        <v>-51</v>
      </c>
      <c r="K62" s="2" t="n">
        <f aca="false">MAX(J61+IF($A62=K$4,1,-1),K61-1,J62-1)</f>
        <v>-50</v>
      </c>
      <c r="L62" s="2" t="n">
        <f aca="false">MAX(K61+IF($A62=L$4,1,-1),L61-1,K62-1)</f>
        <v>-50</v>
      </c>
      <c r="M62" s="2" t="n">
        <f aca="false">MAX(L61+IF($A62=M$4,1,-1),M61-1,L62-1)</f>
        <v>-50</v>
      </c>
      <c r="N62" s="2" t="n">
        <f aca="false">MAX(M61+IF($A62=N$4,1,-1),N61-1,M62-1)</f>
        <v>-48</v>
      </c>
      <c r="O62" s="2" t="n">
        <f aca="false">MAX(N61+IF($A62=O$4,1,-1),O61-1,N62-1)</f>
        <v>-47</v>
      </c>
      <c r="P62" s="2" t="n">
        <f aca="false">MAX(O61+IF($A62=P$4,1,-1),P61-1,O62-1)</f>
        <v>-47</v>
      </c>
      <c r="Q62" s="2" t="n">
        <f aca="false">MAX(P61+IF($A62=Q$4,1,-1),Q61-1,P62-1)</f>
        <v>-47</v>
      </c>
      <c r="R62" s="2" t="n">
        <f aca="false">MAX(Q61+IF($A62=R$4,1,-1),R61-1,Q62-1)</f>
        <v>-47</v>
      </c>
      <c r="S62" s="2" t="n">
        <f aca="false">MAX(R61+IF($A62=S$4,1,-1),S61-1,R62-1)</f>
        <v>-47</v>
      </c>
      <c r="T62" s="2" t="n">
        <f aca="false">MAX(S61+IF($A62=T$4,1,-1),T61-1,S62-1)</f>
        <v>-47</v>
      </c>
      <c r="U62" s="2" t="n">
        <f aca="false">MAX(T61+IF($A62=U$4,1,-1),U61-1,T62-1)</f>
        <v>-47</v>
      </c>
      <c r="V62" s="2" t="n">
        <f aca="false">MAX(U61+IF($A62=V$4,1,-1),V61-1,U62-1)</f>
        <v>-47</v>
      </c>
      <c r="W62" s="2" t="n">
        <f aca="false">MAX(V61+IF($A62=W$4,1,-1),W61-1,V62-1)</f>
        <v>-45</v>
      </c>
      <c r="X62" s="2" t="n">
        <f aca="false">MAX(W61+IF($A62=X$4,1,-1),X61-1,W62-1)</f>
        <v>-45</v>
      </c>
      <c r="Y62" s="2" t="n">
        <f aca="false">MAX(X61+IF($A62=Y$4,1,-1),Y61-1,X62-1)</f>
        <v>-45</v>
      </c>
      <c r="Z62" s="2" t="n">
        <f aca="false">MAX(Y61+IF($A62=Z$4,1,-1),Z61-1,Y62-1)</f>
        <v>-45</v>
      </c>
      <c r="AA62" s="2" t="n">
        <f aca="false">MAX(Z61+IF($A62=AA$4,1,-1),AA61-1,Z62-1)</f>
        <v>-46</v>
      </c>
      <c r="AB62" s="2" t="n">
        <f aca="false">MAX(AA61+IF($A62=AB$4,1,-1),AB61-1,AA62-1)</f>
        <v>-47</v>
      </c>
      <c r="AC62" s="2" t="n">
        <f aca="false">MAX(AB61+IF($A62=AC$4,1,-1),AC61-1,AB62-1)</f>
        <v>-47</v>
      </c>
      <c r="AD62" s="2" t="n">
        <f aca="false">MAX(AC61+IF($A62=AD$4,1,-1),AD61-1,AC62-1)</f>
        <v>-47</v>
      </c>
      <c r="AE62" s="2" t="n">
        <f aca="false">MAX(AD61+IF($A62=AE$4,1,-1),AE61-1,AD62-1)</f>
        <v>-47</v>
      </c>
      <c r="AF62" s="2" t="n">
        <f aca="false">MAX(AE61+IF($A62=AF$4,1,-1),AF61-1,AE62-1)</f>
        <v>-47</v>
      </c>
      <c r="AG62" s="2" t="n">
        <f aca="false">MAX(AF61+IF($A62=AG$4,1,-1),AG61-1,AF62-1)</f>
        <v>-47</v>
      </c>
      <c r="AH62" s="2" t="n">
        <f aca="false">MAX(AG61+IF($A62=AH$4,1,-1),AH61-1,AG62-1)</f>
        <v>-47</v>
      </c>
      <c r="AI62" s="2" t="n">
        <f aca="false">MAX(AH61+IF($A62=AI$4,1,-1),AI61-1,AH62-1)</f>
        <v>-47</v>
      </c>
      <c r="AJ62" s="2" t="n">
        <f aca="false">MAX(AI61+IF($A62=AJ$4,1,-1),AJ61-1,AI62-1)</f>
        <v>-47</v>
      </c>
      <c r="AK62" s="2" t="n">
        <f aca="false">MAX(AJ61+IF($A62=AK$4,1,-1),AK61-1,AJ62-1)</f>
        <v>-47</v>
      </c>
      <c r="AL62" s="2" t="n">
        <f aca="false">MAX(AK61+IF($A62=AL$4,1,-1),AL61-1,AK62-1)</f>
        <v>-47</v>
      </c>
      <c r="AM62" s="2" t="n">
        <f aca="false">MAX(AL61+IF($A62=AM$4,1,-1),AM61-1,AL62-1)</f>
        <v>-47</v>
      </c>
      <c r="AN62" s="2" t="n">
        <f aca="false">MAX(AM61+IF($A62=AN$4,1,-1),AN61-1,AM62-1)</f>
        <v>-47</v>
      </c>
      <c r="AO62" s="2" t="n">
        <f aca="false">MAX(AN61+IF($A62=AO$4,1,-1),AO61-1,AN62-1)</f>
        <v>-47</v>
      </c>
      <c r="AP62" s="2" t="n">
        <f aca="false">MAX(AO61+IF($A62=AP$4,1,-1),AP61-1,AO62-1)</f>
        <v>-47</v>
      </c>
      <c r="AQ62" s="2" t="n">
        <f aca="false">MAX(AP61+IF($A62=AQ$4,1,-1),AQ61-1,AP62-1)</f>
        <v>-47</v>
      </c>
      <c r="AR62" s="2" t="n">
        <f aca="false">MAX(AQ61+IF($A62=AR$4,1,-1),AR61-1,AQ62-1)</f>
        <v>-47</v>
      </c>
      <c r="AS62" s="2" t="n">
        <f aca="false">MAX(AR61+IF($A62=AS$4,1,-1),AS61-1,AR62-1)</f>
        <v>-47</v>
      </c>
      <c r="AT62" s="2" t="n">
        <f aca="false">MAX(AS61+IF($A62=AT$4,1,-1),AT61-1,AS62-1)</f>
        <v>-47</v>
      </c>
      <c r="AU62" s="2" t="n">
        <f aca="false">MAX(AT61+IF($A62=AU$4,1,-1),AU61-1,AT62-1)</f>
        <v>-47</v>
      </c>
      <c r="AV62" s="2" t="n">
        <f aca="false">MAX(AU61+IF($A62=AV$4,1,-1),AV61-1,AU62-1)</f>
        <v>-47</v>
      </c>
      <c r="AW62" s="2" t="n">
        <f aca="false">MAX(AV61+IF($A62=AW$4,1,-1),AW61-1,AV62-1)</f>
        <v>-48</v>
      </c>
      <c r="AX62" s="2" t="n">
        <f aca="false">MAX(AW61+IF($A62=AX$4,1,-1),AX61-1,AW62-1)</f>
        <v>-49</v>
      </c>
      <c r="AY62" s="2" t="n">
        <f aca="false">MAX(AX61+IF($A62=AY$4,1,-1),AY61-1,AX62-1)</f>
        <v>-49</v>
      </c>
      <c r="AZ62" s="2" t="n">
        <f aca="false">MAX(AY61+IF($A62=AZ$4,1,-1),AZ61-1,AY62-1)</f>
        <v>-49</v>
      </c>
      <c r="BA62" s="2" t="n">
        <f aca="false">MAX(AZ61+IF($A62=BA$4,1,-1),BA61-1,AZ62-1)</f>
        <v>-49</v>
      </c>
      <c r="BB62" s="2" t="n">
        <f aca="false">MAX(BA61+IF($A62=BB$4,1,-1),BB61-1,BA62-1)</f>
        <v>-49</v>
      </c>
      <c r="BC62" s="2" t="n">
        <f aca="false">MAX(BB61+IF($A62=BC$4,1,-1),BC61-1,BB62-1)</f>
        <v>-50</v>
      </c>
      <c r="BD62" s="2" t="n">
        <f aca="false">MAX(BC61+IF($A62=BD$4,1,-1),BD61-1,BC62-1)</f>
        <v>-50</v>
      </c>
      <c r="BE62" s="2" t="n">
        <f aca="false">MAX(BD61+IF($A62=BE$4,1,-1),BE61-1,BD62-1)</f>
        <v>-50</v>
      </c>
      <c r="BF62" s="2" t="n">
        <f aca="false">MAX(BE61+IF($A62=BF$4,1,-1),BF61-1,BE62-1)</f>
        <v>-51</v>
      </c>
      <c r="BG62" s="2" t="n">
        <f aca="false">MAX(BF61+IF($A62=BG$4,1,-1),BG61-1,BF62-1)</f>
        <v>-51</v>
      </c>
      <c r="BH62" s="2" t="n">
        <f aca="false">MAX(BG61+IF($A62=BH$4,1,-1),BH61-1,BG62-1)</f>
        <v>-51</v>
      </c>
      <c r="BI62" s="2" t="n">
        <f aca="false">MAX(BH61+IF($A62=BI$4,1,-1),BI61-1,BH62-1)</f>
        <v>-51</v>
      </c>
      <c r="BJ62" s="2" t="n">
        <f aca="false">MAX(BI61+IF($A62=BJ$4,1,-1),BJ61-1,BI62-1)</f>
        <v>-52</v>
      </c>
      <c r="BK62" s="2" t="n">
        <f aca="false">MAX(BJ61+IF($A62=BK$4,1,-1),BK61-1,BJ62-1)</f>
        <v>-53</v>
      </c>
      <c r="BL62" s="2" t="n">
        <f aca="false">MAX(BK61+IF($A62=BL$4,1,-1),BL61-1,BK62-1)</f>
        <v>-54</v>
      </c>
      <c r="BM62" s="2" t="n">
        <f aca="false">MAX(BL61+IF($A62=BM$4,1,-1),BM61-1,BL62-1)</f>
        <v>-55</v>
      </c>
      <c r="BN62" s="2" t="n">
        <f aca="false">MAX(BM61+IF($A62=BN$4,1,-1),BN61-1,BM62-1)</f>
        <v>-56</v>
      </c>
      <c r="BO62" s="2" t="n">
        <f aca="false">MAX(BN61+IF($A62=BO$4,1,-1),BO61-1,BN62-1)</f>
        <v>-57</v>
      </c>
      <c r="BP62" s="2" t="n">
        <f aca="false">MAX(BO61+IF($A62=BP$4,1,-1),BP61-1,BO62-1)</f>
        <v>-58</v>
      </c>
      <c r="BQ62" s="2" t="n">
        <f aca="false">MAX(BP61+IF($A62=BQ$4,1,-1),BQ61-1,BP62-1)</f>
        <v>-59</v>
      </c>
      <c r="BR62" s="2" t="n">
        <f aca="false">MAX(BQ61+IF($A62=BR$4,1,-1),BR61-1,BQ62-1)</f>
        <v>-60</v>
      </c>
      <c r="BS62" s="2" t="n">
        <f aca="false">MAX(BR61+IF($A62=BS$4,1,-1),BS61-1,BR62-1)</f>
        <v>-61</v>
      </c>
      <c r="BT62" s="2" t="n">
        <f aca="false">MAX(BS61+IF($A62=BT$4,1,-1),BT61-1,BS62-1)</f>
        <v>-62</v>
      </c>
      <c r="BU62" s="2" t="n">
        <f aca="false">MAX(BT61+IF($A62=BU$4,1,-1),BU61-1,BT62-1)</f>
        <v>-63</v>
      </c>
      <c r="BV62" s="2" t="n">
        <f aca="false">MAX(BU61+IF($A62=BV$4,1,-1),BV61-1,BU62-1)</f>
        <v>-64</v>
      </c>
      <c r="BW62" s="2" t="n">
        <f aca="false">MAX(BV61+IF($A62=BW$4,1,-1),BW61-1,BV62-1)</f>
        <v>-65</v>
      </c>
      <c r="BX62" s="2" t="n">
        <f aca="false">MAX(BW61+IF($A62=BX$4,1,-1),BX61-1,BW62-1)</f>
        <v>-65</v>
      </c>
      <c r="BY62" s="2" t="n">
        <f aca="false">MAX(BX61+IF($A62=BY$4,1,-1),BY61-1,BX62-1)</f>
        <v>-65</v>
      </c>
      <c r="BZ62" s="2" t="n">
        <f aca="false">MAX(BY61+IF($A62=BZ$4,1,-1),BZ61-1,BY62-1)</f>
        <v>-66</v>
      </c>
      <c r="CA62" s="2" t="n">
        <f aca="false">MAX(BZ61+IF($A62=CA$4,1,-1),CA61-1,BZ62-1)</f>
        <v>-67</v>
      </c>
      <c r="CB62" s="2" t="n">
        <f aca="false">MAX(CA61+IF($A62=CB$4,1,-1),CB61-1,CA62-1)</f>
        <v>-68</v>
      </c>
      <c r="CC62" s="2" t="n">
        <f aca="false">MAX(CB61+IF($A62=CC$4,1,-1),CC61-1,CB62-1)</f>
        <v>-69</v>
      </c>
      <c r="CD62" s="2" t="n">
        <f aca="false">MAX(CC61+IF($A62=CD$4,1,-1),CD61-1,CC62-1)</f>
        <v>-70</v>
      </c>
      <c r="CE62" s="2" t="n">
        <f aca="false">MAX(CD61+IF($A62=CE$4,1,-1),CE61-1,CD62-1)</f>
        <v>-71</v>
      </c>
      <c r="CF62" s="2" t="n">
        <f aca="false">MAX(CE61+IF($A62=CF$4,1,-1),CF61-1,CE62-1)</f>
        <v>-72</v>
      </c>
      <c r="CG62" s="2" t="n">
        <f aca="false">MAX(CF61+IF($A62=CG$4,1,-1),CG61-1,CF62-1)</f>
        <v>-73</v>
      </c>
      <c r="CH62" s="2" t="n">
        <f aca="false">MAX(CG61+IF($A62=CH$4,1,-1),CH61-1,CG62-1)</f>
        <v>-73</v>
      </c>
      <c r="CI62" s="2" t="n">
        <f aca="false">MAX(CH61+IF($A62=CI$4,1,-1),CI61-1,CH62-1)</f>
        <v>-73</v>
      </c>
      <c r="CJ62" s="2" t="n">
        <f aca="false">MAX(CI61+IF($A62=CJ$4,1,-1),CJ61-1,CI62-1)</f>
        <v>-74</v>
      </c>
      <c r="CK62" s="2" t="n">
        <f aca="false">MAX(CJ61+IF($A62=CK$4,1,-1),CK61-1,CJ62-1)</f>
        <v>-75</v>
      </c>
      <c r="CL62" s="2" t="n">
        <f aca="false">MAX(CK61+IF($A62=CL$4,1,-1),CL61-1,CK62-1)</f>
        <v>-76</v>
      </c>
      <c r="CM62" s="2" t="n">
        <f aca="false">MAX(CL61+IF($A62=CM$4,1,-1),CM61-1,CL62-1)</f>
        <v>-77</v>
      </c>
      <c r="CN62" s="2" t="n">
        <f aca="false">MAX(CM61+IF($A62=CN$4,1,-1),CN61-1,CM62-1)</f>
        <v>-78</v>
      </c>
      <c r="CO62" s="2" t="n">
        <f aca="false">MAX(CN61+IF($A62=CO$4,1,-1),CO61-1,CN62-1)</f>
        <v>-79</v>
      </c>
      <c r="CP62" s="2" t="n">
        <f aca="false">MAX(CO61+IF($A62=CP$4,1,-1),CP61-1,CO62-1)</f>
        <v>-80</v>
      </c>
      <c r="CQ62" s="2" t="n">
        <f aca="false">MAX(CP61+IF($A62=CQ$4,1,-1),CQ61-1,CP62-1)</f>
        <v>-81</v>
      </c>
    </row>
    <row r="63" customFormat="false" ht="15" hidden="false" customHeight="false" outlineLevel="0" collapsed="false">
      <c r="A63" s="4" t="s">
        <v>168</v>
      </c>
      <c r="B63" s="12" t="n">
        <v>-58</v>
      </c>
      <c r="C63" s="2" t="n">
        <f aca="false">MAX(B62+IF($A63=C$4,1,-1),C62-1,B63-1)</f>
        <v>-58</v>
      </c>
      <c r="D63" s="2" t="n">
        <f aca="false">MAX(C62+IF($A63=D$4,1,-1),D62-1,C63-1)</f>
        <v>-56</v>
      </c>
      <c r="E63" s="2" t="n">
        <f aca="false">MAX(D62+IF($A63=E$4,1,-1),E62-1,D63-1)</f>
        <v>-54</v>
      </c>
      <c r="F63" s="2" t="n">
        <f aca="false">MAX(E62+IF($A63=F$4,1,-1),F62-1,E63-1)</f>
        <v>-52</v>
      </c>
      <c r="G63" s="2" t="n">
        <f aca="false">MAX(F62+IF($A63=G$4,1,-1),G62-1,F63-1)</f>
        <v>-52</v>
      </c>
      <c r="H63" s="2" t="n">
        <f aca="false">MAX(G62+IF($A63=H$4,1,-1),H62-1,G63-1)</f>
        <v>-52</v>
      </c>
      <c r="I63" s="2" t="n">
        <f aca="false">MAX(H62+IF($A63=I$4,1,-1),I62-1,H63-1)</f>
        <v>-52</v>
      </c>
      <c r="J63" s="2" t="n">
        <f aca="false">MAX(I62+IF($A63=J$4,1,-1),J62-1,I63-1)</f>
        <v>-52</v>
      </c>
      <c r="K63" s="2" t="n">
        <f aca="false">MAX(J62+IF($A63=K$4,1,-1),K62-1,J63-1)</f>
        <v>-51</v>
      </c>
      <c r="L63" s="2" t="n">
        <f aca="false">MAX(K62+IF($A63=L$4,1,-1),L62-1,K63-1)</f>
        <v>-51</v>
      </c>
      <c r="M63" s="2" t="n">
        <f aca="false">MAX(L62+IF($A63=M$4,1,-1),M62-1,L63-1)</f>
        <v>-51</v>
      </c>
      <c r="N63" s="2" t="n">
        <f aca="false">MAX(M62+IF($A63=N$4,1,-1),N62-1,M63-1)</f>
        <v>-49</v>
      </c>
      <c r="O63" s="2" t="n">
        <f aca="false">MAX(N62+IF($A63=O$4,1,-1),O62-1,N63-1)</f>
        <v>-48</v>
      </c>
      <c r="P63" s="2" t="n">
        <f aca="false">MAX(O62+IF($A63=P$4,1,-1),P62-1,O63-1)</f>
        <v>-48</v>
      </c>
      <c r="Q63" s="2" t="n">
        <f aca="false">MAX(P62+IF($A63=Q$4,1,-1),Q62-1,P63-1)</f>
        <v>-48</v>
      </c>
      <c r="R63" s="2" t="n">
        <f aca="false">MAX(Q62+IF($A63=R$4,1,-1),R62-1,Q63-1)</f>
        <v>-48</v>
      </c>
      <c r="S63" s="2" t="n">
        <f aca="false">MAX(R62+IF($A63=S$4,1,-1),S62-1,R63-1)</f>
        <v>-48</v>
      </c>
      <c r="T63" s="2" t="n">
        <f aca="false">MAX(S62+IF($A63=T$4,1,-1),T62-1,S63-1)</f>
        <v>-48</v>
      </c>
      <c r="U63" s="2" t="n">
        <f aca="false">MAX(T62+IF($A63=U$4,1,-1),U62-1,T63-1)</f>
        <v>-48</v>
      </c>
      <c r="V63" s="2" t="n">
        <f aca="false">MAX(U62+IF($A63=V$4,1,-1),V62-1,U63-1)</f>
        <v>-48</v>
      </c>
      <c r="W63" s="2" t="n">
        <f aca="false">MAX(V62+IF($A63=W$4,1,-1),W62-1,V63-1)</f>
        <v>-46</v>
      </c>
      <c r="X63" s="2" t="n">
        <f aca="false">MAX(W62+IF($A63=X$4,1,-1),X62-1,W63-1)</f>
        <v>-46</v>
      </c>
      <c r="Y63" s="2" t="n">
        <f aca="false">MAX(X62+IF($A63=Y$4,1,-1),Y62-1,X63-1)</f>
        <v>-46</v>
      </c>
      <c r="Z63" s="2" t="n">
        <f aca="false">MAX(Y62+IF($A63=Z$4,1,-1),Z62-1,Y63-1)</f>
        <v>-46</v>
      </c>
      <c r="AA63" s="2" t="n">
        <f aca="false">MAX(Z62+IF($A63=AA$4,1,-1),AA62-1,Z63-1)</f>
        <v>-46</v>
      </c>
      <c r="AB63" s="2" t="n">
        <f aca="false">MAX(AA62+IF($A63=AB$4,1,-1),AB62-1,AA63-1)</f>
        <v>-47</v>
      </c>
      <c r="AC63" s="2" t="n">
        <f aca="false">MAX(AB62+IF($A63=AC$4,1,-1),AC62-1,AB63-1)</f>
        <v>-48</v>
      </c>
      <c r="AD63" s="2" t="n">
        <f aca="false">MAX(AC62+IF($A63=AD$4,1,-1),AD62-1,AC63-1)</f>
        <v>-48</v>
      </c>
      <c r="AE63" s="2" t="n">
        <f aca="false">MAX(AD62+IF($A63=AE$4,1,-1),AE62-1,AD63-1)</f>
        <v>-48</v>
      </c>
      <c r="AF63" s="2" t="n">
        <f aca="false">MAX(AE62+IF($A63=AF$4,1,-1),AF62-1,AE63-1)</f>
        <v>-48</v>
      </c>
      <c r="AG63" s="2" t="n">
        <f aca="false">MAX(AF62+IF($A63=AG$4,1,-1),AG62-1,AF63-1)</f>
        <v>-48</v>
      </c>
      <c r="AH63" s="2" t="n">
        <f aca="false">MAX(AG62+IF($A63=AH$4,1,-1),AH62-1,AG63-1)</f>
        <v>-48</v>
      </c>
      <c r="AI63" s="2" t="n">
        <f aca="false">MAX(AH62+IF($A63=AI$4,1,-1),AI62-1,AH63-1)</f>
        <v>-48</v>
      </c>
      <c r="AJ63" s="2" t="n">
        <f aca="false">MAX(AI62+IF($A63=AJ$4,1,-1),AJ62-1,AI63-1)</f>
        <v>-48</v>
      </c>
      <c r="AK63" s="2" t="n">
        <f aca="false">MAX(AJ62+IF($A63=AK$4,1,-1),AK62-1,AJ63-1)</f>
        <v>-48</v>
      </c>
      <c r="AL63" s="2" t="n">
        <f aca="false">MAX(AK62+IF($A63=AL$4,1,-1),AL62-1,AK63-1)</f>
        <v>-48</v>
      </c>
      <c r="AM63" s="2" t="n">
        <f aca="false">MAX(AL62+IF($A63=AM$4,1,-1),AM62-1,AL63-1)</f>
        <v>-48</v>
      </c>
      <c r="AN63" s="2" t="n">
        <f aca="false">MAX(AM62+IF($A63=AN$4,1,-1),AN62-1,AM63-1)</f>
        <v>-48</v>
      </c>
      <c r="AO63" s="2" t="n">
        <f aca="false">MAX(AN62+IF($A63=AO$4,1,-1),AO62-1,AN63-1)</f>
        <v>-48</v>
      </c>
      <c r="AP63" s="2" t="n">
        <f aca="false">MAX(AO62+IF($A63=AP$4,1,-1),AP62-1,AO63-1)</f>
        <v>-48</v>
      </c>
      <c r="AQ63" s="2" t="n">
        <f aca="false">MAX(AP62+IF($A63=AQ$4,1,-1),AQ62-1,AP63-1)</f>
        <v>-48</v>
      </c>
      <c r="AR63" s="2" t="n">
        <f aca="false">MAX(AQ62+IF($A63=AR$4,1,-1),AR62-1,AQ63-1)</f>
        <v>-48</v>
      </c>
      <c r="AS63" s="2" t="n">
        <f aca="false">MAX(AR62+IF($A63=AS$4,1,-1),AS62-1,AR63-1)</f>
        <v>-48</v>
      </c>
      <c r="AT63" s="2" t="n">
        <f aca="false">MAX(AS62+IF($A63=AT$4,1,-1),AT62-1,AS63-1)</f>
        <v>-48</v>
      </c>
      <c r="AU63" s="2" t="n">
        <f aca="false">MAX(AT62+IF($A63=AU$4,1,-1),AU62-1,AT63-1)</f>
        <v>-48</v>
      </c>
      <c r="AV63" s="2" t="n">
        <f aca="false">MAX(AU62+IF($A63=AV$4,1,-1),AV62-1,AU63-1)</f>
        <v>-48</v>
      </c>
      <c r="AW63" s="2" t="n">
        <f aca="false">MAX(AV62+IF($A63=AW$4,1,-1),AW62-1,AV63-1)</f>
        <v>-48</v>
      </c>
      <c r="AX63" s="2" t="n">
        <f aca="false">MAX(AW62+IF($A63=AX$4,1,-1),AX62-1,AW63-1)</f>
        <v>-49</v>
      </c>
      <c r="AY63" s="2" t="n">
        <f aca="false">MAX(AX62+IF($A63=AY$4,1,-1),AY62-1,AX63-1)</f>
        <v>-50</v>
      </c>
      <c r="AZ63" s="2" t="n">
        <f aca="false">MAX(AY62+IF($A63=AZ$4,1,-1),AZ62-1,AY63-1)</f>
        <v>-50</v>
      </c>
      <c r="BA63" s="2" t="n">
        <f aca="false">MAX(AZ62+IF($A63=BA$4,1,-1),BA62-1,AZ63-1)</f>
        <v>-50</v>
      </c>
      <c r="BB63" s="2" t="n">
        <f aca="false">MAX(BA62+IF($A63=BB$4,1,-1),BB62-1,BA63-1)</f>
        <v>-50</v>
      </c>
      <c r="BC63" s="2" t="n">
        <f aca="false">MAX(BB62+IF($A63=BC$4,1,-1),BC62-1,BB63-1)</f>
        <v>-50</v>
      </c>
      <c r="BD63" s="2" t="n">
        <f aca="false">MAX(BC62+IF($A63=BD$4,1,-1),BD62-1,BC63-1)</f>
        <v>-51</v>
      </c>
      <c r="BE63" s="2" t="n">
        <f aca="false">MAX(BD62+IF($A63=BE$4,1,-1),BE62-1,BD63-1)</f>
        <v>-51</v>
      </c>
      <c r="BF63" s="2" t="n">
        <f aca="false">MAX(BE62+IF($A63=BF$4,1,-1),BF62-1,BE63-1)</f>
        <v>-51</v>
      </c>
      <c r="BG63" s="2" t="n">
        <f aca="false">MAX(BF62+IF($A63=BG$4,1,-1),BG62-1,BF63-1)</f>
        <v>-52</v>
      </c>
      <c r="BH63" s="2" t="n">
        <f aca="false">MAX(BG62+IF($A63=BH$4,1,-1),BH62-1,BG63-1)</f>
        <v>-52</v>
      </c>
      <c r="BI63" s="2" t="n">
        <f aca="false">MAX(BH62+IF($A63=BI$4,1,-1),BI62-1,BH63-1)</f>
        <v>-52</v>
      </c>
      <c r="BJ63" s="2" t="n">
        <f aca="false">MAX(BI62+IF($A63=BJ$4,1,-1),BJ62-1,BI63-1)</f>
        <v>-52</v>
      </c>
      <c r="BK63" s="2" t="n">
        <f aca="false">MAX(BJ62+IF($A63=BK$4,1,-1),BK62-1,BJ63-1)</f>
        <v>-53</v>
      </c>
      <c r="BL63" s="2" t="n">
        <f aca="false">MAX(BK62+IF($A63=BL$4,1,-1),BL62-1,BK63-1)</f>
        <v>-54</v>
      </c>
      <c r="BM63" s="2" t="n">
        <f aca="false">MAX(BL62+IF($A63=BM$4,1,-1),BM62-1,BL63-1)</f>
        <v>-55</v>
      </c>
      <c r="BN63" s="2" t="n">
        <f aca="false">MAX(BM62+IF($A63=BN$4,1,-1),BN62-1,BM63-1)</f>
        <v>-56</v>
      </c>
      <c r="BO63" s="2" t="n">
        <f aca="false">MAX(BN62+IF($A63=BO$4,1,-1),BO62-1,BN63-1)</f>
        <v>-57</v>
      </c>
      <c r="BP63" s="2" t="n">
        <f aca="false">MAX(BO62+IF($A63=BP$4,1,-1),BP62-1,BO63-1)</f>
        <v>-58</v>
      </c>
      <c r="BQ63" s="2" t="n">
        <f aca="false">MAX(BP62+IF($A63=BQ$4,1,-1),BQ62-1,BP63-1)</f>
        <v>-59</v>
      </c>
      <c r="BR63" s="2" t="n">
        <f aca="false">MAX(BQ62+IF($A63=BR$4,1,-1),BR62-1,BQ63-1)</f>
        <v>-60</v>
      </c>
      <c r="BS63" s="2" t="n">
        <f aca="false">MAX(BR62+IF($A63=BS$4,1,-1),BS62-1,BR63-1)</f>
        <v>-61</v>
      </c>
      <c r="BT63" s="2" t="n">
        <f aca="false">MAX(BS62+IF($A63=BT$4,1,-1),BT62-1,BS63-1)</f>
        <v>-62</v>
      </c>
      <c r="BU63" s="2" t="n">
        <f aca="false">MAX(BT62+IF($A63=BU$4,1,-1),BU62-1,BT63-1)</f>
        <v>-63</v>
      </c>
      <c r="BV63" s="2" t="n">
        <f aca="false">MAX(BU62+IF($A63=BV$4,1,-1),BV62-1,BU63-1)</f>
        <v>-64</v>
      </c>
      <c r="BW63" s="2" t="n">
        <f aca="false">MAX(BV62+IF($A63=BW$4,1,-1),BW62-1,BV63-1)</f>
        <v>-65</v>
      </c>
      <c r="BX63" s="2" t="n">
        <f aca="false">MAX(BW62+IF($A63=BX$4,1,-1),BX62-1,BW63-1)</f>
        <v>-66</v>
      </c>
      <c r="BY63" s="2" t="n">
        <f aca="false">MAX(BX62+IF($A63=BY$4,1,-1),BY62-1,BX63-1)</f>
        <v>-66</v>
      </c>
      <c r="BZ63" s="2" t="n">
        <f aca="false">MAX(BY62+IF($A63=BZ$4,1,-1),BZ62-1,BY63-1)</f>
        <v>-66</v>
      </c>
      <c r="CA63" s="2" t="n">
        <f aca="false">MAX(BZ62+IF($A63=CA$4,1,-1),CA62-1,BZ63-1)</f>
        <v>-67</v>
      </c>
      <c r="CB63" s="2" t="n">
        <f aca="false">MAX(CA62+IF($A63=CB$4,1,-1),CB62-1,CA63-1)</f>
        <v>-68</v>
      </c>
      <c r="CC63" s="2" t="n">
        <f aca="false">MAX(CB62+IF($A63=CC$4,1,-1),CC62-1,CB63-1)</f>
        <v>-69</v>
      </c>
      <c r="CD63" s="2" t="n">
        <f aca="false">MAX(CC62+IF($A63=CD$4,1,-1),CD62-1,CC63-1)</f>
        <v>-70</v>
      </c>
      <c r="CE63" s="2" t="n">
        <f aca="false">MAX(CD62+IF($A63=CE$4,1,-1),CE62-1,CD63-1)</f>
        <v>-71</v>
      </c>
      <c r="CF63" s="2" t="n">
        <f aca="false">MAX(CE62+IF($A63=CF$4,1,-1),CF62-1,CE63-1)</f>
        <v>-72</v>
      </c>
      <c r="CG63" s="2" t="n">
        <f aca="false">MAX(CF62+IF($A63=CG$4,1,-1),CG62-1,CF63-1)</f>
        <v>-73</v>
      </c>
      <c r="CH63" s="2" t="n">
        <f aca="false">MAX(CG62+IF($A63=CH$4,1,-1),CH62-1,CG63-1)</f>
        <v>-74</v>
      </c>
      <c r="CI63" s="2" t="n">
        <f aca="false">MAX(CH62+IF($A63=CI$4,1,-1),CI62-1,CH63-1)</f>
        <v>-74</v>
      </c>
      <c r="CJ63" s="2" t="n">
        <f aca="false">MAX(CI62+IF($A63=CJ$4,1,-1),CJ62-1,CI63-1)</f>
        <v>-74</v>
      </c>
      <c r="CK63" s="2" t="n">
        <f aca="false">MAX(CJ62+IF($A63=CK$4,1,-1),CK62-1,CJ63-1)</f>
        <v>-75</v>
      </c>
      <c r="CL63" s="2" t="n">
        <f aca="false">MAX(CK62+IF($A63=CL$4,1,-1),CL62-1,CK63-1)</f>
        <v>-76</v>
      </c>
      <c r="CM63" s="2" t="n">
        <f aca="false">MAX(CL62+IF($A63=CM$4,1,-1),CM62-1,CL63-1)</f>
        <v>-77</v>
      </c>
      <c r="CN63" s="2" t="n">
        <f aca="false">MAX(CM62+IF($A63=CN$4,1,-1),CN62-1,CM63-1)</f>
        <v>-78</v>
      </c>
      <c r="CO63" s="2" t="n">
        <f aca="false">MAX(CN62+IF($A63=CO$4,1,-1),CO62-1,CN63-1)</f>
        <v>-79</v>
      </c>
      <c r="CP63" s="2" t="n">
        <f aca="false">MAX(CO62+IF($A63=CP$4,1,-1),CP62-1,CO63-1)</f>
        <v>-80</v>
      </c>
      <c r="CQ63" s="2" t="n">
        <f aca="false">MAX(CP62+IF($A63=CQ$4,1,-1),CQ62-1,CP63-1)</f>
        <v>-81</v>
      </c>
    </row>
    <row r="64" customFormat="false" ht="15" hidden="false" customHeight="false" outlineLevel="0" collapsed="false">
      <c r="A64" s="4" t="s">
        <v>170</v>
      </c>
      <c r="B64" s="12" t="n">
        <v>-59</v>
      </c>
      <c r="C64" s="2" t="n">
        <f aca="false">MAX(B63+IF($A64=C$4,1,-1),C63-1,B64-1)</f>
        <v>-59</v>
      </c>
      <c r="D64" s="2" t="n">
        <f aca="false">MAX(C63+IF($A64=D$4,1,-1),D63-1,C64-1)</f>
        <v>-57</v>
      </c>
      <c r="E64" s="2" t="n">
        <f aca="false">MAX(D63+IF($A64=E$4,1,-1),E63-1,D64-1)</f>
        <v>-55</v>
      </c>
      <c r="F64" s="2" t="n">
        <f aca="false">MAX(E63+IF($A64=F$4,1,-1),F63-1,E64-1)</f>
        <v>-53</v>
      </c>
      <c r="G64" s="2" t="n">
        <f aca="false">MAX(F63+IF($A64=G$4,1,-1),G63-1,F64-1)</f>
        <v>-53</v>
      </c>
      <c r="H64" s="2" t="n">
        <f aca="false">MAX(G63+IF($A64=H$4,1,-1),H63-1,G64-1)</f>
        <v>-53</v>
      </c>
      <c r="I64" s="2" t="n">
        <f aca="false">MAX(H63+IF($A64=I$4,1,-1),I63-1,H64-1)</f>
        <v>-53</v>
      </c>
      <c r="J64" s="2" t="n">
        <f aca="false">MAX(I63+IF($A64=J$4,1,-1),J63-1,I64-1)</f>
        <v>-53</v>
      </c>
      <c r="K64" s="2" t="n">
        <f aca="false">MAX(J63+IF($A64=K$4,1,-1),K63-1,J64-1)</f>
        <v>-52</v>
      </c>
      <c r="L64" s="2" t="n">
        <f aca="false">MAX(K63+IF($A64=L$4,1,-1),L63-1,K64-1)</f>
        <v>-52</v>
      </c>
      <c r="M64" s="2" t="n">
        <f aca="false">MAX(L63+IF($A64=M$4,1,-1),M63-1,L64-1)</f>
        <v>-52</v>
      </c>
      <c r="N64" s="2" t="n">
        <f aca="false">MAX(M63+IF($A64=N$4,1,-1),N63-1,M64-1)</f>
        <v>-50</v>
      </c>
      <c r="O64" s="2" t="n">
        <f aca="false">MAX(N63+IF($A64=O$4,1,-1),O63-1,N64-1)</f>
        <v>-49</v>
      </c>
      <c r="P64" s="2" t="n">
        <f aca="false">MAX(O63+IF($A64=P$4,1,-1),P63-1,O64-1)</f>
        <v>-49</v>
      </c>
      <c r="Q64" s="2" t="n">
        <f aca="false">MAX(P63+IF($A64=Q$4,1,-1),Q63-1,P64-1)</f>
        <v>-49</v>
      </c>
      <c r="R64" s="2" t="n">
        <f aca="false">MAX(Q63+IF($A64=R$4,1,-1),R63-1,Q64-1)</f>
        <v>-49</v>
      </c>
      <c r="S64" s="2" t="n">
        <f aca="false">MAX(R63+IF($A64=S$4,1,-1),S63-1,R64-1)</f>
        <v>-49</v>
      </c>
      <c r="T64" s="2" t="n">
        <f aca="false">MAX(S63+IF($A64=T$4,1,-1),T63-1,S64-1)</f>
        <v>-49</v>
      </c>
      <c r="U64" s="2" t="n">
        <f aca="false">MAX(T63+IF($A64=U$4,1,-1),U63-1,T64-1)</f>
        <v>-49</v>
      </c>
      <c r="V64" s="2" t="n">
        <f aca="false">MAX(U63+IF($A64=V$4,1,-1),V63-1,U64-1)</f>
        <v>-49</v>
      </c>
      <c r="W64" s="2" t="n">
        <f aca="false">MAX(V63+IF($A64=W$4,1,-1),W63-1,V64-1)</f>
        <v>-47</v>
      </c>
      <c r="X64" s="2" t="n">
        <f aca="false">MAX(W63+IF($A64=X$4,1,-1),X63-1,W64-1)</f>
        <v>-47</v>
      </c>
      <c r="Y64" s="2" t="n">
        <f aca="false">MAX(X63+IF($A64=Y$4,1,-1),Y63-1,X64-1)</f>
        <v>-47</v>
      </c>
      <c r="Z64" s="2" t="n">
        <f aca="false">MAX(Y63+IF($A64=Z$4,1,-1),Z63-1,Y64-1)</f>
        <v>-47</v>
      </c>
      <c r="AA64" s="2" t="n">
        <f aca="false">MAX(Z63+IF($A64=AA$4,1,-1),AA63-1,Z64-1)</f>
        <v>-47</v>
      </c>
      <c r="AB64" s="2" t="n">
        <f aca="false">MAX(AA63+IF($A64=AB$4,1,-1),AB63-1,AA64-1)</f>
        <v>-47</v>
      </c>
      <c r="AC64" s="2" t="n">
        <f aca="false">MAX(AB63+IF($A64=AC$4,1,-1),AC63-1,AB64-1)</f>
        <v>-48</v>
      </c>
      <c r="AD64" s="2" t="n">
        <f aca="false">MAX(AC63+IF($A64=AD$4,1,-1),AD63-1,AC64-1)</f>
        <v>-49</v>
      </c>
      <c r="AE64" s="2" t="n">
        <f aca="false">MAX(AD63+IF($A64=AE$4,1,-1),AE63-1,AD64-1)</f>
        <v>-49</v>
      </c>
      <c r="AF64" s="2" t="n">
        <f aca="false">MAX(AE63+IF($A64=AF$4,1,-1),AF63-1,AE64-1)</f>
        <v>-49</v>
      </c>
      <c r="AG64" s="2" t="n">
        <f aca="false">MAX(AF63+IF($A64=AG$4,1,-1),AG63-1,AF64-1)</f>
        <v>-49</v>
      </c>
      <c r="AH64" s="2" t="n">
        <f aca="false">MAX(AG63+IF($A64=AH$4,1,-1),AH63-1,AG64-1)</f>
        <v>-49</v>
      </c>
      <c r="AI64" s="2" t="n">
        <f aca="false">MAX(AH63+IF($A64=AI$4,1,-1),AI63-1,AH64-1)</f>
        <v>-49</v>
      </c>
      <c r="AJ64" s="2" t="n">
        <f aca="false">MAX(AI63+IF($A64=AJ$4,1,-1),AJ63-1,AI64-1)</f>
        <v>-49</v>
      </c>
      <c r="AK64" s="2" t="n">
        <f aca="false">MAX(AJ63+IF($A64=AK$4,1,-1),AK63-1,AJ64-1)</f>
        <v>-49</v>
      </c>
      <c r="AL64" s="2" t="n">
        <f aca="false">MAX(AK63+IF($A64=AL$4,1,-1),AL63-1,AK64-1)</f>
        <v>-49</v>
      </c>
      <c r="AM64" s="2" t="n">
        <f aca="false">MAX(AL63+IF($A64=AM$4,1,-1),AM63-1,AL64-1)</f>
        <v>-49</v>
      </c>
      <c r="AN64" s="2" t="n">
        <f aca="false">MAX(AM63+IF($A64=AN$4,1,-1),AN63-1,AM64-1)</f>
        <v>-49</v>
      </c>
      <c r="AO64" s="2" t="n">
        <f aca="false">MAX(AN63+IF($A64=AO$4,1,-1),AO63-1,AN64-1)</f>
        <v>-49</v>
      </c>
      <c r="AP64" s="2" t="n">
        <f aca="false">MAX(AO63+IF($A64=AP$4,1,-1),AP63-1,AO64-1)</f>
        <v>-49</v>
      </c>
      <c r="AQ64" s="2" t="n">
        <f aca="false">MAX(AP63+IF($A64=AQ$4,1,-1),AQ63-1,AP64-1)</f>
        <v>-49</v>
      </c>
      <c r="AR64" s="2" t="n">
        <f aca="false">MAX(AQ63+IF($A64=AR$4,1,-1),AR63-1,AQ64-1)</f>
        <v>-49</v>
      </c>
      <c r="AS64" s="2" t="n">
        <f aca="false">MAX(AR63+IF($A64=AS$4,1,-1),AS63-1,AR64-1)</f>
        <v>-49</v>
      </c>
      <c r="AT64" s="2" t="n">
        <f aca="false">MAX(AS63+IF($A64=AT$4,1,-1),AT63-1,AS64-1)</f>
        <v>-49</v>
      </c>
      <c r="AU64" s="2" t="n">
        <f aca="false">MAX(AT63+IF($A64=AU$4,1,-1),AU63-1,AT64-1)</f>
        <v>-49</v>
      </c>
      <c r="AV64" s="2" t="n">
        <f aca="false">MAX(AU63+IF($A64=AV$4,1,-1),AV63-1,AU64-1)</f>
        <v>-49</v>
      </c>
      <c r="AW64" s="2" t="n">
        <f aca="false">MAX(AV63+IF($A64=AW$4,1,-1),AW63-1,AV64-1)</f>
        <v>-49</v>
      </c>
      <c r="AX64" s="2" t="n">
        <f aca="false">MAX(AW63+IF($A64=AX$4,1,-1),AX63-1,AW64-1)</f>
        <v>-49</v>
      </c>
      <c r="AY64" s="2" t="n">
        <f aca="false">MAX(AX63+IF($A64=AY$4,1,-1),AY63-1,AX64-1)</f>
        <v>-50</v>
      </c>
      <c r="AZ64" s="2" t="n">
        <f aca="false">MAX(AY63+IF($A64=AZ$4,1,-1),AZ63-1,AY64-1)</f>
        <v>-51</v>
      </c>
      <c r="BA64" s="2" t="n">
        <f aca="false">MAX(AZ63+IF($A64=BA$4,1,-1),BA63-1,AZ64-1)</f>
        <v>-51</v>
      </c>
      <c r="BB64" s="2" t="n">
        <f aca="false">MAX(BA63+IF($A64=BB$4,1,-1),BB63-1,BA64-1)</f>
        <v>-51</v>
      </c>
      <c r="BC64" s="2" t="n">
        <f aca="false">MAX(BB63+IF($A64=BC$4,1,-1),BC63-1,BB64-1)</f>
        <v>-51</v>
      </c>
      <c r="BD64" s="2" t="n">
        <f aca="false">MAX(BC63+IF($A64=BD$4,1,-1),BD63-1,BC64-1)</f>
        <v>-51</v>
      </c>
      <c r="BE64" s="2" t="n">
        <f aca="false">MAX(BD63+IF($A64=BE$4,1,-1),BE63-1,BD64-1)</f>
        <v>-52</v>
      </c>
      <c r="BF64" s="2" t="n">
        <f aca="false">MAX(BE63+IF($A64=BF$4,1,-1),BF63-1,BE64-1)</f>
        <v>-52</v>
      </c>
      <c r="BG64" s="2" t="n">
        <f aca="false">MAX(BF63+IF($A64=BG$4,1,-1),BG63-1,BF64-1)</f>
        <v>-52</v>
      </c>
      <c r="BH64" s="2" t="n">
        <f aca="false">MAX(BG63+IF($A64=BH$4,1,-1),BH63-1,BG64-1)</f>
        <v>-53</v>
      </c>
      <c r="BI64" s="2" t="n">
        <f aca="false">MAX(BH63+IF($A64=BI$4,1,-1),BI63-1,BH64-1)</f>
        <v>-53</v>
      </c>
      <c r="BJ64" s="2" t="n">
        <f aca="false">MAX(BI63+IF($A64=BJ$4,1,-1),BJ63-1,BI64-1)</f>
        <v>-53</v>
      </c>
      <c r="BK64" s="2" t="n">
        <f aca="false">MAX(BJ63+IF($A64=BK$4,1,-1),BK63-1,BJ64-1)</f>
        <v>-53</v>
      </c>
      <c r="BL64" s="2" t="n">
        <f aca="false">MAX(BK63+IF($A64=BL$4,1,-1),BL63-1,BK64-1)</f>
        <v>-54</v>
      </c>
      <c r="BM64" s="2" t="n">
        <f aca="false">MAX(BL63+IF($A64=BM$4,1,-1),BM63-1,BL64-1)</f>
        <v>-55</v>
      </c>
      <c r="BN64" s="2" t="n">
        <f aca="false">MAX(BM63+IF($A64=BN$4,1,-1),BN63-1,BM64-1)</f>
        <v>-56</v>
      </c>
      <c r="BO64" s="2" t="n">
        <f aca="false">MAX(BN63+IF($A64=BO$4,1,-1),BO63-1,BN64-1)</f>
        <v>-57</v>
      </c>
      <c r="BP64" s="2" t="n">
        <f aca="false">MAX(BO63+IF($A64=BP$4,1,-1),BP63-1,BO64-1)</f>
        <v>-58</v>
      </c>
      <c r="BQ64" s="2" t="n">
        <f aca="false">MAX(BP63+IF($A64=BQ$4,1,-1),BQ63-1,BP64-1)</f>
        <v>-59</v>
      </c>
      <c r="BR64" s="2" t="n">
        <f aca="false">MAX(BQ63+IF($A64=BR$4,1,-1),BR63-1,BQ64-1)</f>
        <v>-60</v>
      </c>
      <c r="BS64" s="2" t="n">
        <f aca="false">MAX(BR63+IF($A64=BS$4,1,-1),BS63-1,BR64-1)</f>
        <v>-61</v>
      </c>
      <c r="BT64" s="2" t="n">
        <f aca="false">MAX(BS63+IF($A64=BT$4,1,-1),BT63-1,BS64-1)</f>
        <v>-62</v>
      </c>
      <c r="BU64" s="2" t="n">
        <f aca="false">MAX(BT63+IF($A64=BU$4,1,-1),BU63-1,BT64-1)</f>
        <v>-63</v>
      </c>
      <c r="BV64" s="2" t="n">
        <f aca="false">MAX(BU63+IF($A64=BV$4,1,-1),BV63-1,BU64-1)</f>
        <v>-64</v>
      </c>
      <c r="BW64" s="2" t="n">
        <f aca="false">MAX(BV63+IF($A64=BW$4,1,-1),BW63-1,BV64-1)</f>
        <v>-65</v>
      </c>
      <c r="BX64" s="2" t="n">
        <f aca="false">MAX(BW63+IF($A64=BX$4,1,-1),BX63-1,BW64-1)</f>
        <v>-66</v>
      </c>
      <c r="BY64" s="2" t="n">
        <f aca="false">MAX(BX63+IF($A64=BY$4,1,-1),BY63-1,BX64-1)</f>
        <v>-67</v>
      </c>
      <c r="BZ64" s="2" t="n">
        <f aca="false">MAX(BY63+IF($A64=BZ$4,1,-1),BZ63-1,BY64-1)</f>
        <v>-67</v>
      </c>
      <c r="CA64" s="2" t="n">
        <f aca="false">MAX(BZ63+IF($A64=CA$4,1,-1),CA63-1,BZ64-1)</f>
        <v>-67</v>
      </c>
      <c r="CB64" s="2" t="n">
        <f aca="false">MAX(CA63+IF($A64=CB$4,1,-1),CB63-1,CA64-1)</f>
        <v>-68</v>
      </c>
      <c r="CC64" s="2" t="n">
        <f aca="false">MAX(CB63+IF($A64=CC$4,1,-1),CC63-1,CB64-1)</f>
        <v>-69</v>
      </c>
      <c r="CD64" s="2" t="n">
        <f aca="false">MAX(CC63+IF($A64=CD$4,1,-1),CD63-1,CC64-1)</f>
        <v>-70</v>
      </c>
      <c r="CE64" s="2" t="n">
        <f aca="false">MAX(CD63+IF($A64=CE$4,1,-1),CE63-1,CD64-1)</f>
        <v>-71</v>
      </c>
      <c r="CF64" s="2" t="n">
        <f aca="false">MAX(CE63+IF($A64=CF$4,1,-1),CF63-1,CE64-1)</f>
        <v>-72</v>
      </c>
      <c r="CG64" s="2" t="n">
        <f aca="false">MAX(CF63+IF($A64=CG$4,1,-1),CG63-1,CF64-1)</f>
        <v>-73</v>
      </c>
      <c r="CH64" s="2" t="n">
        <f aca="false">MAX(CG63+IF($A64=CH$4,1,-1),CH63-1,CG64-1)</f>
        <v>-74</v>
      </c>
      <c r="CI64" s="2" t="n">
        <f aca="false">MAX(CH63+IF($A64=CI$4,1,-1),CI63-1,CH64-1)</f>
        <v>-75</v>
      </c>
      <c r="CJ64" s="2" t="n">
        <f aca="false">MAX(CI63+IF($A64=CJ$4,1,-1),CJ63-1,CI64-1)</f>
        <v>-75</v>
      </c>
      <c r="CK64" s="2" t="n">
        <f aca="false">MAX(CJ63+IF($A64=CK$4,1,-1),CK63-1,CJ64-1)</f>
        <v>-75</v>
      </c>
      <c r="CL64" s="2" t="n">
        <f aca="false">MAX(CK63+IF($A64=CL$4,1,-1),CL63-1,CK64-1)</f>
        <v>-76</v>
      </c>
      <c r="CM64" s="2" t="n">
        <f aca="false">MAX(CL63+IF($A64=CM$4,1,-1),CM63-1,CL64-1)</f>
        <v>-77</v>
      </c>
      <c r="CN64" s="2" t="n">
        <f aca="false">MAX(CM63+IF($A64=CN$4,1,-1),CN63-1,CM64-1)</f>
        <v>-78</v>
      </c>
      <c r="CO64" s="2" t="n">
        <f aca="false">MAX(CN63+IF($A64=CO$4,1,-1),CO63-1,CN64-1)</f>
        <v>-79</v>
      </c>
      <c r="CP64" s="2" t="n">
        <f aca="false">MAX(CO63+IF($A64=CP$4,1,-1),CP63-1,CO64-1)</f>
        <v>-80</v>
      </c>
      <c r="CQ64" s="2" t="n">
        <f aca="false">MAX(CP63+IF($A64=CQ$4,1,-1),CQ63-1,CP64-1)</f>
        <v>-81</v>
      </c>
    </row>
    <row r="65" customFormat="false" ht="15" hidden="false" customHeight="false" outlineLevel="0" collapsed="false">
      <c r="A65" s="4" t="s">
        <v>182</v>
      </c>
      <c r="B65" s="12" t="n">
        <v>-60</v>
      </c>
      <c r="C65" s="2" t="n">
        <f aca="false">MAX(B64+IF($A65=C$4,1,-1),C64-1,B65-1)</f>
        <v>-60</v>
      </c>
      <c r="D65" s="2" t="n">
        <f aca="false">MAX(C64+IF($A65=D$4,1,-1),D64-1,C65-1)</f>
        <v>-58</v>
      </c>
      <c r="E65" s="2" t="n">
        <f aca="false">MAX(D64+IF($A65=E$4,1,-1),E64-1,D65-1)</f>
        <v>-56</v>
      </c>
      <c r="F65" s="2" t="n">
        <f aca="false">MAX(E64+IF($A65=F$4,1,-1),F64-1,E65-1)</f>
        <v>-54</v>
      </c>
      <c r="G65" s="2" t="n">
        <f aca="false">MAX(F64+IF($A65=G$4,1,-1),G64-1,F65-1)</f>
        <v>-54</v>
      </c>
      <c r="H65" s="2" t="n">
        <f aca="false">MAX(G64+IF($A65=H$4,1,-1),H64-1,G65-1)</f>
        <v>-54</v>
      </c>
      <c r="I65" s="2" t="n">
        <f aca="false">MAX(H64+IF($A65=I$4,1,-1),I64-1,H65-1)</f>
        <v>-54</v>
      </c>
      <c r="J65" s="2" t="n">
        <f aca="false">MAX(I64+IF($A65=J$4,1,-1),J64-1,I65-1)</f>
        <v>-54</v>
      </c>
      <c r="K65" s="2" t="n">
        <f aca="false">MAX(J64+IF($A65=K$4,1,-1),K64-1,J65-1)</f>
        <v>-53</v>
      </c>
      <c r="L65" s="2" t="n">
        <f aca="false">MAX(K64+IF($A65=L$4,1,-1),L64-1,K65-1)</f>
        <v>-53</v>
      </c>
      <c r="M65" s="2" t="n">
        <f aca="false">MAX(L64+IF($A65=M$4,1,-1),M64-1,L65-1)</f>
        <v>-53</v>
      </c>
      <c r="N65" s="2" t="n">
        <f aca="false">MAX(M64+IF($A65=N$4,1,-1),N64-1,M65-1)</f>
        <v>-51</v>
      </c>
      <c r="O65" s="2" t="n">
        <f aca="false">MAX(N64+IF($A65=O$4,1,-1),O64-1,N65-1)</f>
        <v>-50</v>
      </c>
      <c r="P65" s="2" t="n">
        <f aca="false">MAX(O64+IF($A65=P$4,1,-1),P64-1,O65-1)</f>
        <v>-50</v>
      </c>
      <c r="Q65" s="2" t="n">
        <f aca="false">MAX(P64+IF($A65=Q$4,1,-1),Q64-1,P65-1)</f>
        <v>-50</v>
      </c>
      <c r="R65" s="2" t="n">
        <f aca="false">MAX(Q64+IF($A65=R$4,1,-1),R64-1,Q65-1)</f>
        <v>-50</v>
      </c>
      <c r="S65" s="2" t="n">
        <f aca="false">MAX(R64+IF($A65=S$4,1,-1),S64-1,R65-1)</f>
        <v>-50</v>
      </c>
      <c r="T65" s="2" t="n">
        <f aca="false">MAX(S64+IF($A65=T$4,1,-1),T64-1,S65-1)</f>
        <v>-50</v>
      </c>
      <c r="U65" s="2" t="n">
        <f aca="false">MAX(T64+IF($A65=U$4,1,-1),U64-1,T65-1)</f>
        <v>-50</v>
      </c>
      <c r="V65" s="2" t="n">
        <f aca="false">MAX(U64+IF($A65=V$4,1,-1),V64-1,U65-1)</f>
        <v>-50</v>
      </c>
      <c r="W65" s="2" t="n">
        <f aca="false">MAX(V64+IF($A65=W$4,1,-1),W64-1,V65-1)</f>
        <v>-48</v>
      </c>
      <c r="X65" s="2" t="n">
        <f aca="false">MAX(W64+IF($A65=X$4,1,-1),X64-1,W65-1)</f>
        <v>-48</v>
      </c>
      <c r="Y65" s="2" t="n">
        <f aca="false">MAX(X64+IF($A65=Y$4,1,-1),Y64-1,X65-1)</f>
        <v>-48</v>
      </c>
      <c r="Z65" s="2" t="n">
        <f aca="false">MAX(Y64+IF($A65=Z$4,1,-1),Z64-1,Y65-1)</f>
        <v>-48</v>
      </c>
      <c r="AA65" s="2" t="n">
        <f aca="false">MAX(Z64+IF($A65=AA$4,1,-1),AA64-1,Z65-1)</f>
        <v>-48</v>
      </c>
      <c r="AB65" s="2" t="n">
        <f aca="false">MAX(AA64+IF($A65=AB$4,1,-1),AB64-1,AA65-1)</f>
        <v>-48</v>
      </c>
      <c r="AC65" s="2" t="n">
        <f aca="false">MAX(AB64+IF($A65=AC$4,1,-1),AC64-1,AB65-1)</f>
        <v>-48</v>
      </c>
      <c r="AD65" s="2" t="n">
        <f aca="false">MAX(AC64+IF($A65=AD$4,1,-1),AD64-1,AC65-1)</f>
        <v>-49</v>
      </c>
      <c r="AE65" s="2" t="n">
        <f aca="false">MAX(AD64+IF($A65=AE$4,1,-1),AE64-1,AD65-1)</f>
        <v>-50</v>
      </c>
      <c r="AF65" s="2" t="n">
        <f aca="false">MAX(AE64+IF($A65=AF$4,1,-1),AF64-1,AE65-1)</f>
        <v>-50</v>
      </c>
      <c r="AG65" s="2" t="n">
        <f aca="false">MAX(AF64+IF($A65=AG$4,1,-1),AG64-1,AF65-1)</f>
        <v>-50</v>
      </c>
      <c r="AH65" s="2" t="n">
        <f aca="false">MAX(AG64+IF($A65=AH$4,1,-1),AH64-1,AG65-1)</f>
        <v>-50</v>
      </c>
      <c r="AI65" s="2" t="n">
        <f aca="false">MAX(AH64+IF($A65=AI$4,1,-1),AI64-1,AH65-1)</f>
        <v>-50</v>
      </c>
      <c r="AJ65" s="2" t="n">
        <f aca="false">MAX(AI64+IF($A65=AJ$4,1,-1),AJ64-1,AI65-1)</f>
        <v>-50</v>
      </c>
      <c r="AK65" s="2" t="n">
        <f aca="false">MAX(AJ64+IF($A65=AK$4,1,-1),AK64-1,AJ65-1)</f>
        <v>-50</v>
      </c>
      <c r="AL65" s="2" t="n">
        <f aca="false">MAX(AK64+IF($A65=AL$4,1,-1),AL64-1,AK65-1)</f>
        <v>-50</v>
      </c>
      <c r="AM65" s="2" t="n">
        <f aca="false">MAX(AL64+IF($A65=AM$4,1,-1),AM64-1,AL65-1)</f>
        <v>-50</v>
      </c>
      <c r="AN65" s="2" t="n">
        <f aca="false">MAX(AM64+IF($A65=AN$4,1,-1),AN64-1,AM65-1)</f>
        <v>-50</v>
      </c>
      <c r="AO65" s="2" t="n">
        <f aca="false">MAX(AN64+IF($A65=AO$4,1,-1),AO64-1,AN65-1)</f>
        <v>-50</v>
      </c>
      <c r="AP65" s="2" t="n">
        <f aca="false">MAX(AO64+IF($A65=AP$4,1,-1),AP64-1,AO65-1)</f>
        <v>-50</v>
      </c>
      <c r="AQ65" s="2" t="n">
        <f aca="false">MAX(AP64+IF($A65=AQ$4,1,-1),AQ64-1,AP65-1)</f>
        <v>-50</v>
      </c>
      <c r="AR65" s="2" t="n">
        <f aca="false">MAX(AQ64+IF($A65=AR$4,1,-1),AR64-1,AQ65-1)</f>
        <v>-50</v>
      </c>
      <c r="AS65" s="2" t="n">
        <f aca="false">MAX(AR64+IF($A65=AS$4,1,-1),AS64-1,AR65-1)</f>
        <v>-50</v>
      </c>
      <c r="AT65" s="2" t="n">
        <f aca="false">MAX(AS64+IF($A65=AT$4,1,-1),AT64-1,AS65-1)</f>
        <v>-50</v>
      </c>
      <c r="AU65" s="2" t="n">
        <f aca="false">MAX(AT64+IF($A65=AU$4,1,-1),AU64-1,AT65-1)</f>
        <v>-50</v>
      </c>
      <c r="AV65" s="2" t="n">
        <f aca="false">MAX(AU64+IF($A65=AV$4,1,-1),AV64-1,AU65-1)</f>
        <v>-50</v>
      </c>
      <c r="AW65" s="2" t="n">
        <f aca="false">MAX(AV64+IF($A65=AW$4,1,-1),AW64-1,AV65-1)</f>
        <v>-50</v>
      </c>
      <c r="AX65" s="2" t="n">
        <f aca="false">MAX(AW64+IF($A65=AX$4,1,-1),AX64-1,AW65-1)</f>
        <v>-50</v>
      </c>
      <c r="AY65" s="2" t="n">
        <f aca="false">MAX(AX64+IF($A65=AY$4,1,-1),AY64-1,AX65-1)</f>
        <v>-50</v>
      </c>
      <c r="AZ65" s="2" t="n">
        <f aca="false">MAX(AY64+IF($A65=AZ$4,1,-1),AZ64-1,AY65-1)</f>
        <v>-51</v>
      </c>
      <c r="BA65" s="2" t="n">
        <f aca="false">MAX(AZ64+IF($A65=BA$4,1,-1),BA64-1,AZ65-1)</f>
        <v>-52</v>
      </c>
      <c r="BB65" s="2" t="n">
        <f aca="false">MAX(BA64+IF($A65=BB$4,1,-1),BB64-1,BA65-1)</f>
        <v>-52</v>
      </c>
      <c r="BC65" s="2" t="n">
        <f aca="false">MAX(BB64+IF($A65=BC$4,1,-1),BC64-1,BB65-1)</f>
        <v>-52</v>
      </c>
      <c r="BD65" s="2" t="n">
        <f aca="false">MAX(BC64+IF($A65=BD$4,1,-1),BD64-1,BC65-1)</f>
        <v>-52</v>
      </c>
      <c r="BE65" s="2" t="n">
        <f aca="false">MAX(BD64+IF($A65=BE$4,1,-1),BE64-1,BD65-1)</f>
        <v>-52</v>
      </c>
      <c r="BF65" s="2" t="n">
        <f aca="false">MAX(BE64+IF($A65=BF$4,1,-1),BF64-1,BE65-1)</f>
        <v>-53</v>
      </c>
      <c r="BG65" s="2" t="n">
        <f aca="false">MAX(BF64+IF($A65=BG$4,1,-1),BG64-1,BF65-1)</f>
        <v>-53</v>
      </c>
      <c r="BH65" s="2" t="n">
        <f aca="false">MAX(BG64+IF($A65=BH$4,1,-1),BH64-1,BG65-1)</f>
        <v>-53</v>
      </c>
      <c r="BI65" s="2" t="n">
        <f aca="false">MAX(BH64+IF($A65=BI$4,1,-1),BI64-1,BH65-1)</f>
        <v>-54</v>
      </c>
      <c r="BJ65" s="2" t="n">
        <f aca="false">MAX(BI64+IF($A65=BJ$4,1,-1),BJ64-1,BI65-1)</f>
        <v>-54</v>
      </c>
      <c r="BK65" s="2" t="n">
        <f aca="false">MAX(BJ64+IF($A65=BK$4,1,-1),BK64-1,BJ65-1)</f>
        <v>-54</v>
      </c>
      <c r="BL65" s="2" t="n">
        <f aca="false">MAX(BK64+IF($A65=BL$4,1,-1),BL64-1,BK65-1)</f>
        <v>-54</v>
      </c>
      <c r="BM65" s="2" t="n">
        <f aca="false">MAX(BL64+IF($A65=BM$4,1,-1),BM64-1,BL65-1)</f>
        <v>-55</v>
      </c>
      <c r="BN65" s="2" t="n">
        <f aca="false">MAX(BM64+IF($A65=BN$4,1,-1),BN64-1,BM65-1)</f>
        <v>-56</v>
      </c>
      <c r="BO65" s="2" t="n">
        <f aca="false">MAX(BN64+IF($A65=BO$4,1,-1),BO64-1,BN65-1)</f>
        <v>-57</v>
      </c>
      <c r="BP65" s="2" t="n">
        <f aca="false">MAX(BO64+IF($A65=BP$4,1,-1),BP64-1,BO65-1)</f>
        <v>-58</v>
      </c>
      <c r="BQ65" s="2" t="n">
        <f aca="false">MAX(BP64+IF($A65=BQ$4,1,-1),BQ64-1,BP65-1)</f>
        <v>-59</v>
      </c>
      <c r="BR65" s="2" t="n">
        <f aca="false">MAX(BQ64+IF($A65=BR$4,1,-1),BR64-1,BQ65-1)</f>
        <v>-60</v>
      </c>
      <c r="BS65" s="2" t="n">
        <f aca="false">MAX(BR64+IF($A65=BS$4,1,-1),BS64-1,BR65-1)</f>
        <v>-61</v>
      </c>
      <c r="BT65" s="2" t="n">
        <f aca="false">MAX(BS64+IF($A65=BT$4,1,-1),BT64-1,BS65-1)</f>
        <v>-62</v>
      </c>
      <c r="BU65" s="2" t="n">
        <f aca="false">MAX(BT64+IF($A65=BU$4,1,-1),BU64-1,BT65-1)</f>
        <v>-63</v>
      </c>
      <c r="BV65" s="2" t="n">
        <f aca="false">MAX(BU64+IF($A65=BV$4,1,-1),BV64-1,BU65-1)</f>
        <v>-64</v>
      </c>
      <c r="BW65" s="2" t="n">
        <f aca="false">MAX(BV64+IF($A65=BW$4,1,-1),BW64-1,BV65-1)</f>
        <v>-65</v>
      </c>
      <c r="BX65" s="2" t="n">
        <f aca="false">MAX(BW64+IF($A65=BX$4,1,-1),BX64-1,BW65-1)</f>
        <v>-66</v>
      </c>
      <c r="BY65" s="2" t="n">
        <f aca="false">MAX(BX64+IF($A65=BY$4,1,-1),BY64-1,BX65-1)</f>
        <v>-67</v>
      </c>
      <c r="BZ65" s="2" t="n">
        <f aca="false">MAX(BY64+IF($A65=BZ$4,1,-1),BZ64-1,BY65-1)</f>
        <v>-68</v>
      </c>
      <c r="CA65" s="2" t="n">
        <f aca="false">MAX(BZ64+IF($A65=CA$4,1,-1),CA64-1,BZ65-1)</f>
        <v>-68</v>
      </c>
      <c r="CB65" s="2" t="n">
        <f aca="false">MAX(CA64+IF($A65=CB$4,1,-1),CB64-1,CA65-1)</f>
        <v>-68</v>
      </c>
      <c r="CC65" s="2" t="n">
        <f aca="false">MAX(CB64+IF($A65=CC$4,1,-1),CC64-1,CB65-1)</f>
        <v>-69</v>
      </c>
      <c r="CD65" s="2" t="n">
        <f aca="false">MAX(CC64+IF($A65=CD$4,1,-1),CD64-1,CC65-1)</f>
        <v>-70</v>
      </c>
      <c r="CE65" s="2" t="n">
        <f aca="false">MAX(CD64+IF($A65=CE$4,1,-1),CE64-1,CD65-1)</f>
        <v>-71</v>
      </c>
      <c r="CF65" s="2" t="n">
        <f aca="false">MAX(CE64+IF($A65=CF$4,1,-1),CF64-1,CE65-1)</f>
        <v>-72</v>
      </c>
      <c r="CG65" s="2" t="n">
        <f aca="false">MAX(CF64+IF($A65=CG$4,1,-1),CG64-1,CF65-1)</f>
        <v>-73</v>
      </c>
      <c r="CH65" s="2" t="n">
        <f aca="false">MAX(CG64+IF($A65=CH$4,1,-1),CH64-1,CG65-1)</f>
        <v>-74</v>
      </c>
      <c r="CI65" s="2" t="n">
        <f aca="false">MAX(CH64+IF($A65=CI$4,1,-1),CI64-1,CH65-1)</f>
        <v>-75</v>
      </c>
      <c r="CJ65" s="2" t="n">
        <f aca="false">MAX(CI64+IF($A65=CJ$4,1,-1),CJ64-1,CI65-1)</f>
        <v>-76</v>
      </c>
      <c r="CK65" s="2" t="n">
        <f aca="false">MAX(CJ64+IF($A65=CK$4,1,-1),CK64-1,CJ65-1)</f>
        <v>-76</v>
      </c>
      <c r="CL65" s="2" t="n">
        <f aca="false">MAX(CK64+IF($A65=CL$4,1,-1),CL64-1,CK65-1)</f>
        <v>-76</v>
      </c>
      <c r="CM65" s="2" t="n">
        <f aca="false">MAX(CL64+IF($A65=CM$4,1,-1),CM64-1,CL65-1)</f>
        <v>-77</v>
      </c>
      <c r="CN65" s="2" t="n">
        <f aca="false">MAX(CM64+IF($A65=CN$4,1,-1),CN64-1,CM65-1)</f>
        <v>-78</v>
      </c>
      <c r="CO65" s="2" t="n">
        <f aca="false">MAX(CN64+IF($A65=CO$4,1,-1),CO64-1,CN65-1)</f>
        <v>-79</v>
      </c>
      <c r="CP65" s="2" t="n">
        <f aca="false">MAX(CO64+IF($A65=CP$4,1,-1),CP64-1,CO65-1)</f>
        <v>-80</v>
      </c>
      <c r="CQ65" s="2" t="n">
        <f aca="false">MAX(CP64+IF($A65=CQ$4,1,-1),CQ64-1,CP65-1)</f>
        <v>-81</v>
      </c>
    </row>
    <row r="66" customFormat="false" ht="15" hidden="false" customHeight="false" outlineLevel="0" collapsed="false">
      <c r="A66" s="4" t="s">
        <v>89</v>
      </c>
      <c r="B66" s="12" t="n">
        <v>-61</v>
      </c>
      <c r="C66" s="2" t="n">
        <f aca="false">MAX(B65+IF($A66=C$4,1,-1),C65-1,B66-1)</f>
        <v>-61</v>
      </c>
      <c r="D66" s="2" t="n">
        <f aca="false">MAX(C65+IF($A66=D$4,1,-1),D65-1,C66-1)</f>
        <v>-59</v>
      </c>
      <c r="E66" s="2" t="n">
        <f aca="false">MAX(D65+IF($A66=E$4,1,-1),E65-1,D66-1)</f>
        <v>-57</v>
      </c>
      <c r="F66" s="2" t="n">
        <f aca="false">MAX(E65+IF($A66=F$4,1,-1),F65-1,E66-1)</f>
        <v>-55</v>
      </c>
      <c r="G66" s="2" t="n">
        <f aca="false">MAX(F65+IF($A66=G$4,1,-1),G65-1,F66-1)</f>
        <v>-55</v>
      </c>
      <c r="H66" s="2" t="n">
        <f aca="false">MAX(G65+IF($A66=H$4,1,-1),H65-1,G66-1)</f>
        <v>-55</v>
      </c>
      <c r="I66" s="2" t="n">
        <f aca="false">MAX(H65+IF($A66=I$4,1,-1),I65-1,H66-1)</f>
        <v>-55</v>
      </c>
      <c r="J66" s="2" t="n">
        <f aca="false">MAX(I65+IF($A66=J$4,1,-1),J65-1,I66-1)</f>
        <v>-55</v>
      </c>
      <c r="K66" s="2" t="n">
        <f aca="false">MAX(J65+IF($A66=K$4,1,-1),K65-1,J66-1)</f>
        <v>-53</v>
      </c>
      <c r="L66" s="2" t="n">
        <f aca="false">MAX(K65+IF($A66=L$4,1,-1),L65-1,K66-1)</f>
        <v>-54</v>
      </c>
      <c r="M66" s="2" t="n">
        <f aca="false">MAX(L65+IF($A66=M$4,1,-1),M65-1,L66-1)</f>
        <v>-54</v>
      </c>
      <c r="N66" s="2" t="n">
        <f aca="false">MAX(M65+IF($A66=N$4,1,-1),N65-1,M66-1)</f>
        <v>-52</v>
      </c>
      <c r="O66" s="2" t="n">
        <f aca="false">MAX(N65+IF($A66=O$4,1,-1),O65-1,N66-1)</f>
        <v>-50</v>
      </c>
      <c r="P66" s="2" t="n">
        <f aca="false">MAX(O65+IF($A66=P$4,1,-1),P65-1,O66-1)</f>
        <v>-51</v>
      </c>
      <c r="Q66" s="2" t="n">
        <f aca="false">MAX(P65+IF($A66=Q$4,1,-1),Q65-1,P66-1)</f>
        <v>-51</v>
      </c>
      <c r="R66" s="2" t="n">
        <f aca="false">MAX(Q65+IF($A66=R$4,1,-1),R65-1,Q66-1)</f>
        <v>-51</v>
      </c>
      <c r="S66" s="2" t="n">
        <f aca="false">MAX(R65+IF($A66=S$4,1,-1),S65-1,R66-1)</f>
        <v>-51</v>
      </c>
      <c r="T66" s="2" t="n">
        <f aca="false">MAX(S65+IF($A66=T$4,1,-1),T65-1,S66-1)</f>
        <v>-51</v>
      </c>
      <c r="U66" s="2" t="n">
        <f aca="false">MAX(T65+IF($A66=U$4,1,-1),U65-1,T66-1)</f>
        <v>-51</v>
      </c>
      <c r="V66" s="2" t="n">
        <f aca="false">MAX(U65+IF($A66=V$4,1,-1),V65-1,U66-1)</f>
        <v>-51</v>
      </c>
      <c r="W66" s="2" t="n">
        <f aca="false">MAX(V65+IF($A66=W$4,1,-1),W65-1,V66-1)</f>
        <v>-49</v>
      </c>
      <c r="X66" s="2" t="n">
        <f aca="false">MAX(W65+IF($A66=X$4,1,-1),X65-1,W66-1)</f>
        <v>-49</v>
      </c>
      <c r="Y66" s="2" t="n">
        <f aca="false">MAX(X65+IF($A66=Y$4,1,-1),Y65-1,X66-1)</f>
        <v>-49</v>
      </c>
      <c r="Z66" s="2" t="n">
        <f aca="false">MAX(Y65+IF($A66=Z$4,1,-1),Z65-1,Y66-1)</f>
        <v>-49</v>
      </c>
      <c r="AA66" s="2" t="n">
        <f aca="false">MAX(Z65+IF($A66=AA$4,1,-1),AA65-1,Z66-1)</f>
        <v>-49</v>
      </c>
      <c r="AB66" s="2" t="n">
        <f aca="false">MAX(AA65+IF($A66=AB$4,1,-1),AB65-1,AA66-1)</f>
        <v>-49</v>
      </c>
      <c r="AC66" s="2" t="n">
        <f aca="false">MAX(AB65+IF($A66=AC$4,1,-1),AC65-1,AB66-1)</f>
        <v>-49</v>
      </c>
      <c r="AD66" s="2" t="n">
        <f aca="false">MAX(AC65+IF($A66=AD$4,1,-1),AD65-1,AC66-1)</f>
        <v>-49</v>
      </c>
      <c r="AE66" s="2" t="n">
        <f aca="false">MAX(AD65+IF($A66=AE$4,1,-1),AE65-1,AD66-1)</f>
        <v>-50</v>
      </c>
      <c r="AF66" s="2" t="n">
        <f aca="false">MAX(AE65+IF($A66=AF$4,1,-1),AF65-1,AE66-1)</f>
        <v>-51</v>
      </c>
      <c r="AG66" s="2" t="n">
        <f aca="false">MAX(AF65+IF($A66=AG$4,1,-1),AG65-1,AF66-1)</f>
        <v>-51</v>
      </c>
      <c r="AH66" s="2" t="n">
        <f aca="false">MAX(AG65+IF($A66=AH$4,1,-1),AH65-1,AG66-1)</f>
        <v>-51</v>
      </c>
      <c r="AI66" s="2" t="n">
        <f aca="false">MAX(AH65+IF($A66=AI$4,1,-1),AI65-1,AH66-1)</f>
        <v>-51</v>
      </c>
      <c r="AJ66" s="2" t="n">
        <f aca="false">MAX(AI65+IF($A66=AJ$4,1,-1),AJ65-1,AI66-1)</f>
        <v>-51</v>
      </c>
      <c r="AK66" s="2" t="n">
        <f aca="false">MAX(AJ65+IF($A66=AK$4,1,-1),AK65-1,AJ66-1)</f>
        <v>-51</v>
      </c>
      <c r="AL66" s="2" t="n">
        <f aca="false">MAX(AK65+IF($A66=AL$4,1,-1),AL65-1,AK66-1)</f>
        <v>-51</v>
      </c>
      <c r="AM66" s="2" t="n">
        <f aca="false">MAX(AL65+IF($A66=AM$4,1,-1),AM65-1,AL66-1)</f>
        <v>-51</v>
      </c>
      <c r="AN66" s="2" t="n">
        <f aca="false">MAX(AM65+IF($A66=AN$4,1,-1),AN65-1,AM66-1)</f>
        <v>-51</v>
      </c>
      <c r="AO66" s="2" t="n">
        <f aca="false">MAX(AN65+IF($A66=AO$4,1,-1),AO65-1,AN66-1)</f>
        <v>-51</v>
      </c>
      <c r="AP66" s="2" t="n">
        <f aca="false">MAX(AO65+IF($A66=AP$4,1,-1),AP65-1,AO66-1)</f>
        <v>-51</v>
      </c>
      <c r="AQ66" s="2" t="n">
        <f aca="false">MAX(AP65+IF($A66=AQ$4,1,-1),AQ65-1,AP66-1)</f>
        <v>-51</v>
      </c>
      <c r="AR66" s="2" t="n">
        <f aca="false">MAX(AQ65+IF($A66=AR$4,1,-1),AR65-1,AQ66-1)</f>
        <v>-51</v>
      </c>
      <c r="AS66" s="2" t="n">
        <f aca="false">MAX(AR65+IF($A66=AS$4,1,-1),AS65-1,AR66-1)</f>
        <v>-51</v>
      </c>
      <c r="AT66" s="2" t="n">
        <f aca="false">MAX(AS65+IF($A66=AT$4,1,-1),AT65-1,AS66-1)</f>
        <v>-51</v>
      </c>
      <c r="AU66" s="2" t="n">
        <f aca="false">MAX(AT65+IF($A66=AU$4,1,-1),AU65-1,AT66-1)</f>
        <v>-51</v>
      </c>
      <c r="AV66" s="2" t="n">
        <f aca="false">MAX(AU65+IF($A66=AV$4,1,-1),AV65-1,AU66-1)</f>
        <v>-51</v>
      </c>
      <c r="AW66" s="2" t="n">
        <f aca="false">MAX(AV65+IF($A66=AW$4,1,-1),AW65-1,AV66-1)</f>
        <v>-51</v>
      </c>
      <c r="AX66" s="2" t="n">
        <f aca="false">MAX(AW65+IF($A66=AX$4,1,-1),AX65-1,AW66-1)</f>
        <v>-51</v>
      </c>
      <c r="AY66" s="2" t="n">
        <f aca="false">MAX(AX65+IF($A66=AY$4,1,-1),AY65-1,AX66-1)</f>
        <v>-51</v>
      </c>
      <c r="AZ66" s="2" t="n">
        <f aca="false">MAX(AY65+IF($A66=AZ$4,1,-1),AZ65-1,AY66-1)</f>
        <v>-51</v>
      </c>
      <c r="BA66" s="2" t="n">
        <f aca="false">MAX(AZ65+IF($A66=BA$4,1,-1),BA65-1,AZ66-1)</f>
        <v>-52</v>
      </c>
      <c r="BB66" s="2" t="n">
        <f aca="false">MAX(BA65+IF($A66=BB$4,1,-1),BB65-1,BA66-1)</f>
        <v>-53</v>
      </c>
      <c r="BC66" s="2" t="n">
        <f aca="false">MAX(BB65+IF($A66=BC$4,1,-1),BC65-1,BB66-1)</f>
        <v>-53</v>
      </c>
      <c r="BD66" s="2" t="n">
        <f aca="false">MAX(BC65+IF($A66=BD$4,1,-1),BD65-1,BC66-1)</f>
        <v>-53</v>
      </c>
      <c r="BE66" s="2" t="n">
        <f aca="false">MAX(BD65+IF($A66=BE$4,1,-1),BE65-1,BD66-1)</f>
        <v>-53</v>
      </c>
      <c r="BF66" s="2" t="n">
        <f aca="false">MAX(BE65+IF($A66=BF$4,1,-1),BF65-1,BE66-1)</f>
        <v>-53</v>
      </c>
      <c r="BG66" s="2" t="n">
        <f aca="false">MAX(BF65+IF($A66=BG$4,1,-1),BG65-1,BF66-1)</f>
        <v>-54</v>
      </c>
      <c r="BH66" s="2" t="n">
        <f aca="false">MAX(BG65+IF($A66=BH$4,1,-1),BH65-1,BG66-1)</f>
        <v>-54</v>
      </c>
      <c r="BI66" s="2" t="n">
        <f aca="false">MAX(BH65+IF($A66=BI$4,1,-1),BI65-1,BH66-1)</f>
        <v>-54</v>
      </c>
      <c r="BJ66" s="2" t="n">
        <f aca="false">MAX(BI65+IF($A66=BJ$4,1,-1),BJ65-1,BI66-1)</f>
        <v>-55</v>
      </c>
      <c r="BK66" s="2" t="n">
        <f aca="false">MAX(BJ65+IF($A66=BK$4,1,-1),BK65-1,BJ66-1)</f>
        <v>-55</v>
      </c>
      <c r="BL66" s="2" t="n">
        <f aca="false">MAX(BK65+IF($A66=BL$4,1,-1),BL65-1,BK66-1)</f>
        <v>-53</v>
      </c>
      <c r="BM66" s="2" t="n">
        <f aca="false">MAX(BL65+IF($A66=BM$4,1,-1),BM65-1,BL66-1)</f>
        <v>-54</v>
      </c>
      <c r="BN66" s="2" t="n">
        <f aca="false">MAX(BM65+IF($A66=BN$4,1,-1),BN65-1,BM66-1)</f>
        <v>-55</v>
      </c>
      <c r="BO66" s="2" t="n">
        <f aca="false">MAX(BN65+IF($A66=BO$4,1,-1),BO65-1,BN66-1)</f>
        <v>-56</v>
      </c>
      <c r="BP66" s="2" t="n">
        <f aca="false">MAX(BO65+IF($A66=BP$4,1,-1),BP65-1,BO66-1)</f>
        <v>-57</v>
      </c>
      <c r="BQ66" s="2" t="n">
        <f aca="false">MAX(BP65+IF($A66=BQ$4,1,-1),BQ65-1,BP66-1)</f>
        <v>-58</v>
      </c>
      <c r="BR66" s="2" t="n">
        <f aca="false">MAX(BQ65+IF($A66=BR$4,1,-1),BR65-1,BQ66-1)</f>
        <v>-59</v>
      </c>
      <c r="BS66" s="2" t="n">
        <f aca="false">MAX(BR65+IF($A66=BS$4,1,-1),BS65-1,BR66-1)</f>
        <v>-60</v>
      </c>
      <c r="BT66" s="2" t="n">
        <f aca="false">MAX(BS65+IF($A66=BT$4,1,-1),BT65-1,BS66-1)</f>
        <v>-61</v>
      </c>
      <c r="BU66" s="2" t="n">
        <f aca="false">MAX(BT65+IF($A66=BU$4,1,-1),BU65-1,BT66-1)</f>
        <v>-62</v>
      </c>
      <c r="BV66" s="2" t="n">
        <f aca="false">MAX(BU65+IF($A66=BV$4,1,-1),BV65-1,BU66-1)</f>
        <v>-63</v>
      </c>
      <c r="BW66" s="2" t="n">
        <f aca="false">MAX(BV65+IF($A66=BW$4,1,-1),BW65-1,BV66-1)</f>
        <v>-64</v>
      </c>
      <c r="BX66" s="2" t="n">
        <f aca="false">MAX(BW65+IF($A66=BX$4,1,-1),BX65-1,BW66-1)</f>
        <v>-65</v>
      </c>
      <c r="BY66" s="2" t="n">
        <f aca="false">MAX(BX65+IF($A66=BY$4,1,-1),BY65-1,BX66-1)</f>
        <v>-66</v>
      </c>
      <c r="BZ66" s="2" t="n">
        <f aca="false">MAX(BY65+IF($A66=BZ$4,1,-1),BZ65-1,BY66-1)</f>
        <v>-67</v>
      </c>
      <c r="CA66" s="2" t="n">
        <f aca="false">MAX(BZ65+IF($A66=CA$4,1,-1),CA65-1,BZ66-1)</f>
        <v>-68</v>
      </c>
      <c r="CB66" s="2" t="n">
        <f aca="false">MAX(CA65+IF($A66=CB$4,1,-1),CB65-1,CA66-1)</f>
        <v>-69</v>
      </c>
      <c r="CC66" s="2" t="n">
        <f aca="false">MAX(CB65+IF($A66=CC$4,1,-1),CC65-1,CB66-1)</f>
        <v>-69</v>
      </c>
      <c r="CD66" s="2" t="n">
        <f aca="false">MAX(CC65+IF($A66=CD$4,1,-1),CD65-1,CC66-1)</f>
        <v>-70</v>
      </c>
      <c r="CE66" s="2" t="n">
        <f aca="false">MAX(CD65+IF($A66=CE$4,1,-1),CE65-1,CD66-1)</f>
        <v>-71</v>
      </c>
      <c r="CF66" s="2" t="n">
        <f aca="false">MAX(CE65+IF($A66=CF$4,1,-1),CF65-1,CE66-1)</f>
        <v>-72</v>
      </c>
      <c r="CG66" s="2" t="n">
        <f aca="false">MAX(CF65+IF($A66=CG$4,1,-1),CG65-1,CF66-1)</f>
        <v>-73</v>
      </c>
      <c r="CH66" s="2" t="n">
        <f aca="false">MAX(CG65+IF($A66=CH$4,1,-1),CH65-1,CG66-1)</f>
        <v>-74</v>
      </c>
      <c r="CI66" s="2" t="n">
        <f aca="false">MAX(CH65+IF($A66=CI$4,1,-1),CI65-1,CH66-1)</f>
        <v>-75</v>
      </c>
      <c r="CJ66" s="2" t="n">
        <f aca="false">MAX(CI65+IF($A66=CJ$4,1,-1),CJ65-1,CI66-1)</f>
        <v>-76</v>
      </c>
      <c r="CK66" s="2" t="n">
        <f aca="false">MAX(CJ65+IF($A66=CK$4,1,-1),CK65-1,CJ66-1)</f>
        <v>-77</v>
      </c>
      <c r="CL66" s="2" t="n">
        <f aca="false">MAX(CK65+IF($A66=CL$4,1,-1),CL65-1,CK66-1)</f>
        <v>-77</v>
      </c>
      <c r="CM66" s="2" t="n">
        <f aca="false">MAX(CL65+IF($A66=CM$4,1,-1),CM65-1,CL66-1)</f>
        <v>-77</v>
      </c>
      <c r="CN66" s="2" t="n">
        <f aca="false">MAX(CM65+IF($A66=CN$4,1,-1),CN65-1,CM66-1)</f>
        <v>-78</v>
      </c>
      <c r="CO66" s="2" t="n">
        <f aca="false">MAX(CN65+IF($A66=CO$4,1,-1),CO65-1,CN66-1)</f>
        <v>-79</v>
      </c>
      <c r="CP66" s="2" t="n">
        <f aca="false">MAX(CO65+IF($A66=CP$4,1,-1),CP65-1,CO66-1)</f>
        <v>-80</v>
      </c>
      <c r="CQ66" s="2" t="n">
        <f aca="false">MAX(CP65+IF($A66=CQ$4,1,-1),CQ65-1,CP66-1)</f>
        <v>-81</v>
      </c>
    </row>
    <row r="67" customFormat="false" ht="15" hidden="false" customHeight="false" outlineLevel="0" collapsed="false">
      <c r="A67" s="4" t="s">
        <v>183</v>
      </c>
      <c r="B67" s="12" t="n">
        <v>-62</v>
      </c>
      <c r="C67" s="2" t="n">
        <f aca="false">MAX(B66+IF($A67=C$4,1,-1),C66-1,B67-1)</f>
        <v>-62</v>
      </c>
      <c r="D67" s="2" t="n">
        <f aca="false">MAX(C66+IF($A67=D$4,1,-1),D66-1,C67-1)</f>
        <v>-60</v>
      </c>
      <c r="E67" s="2" t="n">
        <f aca="false">MAX(D66+IF($A67=E$4,1,-1),E66-1,D67-1)</f>
        <v>-58</v>
      </c>
      <c r="F67" s="2" t="n">
        <f aca="false">MAX(E66+IF($A67=F$4,1,-1),F66-1,E67-1)</f>
        <v>-56</v>
      </c>
      <c r="G67" s="2" t="n">
        <f aca="false">MAX(F66+IF($A67=G$4,1,-1),G66-1,F67-1)</f>
        <v>-56</v>
      </c>
      <c r="H67" s="2" t="n">
        <f aca="false">MAX(G66+IF($A67=H$4,1,-1),H66-1,G67-1)</f>
        <v>-56</v>
      </c>
      <c r="I67" s="2" t="n">
        <f aca="false">MAX(H66+IF($A67=I$4,1,-1),I66-1,H67-1)</f>
        <v>-56</v>
      </c>
      <c r="J67" s="2" t="n">
        <f aca="false">MAX(I66+IF($A67=J$4,1,-1),J66-1,I67-1)</f>
        <v>-56</v>
      </c>
      <c r="K67" s="2" t="n">
        <f aca="false">MAX(J66+IF($A67=K$4,1,-1),K66-1,J67-1)</f>
        <v>-54</v>
      </c>
      <c r="L67" s="2" t="n">
        <f aca="false">MAX(K66+IF($A67=L$4,1,-1),L66-1,K67-1)</f>
        <v>-54</v>
      </c>
      <c r="M67" s="2" t="n">
        <f aca="false">MAX(L66+IF($A67=M$4,1,-1),M66-1,L67-1)</f>
        <v>-55</v>
      </c>
      <c r="N67" s="2" t="n">
        <f aca="false">MAX(M66+IF($A67=N$4,1,-1),N66-1,M67-1)</f>
        <v>-53</v>
      </c>
      <c r="O67" s="2" t="n">
        <f aca="false">MAX(N66+IF($A67=O$4,1,-1),O66-1,N67-1)</f>
        <v>-51</v>
      </c>
      <c r="P67" s="2" t="n">
        <f aca="false">MAX(O66+IF($A67=P$4,1,-1),P66-1,O67-1)</f>
        <v>-51</v>
      </c>
      <c r="Q67" s="2" t="n">
        <f aca="false">MAX(P66+IF($A67=Q$4,1,-1),Q66-1,P67-1)</f>
        <v>-52</v>
      </c>
      <c r="R67" s="2" t="n">
        <f aca="false">MAX(Q66+IF($A67=R$4,1,-1),R66-1,Q67-1)</f>
        <v>-52</v>
      </c>
      <c r="S67" s="2" t="n">
        <f aca="false">MAX(R66+IF($A67=S$4,1,-1),S66-1,R67-1)</f>
        <v>-52</v>
      </c>
      <c r="T67" s="2" t="n">
        <f aca="false">MAX(S66+IF($A67=T$4,1,-1),T66-1,S67-1)</f>
        <v>-52</v>
      </c>
      <c r="U67" s="2" t="n">
        <f aca="false">MAX(T66+IF($A67=U$4,1,-1),U66-1,T67-1)</f>
        <v>-52</v>
      </c>
      <c r="V67" s="2" t="n">
        <f aca="false">MAX(U66+IF($A67=V$4,1,-1),V66-1,U67-1)</f>
        <v>-52</v>
      </c>
      <c r="W67" s="2" t="n">
        <f aca="false">MAX(V66+IF($A67=W$4,1,-1),W66-1,V67-1)</f>
        <v>-50</v>
      </c>
      <c r="X67" s="2" t="n">
        <f aca="false">MAX(W66+IF($A67=X$4,1,-1),X66-1,W67-1)</f>
        <v>-50</v>
      </c>
      <c r="Y67" s="2" t="n">
        <f aca="false">MAX(X66+IF($A67=Y$4,1,-1),Y66-1,X67-1)</f>
        <v>-50</v>
      </c>
      <c r="Z67" s="2" t="n">
        <f aca="false">MAX(Y66+IF($A67=Z$4,1,-1),Z66-1,Y67-1)</f>
        <v>-50</v>
      </c>
      <c r="AA67" s="2" t="n">
        <f aca="false">MAX(Z66+IF($A67=AA$4,1,-1),AA66-1,Z67-1)</f>
        <v>-50</v>
      </c>
      <c r="AB67" s="2" t="n">
        <f aca="false">MAX(AA66+IF($A67=AB$4,1,-1),AB66-1,AA67-1)</f>
        <v>-50</v>
      </c>
      <c r="AC67" s="2" t="n">
        <f aca="false">MAX(AB66+IF($A67=AC$4,1,-1),AC66-1,AB67-1)</f>
        <v>-50</v>
      </c>
      <c r="AD67" s="2" t="n">
        <f aca="false">MAX(AC66+IF($A67=AD$4,1,-1),AD66-1,AC67-1)</f>
        <v>-50</v>
      </c>
      <c r="AE67" s="2" t="n">
        <f aca="false">MAX(AD66+IF($A67=AE$4,1,-1),AE66-1,AD67-1)</f>
        <v>-50</v>
      </c>
      <c r="AF67" s="2" t="n">
        <f aca="false">MAX(AE66+IF($A67=AF$4,1,-1),AF66-1,AE67-1)</f>
        <v>-51</v>
      </c>
      <c r="AG67" s="2" t="n">
        <f aca="false">MAX(AF66+IF($A67=AG$4,1,-1),AG66-1,AF67-1)</f>
        <v>-52</v>
      </c>
      <c r="AH67" s="2" t="n">
        <f aca="false">MAX(AG66+IF($A67=AH$4,1,-1),AH66-1,AG67-1)</f>
        <v>-52</v>
      </c>
      <c r="AI67" s="2" t="n">
        <f aca="false">MAX(AH66+IF($A67=AI$4,1,-1),AI66-1,AH67-1)</f>
        <v>-52</v>
      </c>
      <c r="AJ67" s="2" t="n">
        <f aca="false">MAX(AI66+IF($A67=AJ$4,1,-1),AJ66-1,AI67-1)</f>
        <v>-52</v>
      </c>
      <c r="AK67" s="2" t="n">
        <f aca="false">MAX(AJ66+IF($A67=AK$4,1,-1),AK66-1,AJ67-1)</f>
        <v>-52</v>
      </c>
      <c r="AL67" s="2" t="n">
        <f aca="false">MAX(AK66+IF($A67=AL$4,1,-1),AL66-1,AK67-1)</f>
        <v>-52</v>
      </c>
      <c r="AM67" s="2" t="n">
        <f aca="false">MAX(AL66+IF($A67=AM$4,1,-1),AM66-1,AL67-1)</f>
        <v>-52</v>
      </c>
      <c r="AN67" s="2" t="n">
        <f aca="false">MAX(AM66+IF($A67=AN$4,1,-1),AN66-1,AM67-1)</f>
        <v>-52</v>
      </c>
      <c r="AO67" s="2" t="n">
        <f aca="false">MAX(AN66+IF($A67=AO$4,1,-1),AO66-1,AN67-1)</f>
        <v>-52</v>
      </c>
      <c r="AP67" s="2" t="n">
        <f aca="false">MAX(AO66+IF($A67=AP$4,1,-1),AP66-1,AO67-1)</f>
        <v>-52</v>
      </c>
      <c r="AQ67" s="2" t="n">
        <f aca="false">MAX(AP66+IF($A67=AQ$4,1,-1),AQ66-1,AP67-1)</f>
        <v>-52</v>
      </c>
      <c r="AR67" s="2" t="n">
        <f aca="false">MAX(AQ66+IF($A67=AR$4,1,-1),AR66-1,AQ67-1)</f>
        <v>-52</v>
      </c>
      <c r="AS67" s="2" t="n">
        <f aca="false">MAX(AR66+IF($A67=AS$4,1,-1),AS66-1,AR67-1)</f>
        <v>-52</v>
      </c>
      <c r="AT67" s="2" t="n">
        <f aca="false">MAX(AS66+IF($A67=AT$4,1,-1),AT66-1,AS67-1)</f>
        <v>-52</v>
      </c>
      <c r="AU67" s="2" t="n">
        <f aca="false">MAX(AT66+IF($A67=AU$4,1,-1),AU66-1,AT67-1)</f>
        <v>-52</v>
      </c>
      <c r="AV67" s="2" t="n">
        <f aca="false">MAX(AU66+IF($A67=AV$4,1,-1),AV66-1,AU67-1)</f>
        <v>-52</v>
      </c>
      <c r="AW67" s="2" t="n">
        <f aca="false">MAX(AV66+IF($A67=AW$4,1,-1),AW66-1,AV67-1)</f>
        <v>-52</v>
      </c>
      <c r="AX67" s="2" t="n">
        <f aca="false">MAX(AW66+IF($A67=AX$4,1,-1),AX66-1,AW67-1)</f>
        <v>-52</v>
      </c>
      <c r="AY67" s="2" t="n">
        <f aca="false">MAX(AX66+IF($A67=AY$4,1,-1),AY66-1,AX67-1)</f>
        <v>-52</v>
      </c>
      <c r="AZ67" s="2" t="n">
        <f aca="false">MAX(AY66+IF($A67=AZ$4,1,-1),AZ66-1,AY67-1)</f>
        <v>-52</v>
      </c>
      <c r="BA67" s="2" t="n">
        <f aca="false">MAX(AZ66+IF($A67=BA$4,1,-1),BA66-1,AZ67-1)</f>
        <v>-52</v>
      </c>
      <c r="BB67" s="2" t="n">
        <f aca="false">MAX(BA66+IF($A67=BB$4,1,-1),BB66-1,BA67-1)</f>
        <v>-53</v>
      </c>
      <c r="BC67" s="2" t="n">
        <f aca="false">MAX(BB66+IF($A67=BC$4,1,-1),BC66-1,BB67-1)</f>
        <v>-54</v>
      </c>
      <c r="BD67" s="2" t="n">
        <f aca="false">MAX(BC66+IF($A67=BD$4,1,-1),BD66-1,BC67-1)</f>
        <v>-54</v>
      </c>
      <c r="BE67" s="2" t="n">
        <f aca="false">MAX(BD66+IF($A67=BE$4,1,-1),BE66-1,BD67-1)</f>
        <v>-54</v>
      </c>
      <c r="BF67" s="2" t="n">
        <f aca="false">MAX(BE66+IF($A67=BF$4,1,-1),BF66-1,BE67-1)</f>
        <v>-54</v>
      </c>
      <c r="BG67" s="2" t="n">
        <f aca="false">MAX(BF66+IF($A67=BG$4,1,-1),BG66-1,BF67-1)</f>
        <v>-54</v>
      </c>
      <c r="BH67" s="2" t="n">
        <f aca="false">MAX(BG66+IF($A67=BH$4,1,-1),BH66-1,BG67-1)</f>
        <v>-55</v>
      </c>
      <c r="BI67" s="2" t="n">
        <f aca="false">MAX(BH66+IF($A67=BI$4,1,-1),BI66-1,BH67-1)</f>
        <v>-55</v>
      </c>
      <c r="BJ67" s="2" t="n">
        <f aca="false">MAX(BI66+IF($A67=BJ$4,1,-1),BJ66-1,BI67-1)</f>
        <v>-55</v>
      </c>
      <c r="BK67" s="2" t="n">
        <f aca="false">MAX(BJ66+IF($A67=BK$4,1,-1),BK66-1,BJ67-1)</f>
        <v>-56</v>
      </c>
      <c r="BL67" s="2" t="n">
        <f aca="false">MAX(BK66+IF($A67=BL$4,1,-1),BL66-1,BK67-1)</f>
        <v>-54</v>
      </c>
      <c r="BM67" s="2" t="n">
        <f aca="false">MAX(BL66+IF($A67=BM$4,1,-1),BM66-1,BL67-1)</f>
        <v>-54</v>
      </c>
      <c r="BN67" s="2" t="n">
        <f aca="false">MAX(BM66+IF($A67=BN$4,1,-1),BN66-1,BM67-1)</f>
        <v>-55</v>
      </c>
      <c r="BO67" s="2" t="n">
        <f aca="false">MAX(BN66+IF($A67=BO$4,1,-1),BO66-1,BN67-1)</f>
        <v>-56</v>
      </c>
      <c r="BP67" s="2" t="n">
        <f aca="false">MAX(BO66+IF($A67=BP$4,1,-1),BP66-1,BO67-1)</f>
        <v>-57</v>
      </c>
      <c r="BQ67" s="2" t="n">
        <f aca="false">MAX(BP66+IF($A67=BQ$4,1,-1),BQ66-1,BP67-1)</f>
        <v>-58</v>
      </c>
      <c r="BR67" s="2" t="n">
        <f aca="false">MAX(BQ66+IF($A67=BR$4,1,-1),BR66-1,BQ67-1)</f>
        <v>-59</v>
      </c>
      <c r="BS67" s="2" t="n">
        <f aca="false">MAX(BR66+IF($A67=BS$4,1,-1),BS66-1,BR67-1)</f>
        <v>-60</v>
      </c>
      <c r="BT67" s="2" t="n">
        <f aca="false">MAX(BS66+IF($A67=BT$4,1,-1),BT66-1,BS67-1)</f>
        <v>-61</v>
      </c>
      <c r="BU67" s="2" t="n">
        <f aca="false">MAX(BT66+IF($A67=BU$4,1,-1),BU66-1,BT67-1)</f>
        <v>-62</v>
      </c>
      <c r="BV67" s="2" t="n">
        <f aca="false">MAX(BU66+IF($A67=BV$4,1,-1),BV66-1,BU67-1)</f>
        <v>-63</v>
      </c>
      <c r="BW67" s="2" t="n">
        <f aca="false">MAX(BV66+IF($A67=BW$4,1,-1),BW66-1,BV67-1)</f>
        <v>-64</v>
      </c>
      <c r="BX67" s="2" t="n">
        <f aca="false">MAX(BW66+IF($A67=BX$4,1,-1),BX66-1,BW67-1)</f>
        <v>-65</v>
      </c>
      <c r="BY67" s="2" t="n">
        <f aca="false">MAX(BX66+IF($A67=BY$4,1,-1),BY66-1,BX67-1)</f>
        <v>-66</v>
      </c>
      <c r="BZ67" s="2" t="n">
        <f aca="false">MAX(BY66+IF($A67=BZ$4,1,-1),BZ66-1,BY67-1)</f>
        <v>-67</v>
      </c>
      <c r="CA67" s="2" t="n">
        <f aca="false">MAX(BZ66+IF($A67=CA$4,1,-1),CA66-1,BZ67-1)</f>
        <v>-68</v>
      </c>
      <c r="CB67" s="2" t="n">
        <f aca="false">MAX(CA66+IF($A67=CB$4,1,-1),CB66-1,CA67-1)</f>
        <v>-69</v>
      </c>
      <c r="CC67" s="2" t="n">
        <f aca="false">MAX(CB66+IF($A67=CC$4,1,-1),CC66-1,CB67-1)</f>
        <v>-70</v>
      </c>
      <c r="CD67" s="2" t="n">
        <f aca="false">MAX(CC66+IF($A67=CD$4,1,-1),CD66-1,CC67-1)</f>
        <v>-70</v>
      </c>
      <c r="CE67" s="2" t="n">
        <f aca="false">MAX(CD66+IF($A67=CE$4,1,-1),CE66-1,CD67-1)</f>
        <v>-71</v>
      </c>
      <c r="CF67" s="2" t="n">
        <f aca="false">MAX(CE66+IF($A67=CF$4,1,-1),CF66-1,CE67-1)</f>
        <v>-72</v>
      </c>
      <c r="CG67" s="2" t="n">
        <f aca="false">MAX(CF66+IF($A67=CG$4,1,-1),CG66-1,CF67-1)</f>
        <v>-73</v>
      </c>
      <c r="CH67" s="2" t="n">
        <f aca="false">MAX(CG66+IF($A67=CH$4,1,-1),CH66-1,CG67-1)</f>
        <v>-74</v>
      </c>
      <c r="CI67" s="2" t="n">
        <f aca="false">MAX(CH66+IF($A67=CI$4,1,-1),CI66-1,CH67-1)</f>
        <v>-75</v>
      </c>
      <c r="CJ67" s="2" t="n">
        <f aca="false">MAX(CI66+IF($A67=CJ$4,1,-1),CJ66-1,CI67-1)</f>
        <v>-76</v>
      </c>
      <c r="CK67" s="2" t="n">
        <f aca="false">MAX(CJ66+IF($A67=CK$4,1,-1),CK66-1,CJ67-1)</f>
        <v>-77</v>
      </c>
      <c r="CL67" s="2" t="n">
        <f aca="false">MAX(CK66+IF($A67=CL$4,1,-1),CL66-1,CK67-1)</f>
        <v>-78</v>
      </c>
      <c r="CM67" s="2" t="n">
        <f aca="false">MAX(CL66+IF($A67=CM$4,1,-1),CM66-1,CL67-1)</f>
        <v>-78</v>
      </c>
      <c r="CN67" s="2" t="n">
        <f aca="false">MAX(CM66+IF($A67=CN$4,1,-1),CN66-1,CM67-1)</f>
        <v>-78</v>
      </c>
      <c r="CO67" s="2" t="n">
        <f aca="false">MAX(CN66+IF($A67=CO$4,1,-1),CO66-1,CN67-1)</f>
        <v>-79</v>
      </c>
      <c r="CP67" s="2" t="n">
        <f aca="false">MAX(CO66+IF($A67=CP$4,1,-1),CP66-1,CO67-1)</f>
        <v>-80</v>
      </c>
      <c r="CQ67" s="2" t="n">
        <f aca="false">MAX(CP66+IF($A67=CQ$4,1,-1),CQ66-1,CP67-1)</f>
        <v>-81</v>
      </c>
    </row>
    <row r="68" customFormat="false" ht="15" hidden="false" customHeight="false" outlineLevel="0" collapsed="false">
      <c r="A68" s="4" t="s">
        <v>184</v>
      </c>
      <c r="B68" s="12" t="n">
        <v>-63</v>
      </c>
      <c r="C68" s="2" t="n">
        <f aca="false">MAX(B67+IF($A68=C$4,1,-1),C67-1,B68-1)</f>
        <v>-63</v>
      </c>
      <c r="D68" s="2" t="n">
        <f aca="false">MAX(C67+IF($A68=D$4,1,-1),D67-1,C68-1)</f>
        <v>-61</v>
      </c>
      <c r="E68" s="2" t="n">
        <f aca="false">MAX(D67+IF($A68=E$4,1,-1),E67-1,D68-1)</f>
        <v>-59</v>
      </c>
      <c r="F68" s="2" t="n">
        <f aca="false">MAX(E67+IF($A68=F$4,1,-1),F67-1,E68-1)</f>
        <v>-57</v>
      </c>
      <c r="G68" s="2" t="n">
        <f aca="false">MAX(F67+IF($A68=G$4,1,-1),G67-1,F68-1)</f>
        <v>-57</v>
      </c>
      <c r="H68" s="2" t="n">
        <f aca="false">MAX(G67+IF($A68=H$4,1,-1),H67-1,G68-1)</f>
        <v>-57</v>
      </c>
      <c r="I68" s="2" t="n">
        <f aca="false">MAX(H67+IF($A68=I$4,1,-1),I67-1,H68-1)</f>
        <v>-57</v>
      </c>
      <c r="J68" s="2" t="n">
        <f aca="false">MAX(I67+IF($A68=J$4,1,-1),J67-1,I68-1)</f>
        <v>-57</v>
      </c>
      <c r="K68" s="2" t="n">
        <f aca="false">MAX(J67+IF($A68=K$4,1,-1),K67-1,J68-1)</f>
        <v>-55</v>
      </c>
      <c r="L68" s="2" t="n">
        <f aca="false">MAX(K67+IF($A68=L$4,1,-1),L67-1,K68-1)</f>
        <v>-55</v>
      </c>
      <c r="M68" s="2" t="n">
        <f aca="false">MAX(L67+IF($A68=M$4,1,-1),M67-1,L68-1)</f>
        <v>-55</v>
      </c>
      <c r="N68" s="2" t="n">
        <f aca="false">MAX(M67+IF($A68=N$4,1,-1),N67-1,M68-1)</f>
        <v>-54</v>
      </c>
      <c r="O68" s="2" t="n">
        <f aca="false">MAX(N67+IF($A68=O$4,1,-1),O67-1,N68-1)</f>
        <v>-52</v>
      </c>
      <c r="P68" s="2" t="n">
        <f aca="false">MAX(O67+IF($A68=P$4,1,-1),P67-1,O68-1)</f>
        <v>-52</v>
      </c>
      <c r="Q68" s="2" t="n">
        <f aca="false">MAX(P67+IF($A68=Q$4,1,-1),Q67-1,P68-1)</f>
        <v>-52</v>
      </c>
      <c r="R68" s="2" t="n">
        <f aca="false">MAX(Q67+IF($A68=R$4,1,-1),R67-1,Q68-1)</f>
        <v>-53</v>
      </c>
      <c r="S68" s="2" t="n">
        <f aca="false">MAX(R67+IF($A68=S$4,1,-1),S67-1,R68-1)</f>
        <v>-53</v>
      </c>
      <c r="T68" s="2" t="n">
        <f aca="false">MAX(S67+IF($A68=T$4,1,-1),T67-1,S68-1)</f>
        <v>-53</v>
      </c>
      <c r="U68" s="2" t="n">
        <f aca="false">MAX(T67+IF($A68=U$4,1,-1),U67-1,T68-1)</f>
        <v>-53</v>
      </c>
      <c r="V68" s="2" t="n">
        <f aca="false">MAX(U67+IF($A68=V$4,1,-1),V67-1,U68-1)</f>
        <v>-53</v>
      </c>
      <c r="W68" s="2" t="n">
        <f aca="false">MAX(V67+IF($A68=W$4,1,-1),W67-1,V68-1)</f>
        <v>-51</v>
      </c>
      <c r="X68" s="2" t="n">
        <f aca="false">MAX(W67+IF($A68=X$4,1,-1),X67-1,W68-1)</f>
        <v>-51</v>
      </c>
      <c r="Y68" s="2" t="n">
        <f aca="false">MAX(X67+IF($A68=Y$4,1,-1),Y67-1,X68-1)</f>
        <v>-51</v>
      </c>
      <c r="Z68" s="2" t="n">
        <f aca="false">MAX(Y67+IF($A68=Z$4,1,-1),Z67-1,Y68-1)</f>
        <v>-51</v>
      </c>
      <c r="AA68" s="2" t="n">
        <f aca="false">MAX(Z67+IF($A68=AA$4,1,-1),AA67-1,Z68-1)</f>
        <v>-51</v>
      </c>
      <c r="AB68" s="2" t="n">
        <f aca="false">MAX(AA67+IF($A68=AB$4,1,-1),AB67-1,AA68-1)</f>
        <v>-51</v>
      </c>
      <c r="AC68" s="2" t="n">
        <f aca="false">MAX(AB67+IF($A68=AC$4,1,-1),AC67-1,AB68-1)</f>
        <v>-51</v>
      </c>
      <c r="AD68" s="2" t="n">
        <f aca="false">MAX(AC67+IF($A68=AD$4,1,-1),AD67-1,AC68-1)</f>
        <v>-51</v>
      </c>
      <c r="AE68" s="2" t="n">
        <f aca="false">MAX(AD67+IF($A68=AE$4,1,-1),AE67-1,AD68-1)</f>
        <v>-51</v>
      </c>
      <c r="AF68" s="2" t="n">
        <f aca="false">MAX(AE67+IF($A68=AF$4,1,-1),AF67-1,AE68-1)</f>
        <v>-51</v>
      </c>
      <c r="AG68" s="2" t="n">
        <f aca="false">MAX(AF67+IF($A68=AG$4,1,-1),AG67-1,AF68-1)</f>
        <v>-52</v>
      </c>
      <c r="AH68" s="2" t="n">
        <f aca="false">MAX(AG67+IF($A68=AH$4,1,-1),AH67-1,AG68-1)</f>
        <v>-53</v>
      </c>
      <c r="AI68" s="2" t="n">
        <f aca="false">MAX(AH67+IF($A68=AI$4,1,-1),AI67-1,AH68-1)</f>
        <v>-53</v>
      </c>
      <c r="AJ68" s="2" t="n">
        <f aca="false">MAX(AI67+IF($A68=AJ$4,1,-1),AJ67-1,AI68-1)</f>
        <v>-53</v>
      </c>
      <c r="AK68" s="2" t="n">
        <f aca="false">MAX(AJ67+IF($A68=AK$4,1,-1),AK67-1,AJ68-1)</f>
        <v>-53</v>
      </c>
      <c r="AL68" s="2" t="n">
        <f aca="false">MAX(AK67+IF($A68=AL$4,1,-1),AL67-1,AK68-1)</f>
        <v>-53</v>
      </c>
      <c r="AM68" s="2" t="n">
        <f aca="false">MAX(AL67+IF($A68=AM$4,1,-1),AM67-1,AL68-1)</f>
        <v>-53</v>
      </c>
      <c r="AN68" s="2" t="n">
        <f aca="false">MAX(AM67+IF($A68=AN$4,1,-1),AN67-1,AM68-1)</f>
        <v>-53</v>
      </c>
      <c r="AO68" s="2" t="n">
        <f aca="false">MAX(AN67+IF($A68=AO$4,1,-1),AO67-1,AN68-1)</f>
        <v>-53</v>
      </c>
      <c r="AP68" s="2" t="n">
        <f aca="false">MAX(AO67+IF($A68=AP$4,1,-1),AP67-1,AO68-1)</f>
        <v>-53</v>
      </c>
      <c r="AQ68" s="2" t="n">
        <f aca="false">MAX(AP67+IF($A68=AQ$4,1,-1),AQ67-1,AP68-1)</f>
        <v>-53</v>
      </c>
      <c r="AR68" s="2" t="n">
        <f aca="false">MAX(AQ67+IF($A68=AR$4,1,-1),AR67-1,AQ68-1)</f>
        <v>-53</v>
      </c>
      <c r="AS68" s="2" t="n">
        <f aca="false">MAX(AR67+IF($A68=AS$4,1,-1),AS67-1,AR68-1)</f>
        <v>-53</v>
      </c>
      <c r="AT68" s="2" t="n">
        <f aca="false">MAX(AS67+IF($A68=AT$4,1,-1),AT67-1,AS68-1)</f>
        <v>-53</v>
      </c>
      <c r="AU68" s="2" t="n">
        <f aca="false">MAX(AT67+IF($A68=AU$4,1,-1),AU67-1,AT68-1)</f>
        <v>-53</v>
      </c>
      <c r="AV68" s="2" t="n">
        <f aca="false">MAX(AU67+IF($A68=AV$4,1,-1),AV67-1,AU68-1)</f>
        <v>-53</v>
      </c>
      <c r="AW68" s="2" t="n">
        <f aca="false">MAX(AV67+IF($A68=AW$4,1,-1),AW67-1,AV68-1)</f>
        <v>-53</v>
      </c>
      <c r="AX68" s="2" t="n">
        <f aca="false">MAX(AW67+IF($A68=AX$4,1,-1),AX67-1,AW68-1)</f>
        <v>-53</v>
      </c>
      <c r="AY68" s="2" t="n">
        <f aca="false">MAX(AX67+IF($A68=AY$4,1,-1),AY67-1,AX68-1)</f>
        <v>-53</v>
      </c>
      <c r="AZ68" s="2" t="n">
        <f aca="false">MAX(AY67+IF($A68=AZ$4,1,-1),AZ67-1,AY68-1)</f>
        <v>-53</v>
      </c>
      <c r="BA68" s="2" t="n">
        <f aca="false">MAX(AZ67+IF($A68=BA$4,1,-1),BA67-1,AZ68-1)</f>
        <v>-53</v>
      </c>
      <c r="BB68" s="2" t="n">
        <f aca="false">MAX(BA67+IF($A68=BB$4,1,-1),BB67-1,BA68-1)</f>
        <v>-53</v>
      </c>
      <c r="BC68" s="2" t="n">
        <f aca="false">MAX(BB67+IF($A68=BC$4,1,-1),BC67-1,BB68-1)</f>
        <v>-54</v>
      </c>
      <c r="BD68" s="2" t="n">
        <f aca="false">MAX(BC67+IF($A68=BD$4,1,-1),BD67-1,BC68-1)</f>
        <v>-55</v>
      </c>
      <c r="BE68" s="2" t="n">
        <f aca="false">MAX(BD67+IF($A68=BE$4,1,-1),BE67-1,BD68-1)</f>
        <v>-55</v>
      </c>
      <c r="BF68" s="2" t="n">
        <f aca="false">MAX(BE67+IF($A68=BF$4,1,-1),BF67-1,BE68-1)</f>
        <v>-55</v>
      </c>
      <c r="BG68" s="2" t="n">
        <f aca="false">MAX(BF67+IF($A68=BG$4,1,-1),BG67-1,BF68-1)</f>
        <v>-55</v>
      </c>
      <c r="BH68" s="2" t="n">
        <f aca="false">MAX(BG67+IF($A68=BH$4,1,-1),BH67-1,BG68-1)</f>
        <v>-55</v>
      </c>
      <c r="BI68" s="2" t="n">
        <f aca="false">MAX(BH67+IF($A68=BI$4,1,-1),BI67-1,BH68-1)</f>
        <v>-56</v>
      </c>
      <c r="BJ68" s="2" t="n">
        <f aca="false">MAX(BI67+IF($A68=BJ$4,1,-1),BJ67-1,BI68-1)</f>
        <v>-56</v>
      </c>
      <c r="BK68" s="2" t="n">
        <f aca="false">MAX(BJ67+IF($A68=BK$4,1,-1),BK67-1,BJ68-1)</f>
        <v>-56</v>
      </c>
      <c r="BL68" s="2" t="n">
        <f aca="false">MAX(BK67+IF($A68=BL$4,1,-1),BL67-1,BK68-1)</f>
        <v>-55</v>
      </c>
      <c r="BM68" s="2" t="n">
        <f aca="false">MAX(BL67+IF($A68=BM$4,1,-1),BM67-1,BL68-1)</f>
        <v>-55</v>
      </c>
      <c r="BN68" s="2" t="n">
        <f aca="false">MAX(BM67+IF($A68=BN$4,1,-1),BN67-1,BM68-1)</f>
        <v>-55</v>
      </c>
      <c r="BO68" s="2" t="n">
        <f aca="false">MAX(BN67+IF($A68=BO$4,1,-1),BO67-1,BN68-1)</f>
        <v>-56</v>
      </c>
      <c r="BP68" s="2" t="n">
        <f aca="false">MAX(BO67+IF($A68=BP$4,1,-1),BP67-1,BO68-1)</f>
        <v>-57</v>
      </c>
      <c r="BQ68" s="2" t="n">
        <f aca="false">MAX(BP67+IF($A68=BQ$4,1,-1),BQ67-1,BP68-1)</f>
        <v>-58</v>
      </c>
      <c r="BR68" s="2" t="n">
        <f aca="false">MAX(BQ67+IF($A68=BR$4,1,-1),BR67-1,BQ68-1)</f>
        <v>-59</v>
      </c>
      <c r="BS68" s="2" t="n">
        <f aca="false">MAX(BR67+IF($A68=BS$4,1,-1),BS67-1,BR68-1)</f>
        <v>-60</v>
      </c>
      <c r="BT68" s="2" t="n">
        <f aca="false">MAX(BS67+IF($A68=BT$4,1,-1),BT67-1,BS68-1)</f>
        <v>-61</v>
      </c>
      <c r="BU68" s="2" t="n">
        <f aca="false">MAX(BT67+IF($A68=BU$4,1,-1),BU67-1,BT68-1)</f>
        <v>-62</v>
      </c>
      <c r="BV68" s="2" t="n">
        <f aca="false">MAX(BU67+IF($A68=BV$4,1,-1),BV67-1,BU68-1)</f>
        <v>-63</v>
      </c>
      <c r="BW68" s="2" t="n">
        <f aca="false">MAX(BV67+IF($A68=BW$4,1,-1),BW67-1,BV68-1)</f>
        <v>-64</v>
      </c>
      <c r="BX68" s="2" t="n">
        <f aca="false">MAX(BW67+IF($A68=BX$4,1,-1),BX67-1,BW68-1)</f>
        <v>-65</v>
      </c>
      <c r="BY68" s="2" t="n">
        <f aca="false">MAX(BX67+IF($A68=BY$4,1,-1),BY67-1,BX68-1)</f>
        <v>-66</v>
      </c>
      <c r="BZ68" s="2" t="n">
        <f aca="false">MAX(BY67+IF($A68=BZ$4,1,-1),BZ67-1,BY68-1)</f>
        <v>-67</v>
      </c>
      <c r="CA68" s="2" t="n">
        <f aca="false">MAX(BZ67+IF($A68=CA$4,1,-1),CA67-1,BZ68-1)</f>
        <v>-68</v>
      </c>
      <c r="CB68" s="2" t="n">
        <f aca="false">MAX(CA67+IF($A68=CB$4,1,-1),CB67-1,CA68-1)</f>
        <v>-69</v>
      </c>
      <c r="CC68" s="2" t="n">
        <f aca="false">MAX(CB67+IF($A68=CC$4,1,-1),CC67-1,CB68-1)</f>
        <v>-70</v>
      </c>
      <c r="CD68" s="2" t="n">
        <f aca="false">MAX(CC67+IF($A68=CD$4,1,-1),CD67-1,CC68-1)</f>
        <v>-71</v>
      </c>
      <c r="CE68" s="2" t="n">
        <f aca="false">MAX(CD67+IF($A68=CE$4,1,-1),CE67-1,CD68-1)</f>
        <v>-71</v>
      </c>
      <c r="CF68" s="2" t="n">
        <f aca="false">MAX(CE67+IF($A68=CF$4,1,-1),CF67-1,CE68-1)</f>
        <v>-72</v>
      </c>
      <c r="CG68" s="2" t="n">
        <f aca="false">MAX(CF67+IF($A68=CG$4,1,-1),CG67-1,CF68-1)</f>
        <v>-73</v>
      </c>
      <c r="CH68" s="2" t="n">
        <f aca="false">MAX(CG67+IF($A68=CH$4,1,-1),CH67-1,CG68-1)</f>
        <v>-74</v>
      </c>
      <c r="CI68" s="2" t="n">
        <f aca="false">MAX(CH67+IF($A68=CI$4,1,-1),CI67-1,CH68-1)</f>
        <v>-75</v>
      </c>
      <c r="CJ68" s="2" t="n">
        <f aca="false">MAX(CI67+IF($A68=CJ$4,1,-1),CJ67-1,CI68-1)</f>
        <v>-76</v>
      </c>
      <c r="CK68" s="2" t="n">
        <f aca="false">MAX(CJ67+IF($A68=CK$4,1,-1),CK67-1,CJ68-1)</f>
        <v>-77</v>
      </c>
      <c r="CL68" s="2" t="n">
        <f aca="false">MAX(CK67+IF($A68=CL$4,1,-1),CL67-1,CK68-1)</f>
        <v>-78</v>
      </c>
      <c r="CM68" s="2" t="n">
        <f aca="false">MAX(CL67+IF($A68=CM$4,1,-1),CM67-1,CL68-1)</f>
        <v>-79</v>
      </c>
      <c r="CN68" s="2" t="n">
        <f aca="false">MAX(CM67+IF($A68=CN$4,1,-1),CN67-1,CM68-1)</f>
        <v>-79</v>
      </c>
      <c r="CO68" s="2" t="n">
        <f aca="false">MAX(CN67+IF($A68=CO$4,1,-1),CO67-1,CN68-1)</f>
        <v>-79</v>
      </c>
      <c r="CP68" s="2" t="n">
        <f aca="false">MAX(CO67+IF($A68=CP$4,1,-1),CP67-1,CO68-1)</f>
        <v>-80</v>
      </c>
      <c r="CQ68" s="2" t="n">
        <f aca="false">MAX(CP67+IF($A68=CQ$4,1,-1),CQ67-1,CP68-1)</f>
        <v>-81</v>
      </c>
    </row>
    <row r="69" customFormat="false" ht="15" hidden="false" customHeight="false" outlineLevel="0" collapsed="false">
      <c r="A69" s="4" t="s">
        <v>99</v>
      </c>
      <c r="B69" s="12" t="n">
        <v>-64</v>
      </c>
      <c r="C69" s="2" t="n">
        <f aca="false">MAX(B68+IF($A69=C$4,1,-1),C68-1,B69-1)</f>
        <v>-64</v>
      </c>
      <c r="D69" s="2" t="n">
        <f aca="false">MAX(C68+IF($A69=D$4,1,-1),D68-1,C69-1)</f>
        <v>-62</v>
      </c>
      <c r="E69" s="2" t="n">
        <f aca="false">MAX(D68+IF($A69=E$4,1,-1),E68-1,D69-1)</f>
        <v>-60</v>
      </c>
      <c r="F69" s="2" t="n">
        <f aca="false">MAX(E68+IF($A69=F$4,1,-1),F68-1,E69-1)</f>
        <v>-58</v>
      </c>
      <c r="G69" s="2" t="n">
        <f aca="false">MAX(F68+IF($A69=G$4,1,-1),G68-1,F69-1)</f>
        <v>-58</v>
      </c>
      <c r="H69" s="2" t="n">
        <f aca="false">MAX(G68+IF($A69=H$4,1,-1),H68-1,G69-1)</f>
        <v>-58</v>
      </c>
      <c r="I69" s="2" t="n">
        <f aca="false">MAX(H68+IF($A69=I$4,1,-1),I68-1,H69-1)</f>
        <v>-58</v>
      </c>
      <c r="J69" s="2" t="n">
        <f aca="false">MAX(I68+IF($A69=J$4,1,-1),J68-1,I69-1)</f>
        <v>-58</v>
      </c>
      <c r="K69" s="2" t="n">
        <f aca="false">MAX(J68+IF($A69=K$4,1,-1),K68-1,J69-1)</f>
        <v>-56</v>
      </c>
      <c r="L69" s="2" t="n">
        <f aca="false">MAX(K68+IF($A69=L$4,1,-1),L68-1,K69-1)</f>
        <v>-56</v>
      </c>
      <c r="M69" s="2" t="n">
        <f aca="false">MAX(L68+IF($A69=M$4,1,-1),M68-1,L69-1)</f>
        <v>-56</v>
      </c>
      <c r="N69" s="2" t="n">
        <f aca="false">MAX(M68+IF($A69=N$4,1,-1),N68-1,M69-1)</f>
        <v>-55</v>
      </c>
      <c r="O69" s="2" t="n">
        <f aca="false">MAX(N68+IF($A69=O$4,1,-1),O68-1,N69-1)</f>
        <v>-53</v>
      </c>
      <c r="P69" s="2" t="n">
        <f aca="false">MAX(O68+IF($A69=P$4,1,-1),P68-1,O69-1)</f>
        <v>-53</v>
      </c>
      <c r="Q69" s="2" t="n">
        <f aca="false">MAX(P68+IF($A69=Q$4,1,-1),Q68-1,P69-1)</f>
        <v>-53</v>
      </c>
      <c r="R69" s="2" t="n">
        <f aca="false">MAX(Q68+IF($A69=R$4,1,-1),R68-1,Q69-1)</f>
        <v>-53</v>
      </c>
      <c r="S69" s="2" t="n">
        <f aca="false">MAX(R68+IF($A69=S$4,1,-1),S68-1,R69-1)</f>
        <v>-54</v>
      </c>
      <c r="T69" s="2" t="n">
        <f aca="false">MAX(S68+IF($A69=T$4,1,-1),T68-1,S69-1)</f>
        <v>-54</v>
      </c>
      <c r="U69" s="2" t="n">
        <f aca="false">MAX(T68+IF($A69=U$4,1,-1),U68-1,T69-1)</f>
        <v>-54</v>
      </c>
      <c r="V69" s="2" t="n">
        <f aca="false">MAX(U68+IF($A69=V$4,1,-1),V68-1,U69-1)</f>
        <v>-54</v>
      </c>
      <c r="W69" s="2" t="n">
        <f aca="false">MAX(V68+IF($A69=W$4,1,-1),W68-1,V69-1)</f>
        <v>-52</v>
      </c>
      <c r="X69" s="2" t="n">
        <f aca="false">MAX(W68+IF($A69=X$4,1,-1),X68-1,W69-1)</f>
        <v>-52</v>
      </c>
      <c r="Y69" s="2" t="n">
        <f aca="false">MAX(X68+IF($A69=Y$4,1,-1),Y68-1,X69-1)</f>
        <v>-52</v>
      </c>
      <c r="Z69" s="2" t="n">
        <f aca="false">MAX(Y68+IF($A69=Z$4,1,-1),Z68-1,Y69-1)</f>
        <v>-52</v>
      </c>
      <c r="AA69" s="2" t="n">
        <f aca="false">MAX(Z68+IF($A69=AA$4,1,-1),AA68-1,Z69-1)</f>
        <v>-52</v>
      </c>
      <c r="AB69" s="2" t="n">
        <f aca="false">MAX(AA68+IF($A69=AB$4,1,-1),AB68-1,AA69-1)</f>
        <v>-52</v>
      </c>
      <c r="AC69" s="2" t="n">
        <f aca="false">MAX(AB68+IF($A69=AC$4,1,-1),AC68-1,AB69-1)</f>
        <v>-52</v>
      </c>
      <c r="AD69" s="2" t="n">
        <f aca="false">MAX(AC68+IF($A69=AD$4,1,-1),AD68-1,AC69-1)</f>
        <v>-52</v>
      </c>
      <c r="AE69" s="2" t="n">
        <f aca="false">MAX(AD68+IF($A69=AE$4,1,-1),AE68-1,AD69-1)</f>
        <v>-52</v>
      </c>
      <c r="AF69" s="2" t="n">
        <f aca="false">MAX(AE68+IF($A69=AF$4,1,-1),AF68-1,AE69-1)</f>
        <v>-52</v>
      </c>
      <c r="AG69" s="2" t="n">
        <f aca="false">MAX(AF68+IF($A69=AG$4,1,-1),AG68-1,AF69-1)</f>
        <v>-52</v>
      </c>
      <c r="AH69" s="2" t="n">
        <f aca="false">MAX(AG68+IF($A69=AH$4,1,-1),AH68-1,AG69-1)</f>
        <v>-53</v>
      </c>
      <c r="AI69" s="2" t="n">
        <f aca="false">MAX(AH68+IF($A69=AI$4,1,-1),AI68-1,AH69-1)</f>
        <v>-54</v>
      </c>
      <c r="AJ69" s="2" t="n">
        <f aca="false">MAX(AI68+IF($A69=AJ$4,1,-1),AJ68-1,AI69-1)</f>
        <v>-54</v>
      </c>
      <c r="AK69" s="2" t="n">
        <f aca="false">MAX(AJ68+IF($A69=AK$4,1,-1),AK68-1,AJ69-1)</f>
        <v>-54</v>
      </c>
      <c r="AL69" s="2" t="n">
        <f aca="false">MAX(AK68+IF($A69=AL$4,1,-1),AL68-1,AK69-1)</f>
        <v>-54</v>
      </c>
      <c r="AM69" s="2" t="n">
        <f aca="false">MAX(AL68+IF($A69=AM$4,1,-1),AM68-1,AL69-1)</f>
        <v>-54</v>
      </c>
      <c r="AN69" s="2" t="n">
        <f aca="false">MAX(AM68+IF($A69=AN$4,1,-1),AN68-1,AM69-1)</f>
        <v>-54</v>
      </c>
      <c r="AO69" s="2" t="n">
        <f aca="false">MAX(AN68+IF($A69=AO$4,1,-1),AO68-1,AN69-1)</f>
        <v>-54</v>
      </c>
      <c r="AP69" s="2" t="n">
        <f aca="false">MAX(AO68+IF($A69=AP$4,1,-1),AP68-1,AO69-1)</f>
        <v>-54</v>
      </c>
      <c r="AQ69" s="2" t="n">
        <f aca="false">MAX(AP68+IF($A69=AQ$4,1,-1),AQ68-1,AP69-1)</f>
        <v>-54</v>
      </c>
      <c r="AR69" s="2" t="n">
        <f aca="false">MAX(AQ68+IF($A69=AR$4,1,-1),AR68-1,AQ69-1)</f>
        <v>-54</v>
      </c>
      <c r="AS69" s="2" t="n">
        <f aca="false">MAX(AR68+IF($A69=AS$4,1,-1),AS68-1,AR69-1)</f>
        <v>-54</v>
      </c>
      <c r="AT69" s="2" t="n">
        <f aca="false">MAX(AS68+IF($A69=AT$4,1,-1),AT68-1,AS69-1)</f>
        <v>-54</v>
      </c>
      <c r="AU69" s="2" t="n">
        <f aca="false">MAX(AT68+IF($A69=AU$4,1,-1),AU68-1,AT69-1)</f>
        <v>-54</v>
      </c>
      <c r="AV69" s="2" t="n">
        <f aca="false">MAX(AU68+IF($A69=AV$4,1,-1),AV68-1,AU69-1)</f>
        <v>-54</v>
      </c>
      <c r="AW69" s="2" t="n">
        <f aca="false">MAX(AV68+IF($A69=AW$4,1,-1),AW68-1,AV69-1)</f>
        <v>-54</v>
      </c>
      <c r="AX69" s="2" t="n">
        <f aca="false">MAX(AW68+IF($A69=AX$4,1,-1),AX68-1,AW69-1)</f>
        <v>-54</v>
      </c>
      <c r="AY69" s="2" t="n">
        <f aca="false">MAX(AX68+IF($A69=AY$4,1,-1),AY68-1,AX69-1)</f>
        <v>-54</v>
      </c>
      <c r="AZ69" s="2" t="n">
        <f aca="false">MAX(AY68+IF($A69=AZ$4,1,-1),AZ68-1,AY69-1)</f>
        <v>-54</v>
      </c>
      <c r="BA69" s="2" t="n">
        <f aca="false">MAX(AZ68+IF($A69=BA$4,1,-1),BA68-1,AZ69-1)</f>
        <v>-54</v>
      </c>
      <c r="BB69" s="2" t="n">
        <f aca="false">MAX(BA68+IF($A69=BB$4,1,-1),BB68-1,BA69-1)</f>
        <v>-54</v>
      </c>
      <c r="BC69" s="2" t="n">
        <f aca="false">MAX(BB68+IF($A69=BC$4,1,-1),BC68-1,BB69-1)</f>
        <v>-54</v>
      </c>
      <c r="BD69" s="2" t="n">
        <f aca="false">MAX(BC68+IF($A69=BD$4,1,-1),BD68-1,BC69-1)</f>
        <v>-55</v>
      </c>
      <c r="BE69" s="2" t="n">
        <f aca="false">MAX(BD68+IF($A69=BE$4,1,-1),BE68-1,BD69-1)</f>
        <v>-56</v>
      </c>
      <c r="BF69" s="2" t="n">
        <f aca="false">MAX(BE68+IF($A69=BF$4,1,-1),BF68-1,BE69-1)</f>
        <v>-56</v>
      </c>
      <c r="BG69" s="2" t="n">
        <f aca="false">MAX(BF68+IF($A69=BG$4,1,-1),BG68-1,BF69-1)</f>
        <v>-56</v>
      </c>
      <c r="BH69" s="2" t="n">
        <f aca="false">MAX(BG68+IF($A69=BH$4,1,-1),BH68-1,BG69-1)</f>
        <v>-56</v>
      </c>
      <c r="BI69" s="2" t="n">
        <f aca="false">MAX(BH68+IF($A69=BI$4,1,-1),BI68-1,BH69-1)</f>
        <v>-56</v>
      </c>
      <c r="BJ69" s="2" t="n">
        <f aca="false">MAX(BI68+IF($A69=BJ$4,1,-1),BJ68-1,BI69-1)</f>
        <v>-57</v>
      </c>
      <c r="BK69" s="2" t="n">
        <f aca="false">MAX(BJ68+IF($A69=BK$4,1,-1),BK68-1,BJ69-1)</f>
        <v>-57</v>
      </c>
      <c r="BL69" s="2" t="n">
        <f aca="false">MAX(BK68+IF($A69=BL$4,1,-1),BL68-1,BK69-1)</f>
        <v>-56</v>
      </c>
      <c r="BM69" s="2" t="n">
        <f aca="false">MAX(BL68+IF($A69=BM$4,1,-1),BM68-1,BL69-1)</f>
        <v>-56</v>
      </c>
      <c r="BN69" s="2" t="n">
        <f aca="false">MAX(BM68+IF($A69=BN$4,1,-1),BN68-1,BM69-1)</f>
        <v>-56</v>
      </c>
      <c r="BO69" s="2" t="n">
        <f aca="false">MAX(BN68+IF($A69=BO$4,1,-1),BO68-1,BN69-1)</f>
        <v>-56</v>
      </c>
      <c r="BP69" s="2" t="n">
        <f aca="false">MAX(BO68+IF($A69=BP$4,1,-1),BP68-1,BO69-1)</f>
        <v>-57</v>
      </c>
      <c r="BQ69" s="2" t="n">
        <f aca="false">MAX(BP68+IF($A69=BQ$4,1,-1),BQ68-1,BP69-1)</f>
        <v>-58</v>
      </c>
      <c r="BR69" s="2" t="n">
        <f aca="false">MAX(BQ68+IF($A69=BR$4,1,-1),BR68-1,BQ69-1)</f>
        <v>-59</v>
      </c>
      <c r="BS69" s="2" t="n">
        <f aca="false">MAX(BR68+IF($A69=BS$4,1,-1),BS68-1,BR69-1)</f>
        <v>-60</v>
      </c>
      <c r="BT69" s="2" t="n">
        <f aca="false">MAX(BS68+IF($A69=BT$4,1,-1),BT68-1,BS69-1)</f>
        <v>-61</v>
      </c>
      <c r="BU69" s="2" t="n">
        <f aca="false">MAX(BT68+IF($A69=BU$4,1,-1),BU68-1,BT69-1)</f>
        <v>-62</v>
      </c>
      <c r="BV69" s="2" t="n">
        <f aca="false">MAX(BU68+IF($A69=BV$4,1,-1),BV68-1,BU69-1)</f>
        <v>-63</v>
      </c>
      <c r="BW69" s="2" t="n">
        <f aca="false">MAX(BV68+IF($A69=BW$4,1,-1),BW68-1,BV69-1)</f>
        <v>-64</v>
      </c>
      <c r="BX69" s="2" t="n">
        <f aca="false">MAX(BW68+IF($A69=BX$4,1,-1),BX68-1,BW69-1)</f>
        <v>-65</v>
      </c>
      <c r="BY69" s="2" t="n">
        <f aca="false">MAX(BX68+IF($A69=BY$4,1,-1),BY68-1,BX69-1)</f>
        <v>-66</v>
      </c>
      <c r="BZ69" s="2" t="n">
        <f aca="false">MAX(BY68+IF($A69=BZ$4,1,-1),BZ68-1,BY69-1)</f>
        <v>-67</v>
      </c>
      <c r="CA69" s="2" t="n">
        <f aca="false">MAX(BZ68+IF($A69=CA$4,1,-1),CA68-1,BZ69-1)</f>
        <v>-68</v>
      </c>
      <c r="CB69" s="2" t="n">
        <f aca="false">MAX(CA68+IF($A69=CB$4,1,-1),CB68-1,CA69-1)</f>
        <v>-69</v>
      </c>
      <c r="CC69" s="2" t="n">
        <f aca="false">MAX(CB68+IF($A69=CC$4,1,-1),CC68-1,CB69-1)</f>
        <v>-70</v>
      </c>
      <c r="CD69" s="2" t="n">
        <f aca="false">MAX(CC68+IF($A69=CD$4,1,-1),CD68-1,CC69-1)</f>
        <v>-71</v>
      </c>
      <c r="CE69" s="2" t="n">
        <f aca="false">MAX(CD68+IF($A69=CE$4,1,-1),CE68-1,CD69-1)</f>
        <v>-72</v>
      </c>
      <c r="CF69" s="2" t="n">
        <f aca="false">MAX(CE68+IF($A69=CF$4,1,-1),CF68-1,CE69-1)</f>
        <v>-72</v>
      </c>
      <c r="CG69" s="2" t="n">
        <f aca="false">MAX(CF68+IF($A69=CG$4,1,-1),CG68-1,CF69-1)</f>
        <v>-73</v>
      </c>
      <c r="CH69" s="2" t="n">
        <f aca="false">MAX(CG68+IF($A69=CH$4,1,-1),CH68-1,CG69-1)</f>
        <v>-74</v>
      </c>
      <c r="CI69" s="2" t="n">
        <f aca="false">MAX(CH68+IF($A69=CI$4,1,-1),CI68-1,CH69-1)</f>
        <v>-75</v>
      </c>
      <c r="CJ69" s="2" t="n">
        <f aca="false">MAX(CI68+IF($A69=CJ$4,1,-1),CJ68-1,CI69-1)</f>
        <v>-76</v>
      </c>
      <c r="CK69" s="2" t="n">
        <f aca="false">MAX(CJ68+IF($A69=CK$4,1,-1),CK68-1,CJ69-1)</f>
        <v>-77</v>
      </c>
      <c r="CL69" s="2" t="n">
        <f aca="false">MAX(CK68+IF($A69=CL$4,1,-1),CL68-1,CK69-1)</f>
        <v>-78</v>
      </c>
      <c r="CM69" s="2" t="n">
        <f aca="false">MAX(CL68+IF($A69=CM$4,1,-1),CM68-1,CL69-1)</f>
        <v>-79</v>
      </c>
      <c r="CN69" s="2" t="n">
        <f aca="false">MAX(CM68+IF($A69=CN$4,1,-1),CN68-1,CM69-1)</f>
        <v>-80</v>
      </c>
      <c r="CO69" s="2" t="n">
        <f aca="false">MAX(CN68+IF($A69=CO$4,1,-1),CO68-1,CN69-1)</f>
        <v>-80</v>
      </c>
      <c r="CP69" s="2" t="n">
        <f aca="false">MAX(CO68+IF($A69=CP$4,1,-1),CP68-1,CO69-1)</f>
        <v>-80</v>
      </c>
      <c r="CQ69" s="2" t="n">
        <f aca="false">MAX(CP68+IF($A69=CQ$4,1,-1),CQ68-1,CP69-1)</f>
        <v>-81</v>
      </c>
    </row>
    <row r="70" customFormat="false" ht="15" hidden="false" customHeight="false" outlineLevel="0" collapsed="false">
      <c r="A70" s="4" t="s">
        <v>185</v>
      </c>
      <c r="B70" s="12" t="n">
        <v>-65</v>
      </c>
      <c r="C70" s="2" t="n">
        <f aca="false">MAX(B69+IF($A70=C$4,1,-1),C69-1,B70-1)</f>
        <v>-65</v>
      </c>
      <c r="D70" s="2" t="n">
        <f aca="false">MAX(C69+IF($A70=D$4,1,-1),D69-1,C70-1)</f>
        <v>-63</v>
      </c>
      <c r="E70" s="2" t="n">
        <f aca="false">MAX(D69+IF($A70=E$4,1,-1),E69-1,D70-1)</f>
        <v>-61</v>
      </c>
      <c r="F70" s="2" t="n">
        <f aca="false">MAX(E69+IF($A70=F$4,1,-1),F69-1,E70-1)</f>
        <v>-59</v>
      </c>
      <c r="G70" s="2" t="n">
        <f aca="false">MAX(F69+IF($A70=G$4,1,-1),G69-1,F70-1)</f>
        <v>-59</v>
      </c>
      <c r="H70" s="2" t="n">
        <f aca="false">MAX(G69+IF($A70=H$4,1,-1),H69-1,G70-1)</f>
        <v>-59</v>
      </c>
      <c r="I70" s="2" t="n">
        <f aca="false">MAX(H69+IF($A70=I$4,1,-1),I69-1,H70-1)</f>
        <v>-59</v>
      </c>
      <c r="J70" s="2" t="n">
        <f aca="false">MAX(I69+IF($A70=J$4,1,-1),J69-1,I70-1)</f>
        <v>-59</v>
      </c>
      <c r="K70" s="2" t="n">
        <f aca="false">MAX(J69+IF($A70=K$4,1,-1),K69-1,J70-1)</f>
        <v>-57</v>
      </c>
      <c r="L70" s="2" t="n">
        <f aca="false">MAX(K69+IF($A70=L$4,1,-1),L69-1,K70-1)</f>
        <v>-57</v>
      </c>
      <c r="M70" s="2" t="n">
        <f aca="false">MAX(L69+IF($A70=M$4,1,-1),M69-1,L70-1)</f>
        <v>-57</v>
      </c>
      <c r="N70" s="2" t="n">
        <f aca="false">MAX(M69+IF($A70=N$4,1,-1),N69-1,M70-1)</f>
        <v>-56</v>
      </c>
      <c r="O70" s="2" t="n">
        <f aca="false">MAX(N69+IF($A70=O$4,1,-1),O69-1,N70-1)</f>
        <v>-54</v>
      </c>
      <c r="P70" s="2" t="n">
        <f aca="false">MAX(O69+IF($A70=P$4,1,-1),P69-1,O70-1)</f>
        <v>-54</v>
      </c>
      <c r="Q70" s="2" t="n">
        <f aca="false">MAX(P69+IF($A70=Q$4,1,-1),Q69-1,P70-1)</f>
        <v>-54</v>
      </c>
      <c r="R70" s="2" t="n">
        <f aca="false">MAX(Q69+IF($A70=R$4,1,-1),R69-1,Q70-1)</f>
        <v>-54</v>
      </c>
      <c r="S70" s="2" t="n">
        <f aca="false">MAX(R69+IF($A70=S$4,1,-1),S69-1,R70-1)</f>
        <v>-54</v>
      </c>
      <c r="T70" s="2" t="n">
        <f aca="false">MAX(S69+IF($A70=T$4,1,-1),T69-1,S70-1)</f>
        <v>-55</v>
      </c>
      <c r="U70" s="2" t="n">
        <f aca="false">MAX(T69+IF($A70=U$4,1,-1),U69-1,T70-1)</f>
        <v>-55</v>
      </c>
      <c r="V70" s="2" t="n">
        <f aca="false">MAX(U69+IF($A70=V$4,1,-1),V69-1,U70-1)</f>
        <v>-55</v>
      </c>
      <c r="W70" s="2" t="n">
        <f aca="false">MAX(V69+IF($A70=W$4,1,-1),W69-1,V70-1)</f>
        <v>-53</v>
      </c>
      <c r="X70" s="2" t="n">
        <f aca="false">MAX(W69+IF($A70=X$4,1,-1),X69-1,W70-1)</f>
        <v>-53</v>
      </c>
      <c r="Y70" s="2" t="n">
        <f aca="false">MAX(X69+IF($A70=Y$4,1,-1),Y69-1,X70-1)</f>
        <v>-53</v>
      </c>
      <c r="Z70" s="2" t="n">
        <f aca="false">MAX(Y69+IF($A70=Z$4,1,-1),Z69-1,Y70-1)</f>
        <v>-53</v>
      </c>
      <c r="AA70" s="2" t="n">
        <f aca="false">MAX(Z69+IF($A70=AA$4,1,-1),AA69-1,Z70-1)</f>
        <v>-53</v>
      </c>
      <c r="AB70" s="2" t="n">
        <f aca="false">MAX(AA69+IF($A70=AB$4,1,-1),AB69-1,AA70-1)</f>
        <v>-53</v>
      </c>
      <c r="AC70" s="2" t="n">
        <f aca="false">MAX(AB69+IF($A70=AC$4,1,-1),AC69-1,AB70-1)</f>
        <v>-53</v>
      </c>
      <c r="AD70" s="2" t="n">
        <f aca="false">MAX(AC69+IF($A70=AD$4,1,-1),AD69-1,AC70-1)</f>
        <v>-53</v>
      </c>
      <c r="AE70" s="2" t="n">
        <f aca="false">MAX(AD69+IF($A70=AE$4,1,-1),AE69-1,AD70-1)</f>
        <v>-53</v>
      </c>
      <c r="AF70" s="2" t="n">
        <f aca="false">MAX(AE69+IF($A70=AF$4,1,-1),AF69-1,AE70-1)</f>
        <v>-53</v>
      </c>
      <c r="AG70" s="2" t="n">
        <f aca="false">MAX(AF69+IF($A70=AG$4,1,-1),AG69-1,AF70-1)</f>
        <v>-53</v>
      </c>
      <c r="AH70" s="2" t="n">
        <f aca="false">MAX(AG69+IF($A70=AH$4,1,-1),AH69-1,AG70-1)</f>
        <v>-53</v>
      </c>
      <c r="AI70" s="2" t="n">
        <f aca="false">MAX(AH69+IF($A70=AI$4,1,-1),AI69-1,AH70-1)</f>
        <v>-54</v>
      </c>
      <c r="AJ70" s="2" t="n">
        <f aca="false">MAX(AI69+IF($A70=AJ$4,1,-1),AJ69-1,AI70-1)</f>
        <v>-55</v>
      </c>
      <c r="AK70" s="2" t="n">
        <f aca="false">MAX(AJ69+IF($A70=AK$4,1,-1),AK69-1,AJ70-1)</f>
        <v>-55</v>
      </c>
      <c r="AL70" s="2" t="n">
        <f aca="false">MAX(AK69+IF($A70=AL$4,1,-1),AL69-1,AK70-1)</f>
        <v>-55</v>
      </c>
      <c r="AM70" s="2" t="n">
        <f aca="false">MAX(AL69+IF($A70=AM$4,1,-1),AM69-1,AL70-1)</f>
        <v>-55</v>
      </c>
      <c r="AN70" s="2" t="n">
        <f aca="false">MAX(AM69+IF($A70=AN$4,1,-1),AN69-1,AM70-1)</f>
        <v>-55</v>
      </c>
      <c r="AO70" s="2" t="n">
        <f aca="false">MAX(AN69+IF($A70=AO$4,1,-1),AO69-1,AN70-1)</f>
        <v>-55</v>
      </c>
      <c r="AP70" s="2" t="n">
        <f aca="false">MAX(AO69+IF($A70=AP$4,1,-1),AP69-1,AO70-1)</f>
        <v>-55</v>
      </c>
      <c r="AQ70" s="2" t="n">
        <f aca="false">MAX(AP69+IF($A70=AQ$4,1,-1),AQ69-1,AP70-1)</f>
        <v>-55</v>
      </c>
      <c r="AR70" s="2" t="n">
        <f aca="false">MAX(AQ69+IF($A70=AR$4,1,-1),AR69-1,AQ70-1)</f>
        <v>-55</v>
      </c>
      <c r="AS70" s="2" t="n">
        <f aca="false">MAX(AR69+IF($A70=AS$4,1,-1),AS69-1,AR70-1)</f>
        <v>-55</v>
      </c>
      <c r="AT70" s="2" t="n">
        <f aca="false">MAX(AS69+IF($A70=AT$4,1,-1),AT69-1,AS70-1)</f>
        <v>-55</v>
      </c>
      <c r="AU70" s="2" t="n">
        <f aca="false">MAX(AT69+IF($A70=AU$4,1,-1),AU69-1,AT70-1)</f>
        <v>-55</v>
      </c>
      <c r="AV70" s="2" t="n">
        <f aca="false">MAX(AU69+IF($A70=AV$4,1,-1),AV69-1,AU70-1)</f>
        <v>-55</v>
      </c>
      <c r="AW70" s="2" t="n">
        <f aca="false">MAX(AV69+IF($A70=AW$4,1,-1),AW69-1,AV70-1)</f>
        <v>-55</v>
      </c>
      <c r="AX70" s="2" t="n">
        <f aca="false">MAX(AW69+IF($A70=AX$4,1,-1),AX69-1,AW70-1)</f>
        <v>-55</v>
      </c>
      <c r="AY70" s="2" t="n">
        <f aca="false">MAX(AX69+IF($A70=AY$4,1,-1),AY69-1,AX70-1)</f>
        <v>-55</v>
      </c>
      <c r="AZ70" s="2" t="n">
        <f aca="false">MAX(AY69+IF($A70=AZ$4,1,-1),AZ69-1,AY70-1)</f>
        <v>-55</v>
      </c>
      <c r="BA70" s="2" t="n">
        <f aca="false">MAX(AZ69+IF($A70=BA$4,1,-1),BA69-1,AZ70-1)</f>
        <v>-55</v>
      </c>
      <c r="BB70" s="2" t="n">
        <f aca="false">MAX(BA69+IF($A70=BB$4,1,-1),BB69-1,BA70-1)</f>
        <v>-55</v>
      </c>
      <c r="BC70" s="2" t="n">
        <f aca="false">MAX(BB69+IF($A70=BC$4,1,-1),BC69-1,BB70-1)</f>
        <v>-55</v>
      </c>
      <c r="BD70" s="2" t="n">
        <f aca="false">MAX(BC69+IF($A70=BD$4,1,-1),BD69-1,BC70-1)</f>
        <v>-55</v>
      </c>
      <c r="BE70" s="2" t="n">
        <f aca="false">MAX(BD69+IF($A70=BE$4,1,-1),BE69-1,BD70-1)</f>
        <v>-56</v>
      </c>
      <c r="BF70" s="2" t="n">
        <f aca="false">MAX(BE69+IF($A70=BF$4,1,-1),BF69-1,BE70-1)</f>
        <v>-57</v>
      </c>
      <c r="BG70" s="2" t="n">
        <f aca="false">MAX(BF69+IF($A70=BG$4,1,-1),BG69-1,BF70-1)</f>
        <v>-57</v>
      </c>
      <c r="BH70" s="2" t="n">
        <f aca="false">MAX(BG69+IF($A70=BH$4,1,-1),BH69-1,BG70-1)</f>
        <v>-57</v>
      </c>
      <c r="BI70" s="2" t="n">
        <f aca="false">MAX(BH69+IF($A70=BI$4,1,-1),BI69-1,BH70-1)</f>
        <v>-57</v>
      </c>
      <c r="BJ70" s="2" t="n">
        <f aca="false">MAX(BI69+IF($A70=BJ$4,1,-1),BJ69-1,BI70-1)</f>
        <v>-57</v>
      </c>
      <c r="BK70" s="2" t="n">
        <f aca="false">MAX(BJ69+IF($A70=BK$4,1,-1),BK69-1,BJ70-1)</f>
        <v>-58</v>
      </c>
      <c r="BL70" s="2" t="n">
        <f aca="false">MAX(BK69+IF($A70=BL$4,1,-1),BL69-1,BK70-1)</f>
        <v>-57</v>
      </c>
      <c r="BM70" s="2" t="n">
        <f aca="false">MAX(BL69+IF($A70=BM$4,1,-1),BM69-1,BL70-1)</f>
        <v>-57</v>
      </c>
      <c r="BN70" s="2" t="n">
        <f aca="false">MAX(BM69+IF($A70=BN$4,1,-1),BN69-1,BM70-1)</f>
        <v>-57</v>
      </c>
      <c r="BO70" s="2" t="n">
        <f aca="false">MAX(BN69+IF($A70=BO$4,1,-1),BO69-1,BN70-1)</f>
        <v>-57</v>
      </c>
      <c r="BP70" s="2" t="n">
        <f aca="false">MAX(BO69+IF($A70=BP$4,1,-1),BP69-1,BO70-1)</f>
        <v>-57</v>
      </c>
      <c r="BQ70" s="2" t="n">
        <f aca="false">MAX(BP69+IF($A70=BQ$4,1,-1),BQ69-1,BP70-1)</f>
        <v>-58</v>
      </c>
      <c r="BR70" s="2" t="n">
        <f aca="false">MAX(BQ69+IF($A70=BR$4,1,-1),BR69-1,BQ70-1)</f>
        <v>-59</v>
      </c>
      <c r="BS70" s="2" t="n">
        <f aca="false">MAX(BR69+IF($A70=BS$4,1,-1),BS69-1,BR70-1)</f>
        <v>-60</v>
      </c>
      <c r="BT70" s="2" t="n">
        <f aca="false">MAX(BS69+IF($A70=BT$4,1,-1),BT69-1,BS70-1)</f>
        <v>-61</v>
      </c>
      <c r="BU70" s="2" t="n">
        <f aca="false">MAX(BT69+IF($A70=BU$4,1,-1),BU69-1,BT70-1)</f>
        <v>-62</v>
      </c>
      <c r="BV70" s="2" t="n">
        <f aca="false">MAX(BU69+IF($A70=BV$4,1,-1),BV69-1,BU70-1)</f>
        <v>-63</v>
      </c>
      <c r="BW70" s="2" t="n">
        <f aca="false">MAX(BV69+IF($A70=BW$4,1,-1),BW69-1,BV70-1)</f>
        <v>-64</v>
      </c>
      <c r="BX70" s="2" t="n">
        <f aca="false">MAX(BW69+IF($A70=BX$4,1,-1),BX69-1,BW70-1)</f>
        <v>-65</v>
      </c>
      <c r="BY70" s="2" t="n">
        <f aca="false">MAX(BX69+IF($A70=BY$4,1,-1),BY69-1,BX70-1)</f>
        <v>-66</v>
      </c>
      <c r="BZ70" s="2" t="n">
        <f aca="false">MAX(BY69+IF($A70=BZ$4,1,-1),BZ69-1,BY70-1)</f>
        <v>-67</v>
      </c>
      <c r="CA70" s="2" t="n">
        <f aca="false">MAX(BZ69+IF($A70=CA$4,1,-1),CA69-1,BZ70-1)</f>
        <v>-68</v>
      </c>
      <c r="CB70" s="2" t="n">
        <f aca="false">MAX(CA69+IF($A70=CB$4,1,-1),CB69-1,CA70-1)</f>
        <v>-69</v>
      </c>
      <c r="CC70" s="2" t="n">
        <f aca="false">MAX(CB69+IF($A70=CC$4,1,-1),CC69-1,CB70-1)</f>
        <v>-70</v>
      </c>
      <c r="CD70" s="2" t="n">
        <f aca="false">MAX(CC69+IF($A70=CD$4,1,-1),CD69-1,CC70-1)</f>
        <v>-71</v>
      </c>
      <c r="CE70" s="2" t="n">
        <f aca="false">MAX(CD69+IF($A70=CE$4,1,-1),CE69-1,CD70-1)</f>
        <v>-72</v>
      </c>
      <c r="CF70" s="2" t="n">
        <f aca="false">MAX(CE69+IF($A70=CF$4,1,-1),CF69-1,CE70-1)</f>
        <v>-73</v>
      </c>
      <c r="CG70" s="2" t="n">
        <f aca="false">MAX(CF69+IF($A70=CG$4,1,-1),CG69-1,CF70-1)</f>
        <v>-73</v>
      </c>
      <c r="CH70" s="2" t="n">
        <f aca="false">MAX(CG69+IF($A70=CH$4,1,-1),CH69-1,CG70-1)</f>
        <v>-74</v>
      </c>
      <c r="CI70" s="2" t="n">
        <f aca="false">MAX(CH69+IF($A70=CI$4,1,-1),CI69-1,CH70-1)</f>
        <v>-75</v>
      </c>
      <c r="CJ70" s="2" t="n">
        <f aca="false">MAX(CI69+IF($A70=CJ$4,1,-1),CJ69-1,CI70-1)</f>
        <v>-76</v>
      </c>
      <c r="CK70" s="2" t="n">
        <f aca="false">MAX(CJ69+IF($A70=CK$4,1,-1),CK69-1,CJ70-1)</f>
        <v>-77</v>
      </c>
      <c r="CL70" s="2" t="n">
        <f aca="false">MAX(CK69+IF($A70=CL$4,1,-1),CL69-1,CK70-1)</f>
        <v>-78</v>
      </c>
      <c r="CM70" s="2" t="n">
        <f aca="false">MAX(CL69+IF($A70=CM$4,1,-1),CM69-1,CL70-1)</f>
        <v>-79</v>
      </c>
      <c r="CN70" s="2" t="n">
        <f aca="false">MAX(CM69+IF($A70=CN$4,1,-1),CN69-1,CM70-1)</f>
        <v>-80</v>
      </c>
      <c r="CO70" s="2" t="n">
        <f aca="false">MAX(CN69+IF($A70=CO$4,1,-1),CO69-1,CN70-1)</f>
        <v>-81</v>
      </c>
      <c r="CP70" s="2" t="n">
        <f aca="false">MAX(CO69+IF($A70=CP$4,1,-1),CP69-1,CO70-1)</f>
        <v>-81</v>
      </c>
      <c r="CQ70" s="2" t="n">
        <f aca="false">MAX(CP69+IF($A70=CQ$4,1,-1),CQ69-1,CP70-1)</f>
        <v>-81</v>
      </c>
    </row>
    <row r="71" customFormat="false" ht="15" hidden="false" customHeight="false" outlineLevel="0" collapsed="false">
      <c r="A71" s="4" t="s">
        <v>186</v>
      </c>
      <c r="B71" s="12" t="n">
        <v>-66</v>
      </c>
      <c r="C71" s="2" t="n">
        <f aca="false">MAX(B70+IF($A71=C$4,1,-1),C70-1,B71-1)</f>
        <v>-66</v>
      </c>
      <c r="D71" s="2" t="n">
        <f aca="false">MAX(C70+IF($A71=D$4,1,-1),D70-1,C71-1)</f>
        <v>-64</v>
      </c>
      <c r="E71" s="2" t="n">
        <f aca="false">MAX(D70+IF($A71=E$4,1,-1),E70-1,D71-1)</f>
        <v>-62</v>
      </c>
      <c r="F71" s="2" t="n">
        <f aca="false">MAX(E70+IF($A71=F$4,1,-1),F70-1,E71-1)</f>
        <v>-60</v>
      </c>
      <c r="G71" s="2" t="n">
        <f aca="false">MAX(F70+IF($A71=G$4,1,-1),G70-1,F71-1)</f>
        <v>-60</v>
      </c>
      <c r="H71" s="2" t="n">
        <f aca="false">MAX(G70+IF($A71=H$4,1,-1),H70-1,G71-1)</f>
        <v>-60</v>
      </c>
      <c r="I71" s="2" t="n">
        <f aca="false">MAX(H70+IF($A71=I$4,1,-1),I70-1,H71-1)</f>
        <v>-60</v>
      </c>
      <c r="J71" s="2" t="n">
        <f aca="false">MAX(I70+IF($A71=J$4,1,-1),J70-1,I71-1)</f>
        <v>-60</v>
      </c>
      <c r="K71" s="2" t="n">
        <f aca="false">MAX(J70+IF($A71=K$4,1,-1),K70-1,J71-1)</f>
        <v>-58</v>
      </c>
      <c r="L71" s="2" t="n">
        <f aca="false">MAX(K70+IF($A71=L$4,1,-1),L70-1,K71-1)</f>
        <v>-58</v>
      </c>
      <c r="M71" s="2" t="n">
        <f aca="false">MAX(L70+IF($A71=M$4,1,-1),M70-1,L71-1)</f>
        <v>-58</v>
      </c>
      <c r="N71" s="2" t="n">
        <f aca="false">MAX(M70+IF($A71=N$4,1,-1),N70-1,M71-1)</f>
        <v>-57</v>
      </c>
      <c r="O71" s="2" t="n">
        <f aca="false">MAX(N70+IF($A71=O$4,1,-1),O70-1,N71-1)</f>
        <v>-55</v>
      </c>
      <c r="P71" s="2" t="n">
        <f aca="false">MAX(O70+IF($A71=P$4,1,-1),P70-1,O71-1)</f>
        <v>-55</v>
      </c>
      <c r="Q71" s="2" t="n">
        <f aca="false">MAX(P70+IF($A71=Q$4,1,-1),Q70-1,P71-1)</f>
        <v>-55</v>
      </c>
      <c r="R71" s="2" t="n">
        <f aca="false">MAX(Q70+IF($A71=R$4,1,-1),R70-1,Q71-1)</f>
        <v>-55</v>
      </c>
      <c r="S71" s="2" t="n">
        <f aca="false">MAX(R70+IF($A71=S$4,1,-1),S70-1,R71-1)</f>
        <v>-55</v>
      </c>
      <c r="T71" s="2" t="n">
        <f aca="false">MAX(S70+IF($A71=T$4,1,-1),T70-1,S71-1)</f>
        <v>-55</v>
      </c>
      <c r="U71" s="2" t="n">
        <f aca="false">MAX(T70+IF($A71=U$4,1,-1),U70-1,T71-1)</f>
        <v>-56</v>
      </c>
      <c r="V71" s="2" t="n">
        <f aca="false">MAX(U70+IF($A71=V$4,1,-1),V70-1,U71-1)</f>
        <v>-56</v>
      </c>
      <c r="W71" s="2" t="n">
        <f aca="false">MAX(V70+IF($A71=W$4,1,-1),W70-1,V71-1)</f>
        <v>-54</v>
      </c>
      <c r="X71" s="2" t="n">
        <f aca="false">MAX(W70+IF($A71=X$4,1,-1),X70-1,W71-1)</f>
        <v>-54</v>
      </c>
      <c r="Y71" s="2" t="n">
        <f aca="false">MAX(X70+IF($A71=Y$4,1,-1),Y70-1,X71-1)</f>
        <v>-54</v>
      </c>
      <c r="Z71" s="2" t="n">
        <f aca="false">MAX(Y70+IF($A71=Z$4,1,-1),Z70-1,Y71-1)</f>
        <v>-54</v>
      </c>
      <c r="AA71" s="2" t="n">
        <f aca="false">MAX(Z70+IF($A71=AA$4,1,-1),AA70-1,Z71-1)</f>
        <v>-54</v>
      </c>
      <c r="AB71" s="2" t="n">
        <f aca="false">MAX(AA70+IF($A71=AB$4,1,-1),AB70-1,AA71-1)</f>
        <v>-54</v>
      </c>
      <c r="AC71" s="2" t="n">
        <f aca="false">MAX(AB70+IF($A71=AC$4,1,-1),AC70-1,AB71-1)</f>
        <v>-54</v>
      </c>
      <c r="AD71" s="2" t="n">
        <f aca="false">MAX(AC70+IF($A71=AD$4,1,-1),AD70-1,AC71-1)</f>
        <v>-54</v>
      </c>
      <c r="AE71" s="2" t="n">
        <f aca="false">MAX(AD70+IF($A71=AE$4,1,-1),AE70-1,AD71-1)</f>
        <v>-54</v>
      </c>
      <c r="AF71" s="2" t="n">
        <f aca="false">MAX(AE70+IF($A71=AF$4,1,-1),AF70-1,AE71-1)</f>
        <v>-54</v>
      </c>
      <c r="AG71" s="2" t="n">
        <f aca="false">MAX(AF70+IF($A71=AG$4,1,-1),AG70-1,AF71-1)</f>
        <v>-54</v>
      </c>
      <c r="AH71" s="2" t="n">
        <f aca="false">MAX(AG70+IF($A71=AH$4,1,-1),AH70-1,AG71-1)</f>
        <v>-54</v>
      </c>
      <c r="AI71" s="2" t="n">
        <f aca="false">MAX(AH70+IF($A71=AI$4,1,-1),AI70-1,AH71-1)</f>
        <v>-54</v>
      </c>
      <c r="AJ71" s="2" t="n">
        <f aca="false">MAX(AI70+IF($A71=AJ$4,1,-1),AJ70-1,AI71-1)</f>
        <v>-55</v>
      </c>
      <c r="AK71" s="2" t="n">
        <f aca="false">MAX(AJ70+IF($A71=AK$4,1,-1),AK70-1,AJ71-1)</f>
        <v>-56</v>
      </c>
      <c r="AL71" s="2" t="n">
        <f aca="false">MAX(AK70+IF($A71=AL$4,1,-1),AL70-1,AK71-1)</f>
        <v>-56</v>
      </c>
      <c r="AM71" s="2" t="n">
        <f aca="false">MAX(AL70+IF($A71=AM$4,1,-1),AM70-1,AL71-1)</f>
        <v>-56</v>
      </c>
      <c r="AN71" s="2" t="n">
        <f aca="false">MAX(AM70+IF($A71=AN$4,1,-1),AN70-1,AM71-1)</f>
        <v>-56</v>
      </c>
      <c r="AO71" s="2" t="n">
        <f aca="false">MAX(AN70+IF($A71=AO$4,1,-1),AO70-1,AN71-1)</f>
        <v>-56</v>
      </c>
      <c r="AP71" s="2" t="n">
        <f aca="false">MAX(AO70+IF($A71=AP$4,1,-1),AP70-1,AO71-1)</f>
        <v>-56</v>
      </c>
      <c r="AQ71" s="2" t="n">
        <f aca="false">MAX(AP70+IF($A71=AQ$4,1,-1),AQ70-1,AP71-1)</f>
        <v>-56</v>
      </c>
      <c r="AR71" s="2" t="n">
        <f aca="false">MAX(AQ70+IF($A71=AR$4,1,-1),AR70-1,AQ71-1)</f>
        <v>-56</v>
      </c>
      <c r="AS71" s="2" t="n">
        <f aca="false">MAX(AR70+IF($A71=AS$4,1,-1),AS70-1,AR71-1)</f>
        <v>-56</v>
      </c>
      <c r="AT71" s="2" t="n">
        <f aca="false">MAX(AS70+IF($A71=AT$4,1,-1),AT70-1,AS71-1)</f>
        <v>-56</v>
      </c>
      <c r="AU71" s="2" t="n">
        <f aca="false">MAX(AT70+IF($A71=AU$4,1,-1),AU70-1,AT71-1)</f>
        <v>-56</v>
      </c>
      <c r="AV71" s="2" t="n">
        <f aca="false">MAX(AU70+IF($A71=AV$4,1,-1),AV70-1,AU71-1)</f>
        <v>-56</v>
      </c>
      <c r="AW71" s="2" t="n">
        <f aca="false">MAX(AV70+IF($A71=AW$4,1,-1),AW70-1,AV71-1)</f>
        <v>-56</v>
      </c>
      <c r="AX71" s="2" t="n">
        <f aca="false">MAX(AW70+IF($A71=AX$4,1,-1),AX70-1,AW71-1)</f>
        <v>-56</v>
      </c>
      <c r="AY71" s="2" t="n">
        <f aca="false">MAX(AX70+IF($A71=AY$4,1,-1),AY70-1,AX71-1)</f>
        <v>-56</v>
      </c>
      <c r="AZ71" s="2" t="n">
        <f aca="false">MAX(AY70+IF($A71=AZ$4,1,-1),AZ70-1,AY71-1)</f>
        <v>-56</v>
      </c>
      <c r="BA71" s="2" t="n">
        <f aca="false">MAX(AZ70+IF($A71=BA$4,1,-1),BA70-1,AZ71-1)</f>
        <v>-56</v>
      </c>
      <c r="BB71" s="2" t="n">
        <f aca="false">MAX(BA70+IF($A71=BB$4,1,-1),BB70-1,BA71-1)</f>
        <v>-56</v>
      </c>
      <c r="BC71" s="2" t="n">
        <f aca="false">MAX(BB70+IF($A71=BC$4,1,-1),BC70-1,BB71-1)</f>
        <v>-56</v>
      </c>
      <c r="BD71" s="2" t="n">
        <f aca="false">MAX(BC70+IF($A71=BD$4,1,-1),BD70-1,BC71-1)</f>
        <v>-56</v>
      </c>
      <c r="BE71" s="2" t="n">
        <f aca="false">MAX(BD70+IF($A71=BE$4,1,-1),BE70-1,BD71-1)</f>
        <v>-56</v>
      </c>
      <c r="BF71" s="2" t="n">
        <f aca="false">MAX(BE70+IF($A71=BF$4,1,-1),BF70-1,BE71-1)</f>
        <v>-57</v>
      </c>
      <c r="BG71" s="2" t="n">
        <f aca="false">MAX(BF70+IF($A71=BG$4,1,-1),BG70-1,BF71-1)</f>
        <v>-58</v>
      </c>
      <c r="BH71" s="2" t="n">
        <f aca="false">MAX(BG70+IF($A71=BH$4,1,-1),BH70-1,BG71-1)</f>
        <v>-58</v>
      </c>
      <c r="BI71" s="2" t="n">
        <f aca="false">MAX(BH70+IF($A71=BI$4,1,-1),BI70-1,BH71-1)</f>
        <v>-58</v>
      </c>
      <c r="BJ71" s="2" t="n">
        <f aca="false">MAX(BI70+IF($A71=BJ$4,1,-1),BJ70-1,BI71-1)</f>
        <v>-58</v>
      </c>
      <c r="BK71" s="2" t="n">
        <f aca="false">MAX(BJ70+IF($A71=BK$4,1,-1),BK70-1,BJ71-1)</f>
        <v>-58</v>
      </c>
      <c r="BL71" s="2" t="n">
        <f aca="false">MAX(BK70+IF($A71=BL$4,1,-1),BL70-1,BK71-1)</f>
        <v>-58</v>
      </c>
      <c r="BM71" s="2" t="n">
        <f aca="false">MAX(BL70+IF($A71=BM$4,1,-1),BM70-1,BL71-1)</f>
        <v>-58</v>
      </c>
      <c r="BN71" s="2" t="n">
        <f aca="false">MAX(BM70+IF($A71=BN$4,1,-1),BN70-1,BM71-1)</f>
        <v>-58</v>
      </c>
      <c r="BO71" s="2" t="n">
        <f aca="false">MAX(BN70+IF($A71=BO$4,1,-1),BO70-1,BN71-1)</f>
        <v>-58</v>
      </c>
      <c r="BP71" s="2" t="n">
        <f aca="false">MAX(BO70+IF($A71=BP$4,1,-1),BP70-1,BO71-1)</f>
        <v>-58</v>
      </c>
      <c r="BQ71" s="2" t="n">
        <f aca="false">MAX(BP70+IF($A71=BQ$4,1,-1),BQ70-1,BP71-1)</f>
        <v>-58</v>
      </c>
      <c r="BR71" s="2" t="n">
        <f aca="false">MAX(BQ70+IF($A71=BR$4,1,-1),BR70-1,BQ71-1)</f>
        <v>-59</v>
      </c>
      <c r="BS71" s="2" t="n">
        <f aca="false">MAX(BR70+IF($A71=BS$4,1,-1),BS70-1,BR71-1)</f>
        <v>-60</v>
      </c>
      <c r="BT71" s="2" t="n">
        <f aca="false">MAX(BS70+IF($A71=BT$4,1,-1),BT70-1,BS71-1)</f>
        <v>-61</v>
      </c>
      <c r="BU71" s="2" t="n">
        <f aca="false">MAX(BT70+IF($A71=BU$4,1,-1),BU70-1,BT71-1)</f>
        <v>-62</v>
      </c>
      <c r="BV71" s="2" t="n">
        <f aca="false">MAX(BU70+IF($A71=BV$4,1,-1),BV70-1,BU71-1)</f>
        <v>-63</v>
      </c>
      <c r="BW71" s="2" t="n">
        <f aca="false">MAX(BV70+IF($A71=BW$4,1,-1),BW70-1,BV71-1)</f>
        <v>-64</v>
      </c>
      <c r="BX71" s="2" t="n">
        <f aca="false">MAX(BW70+IF($A71=BX$4,1,-1),BX70-1,BW71-1)</f>
        <v>-65</v>
      </c>
      <c r="BY71" s="2" t="n">
        <f aca="false">MAX(BX70+IF($A71=BY$4,1,-1),BY70-1,BX71-1)</f>
        <v>-66</v>
      </c>
      <c r="BZ71" s="2" t="n">
        <f aca="false">MAX(BY70+IF($A71=BZ$4,1,-1),BZ70-1,BY71-1)</f>
        <v>-67</v>
      </c>
      <c r="CA71" s="2" t="n">
        <f aca="false">MAX(BZ70+IF($A71=CA$4,1,-1),CA70-1,BZ71-1)</f>
        <v>-68</v>
      </c>
      <c r="CB71" s="2" t="n">
        <f aca="false">MAX(CA70+IF($A71=CB$4,1,-1),CB70-1,CA71-1)</f>
        <v>-69</v>
      </c>
      <c r="CC71" s="2" t="n">
        <f aca="false">MAX(CB70+IF($A71=CC$4,1,-1),CC70-1,CB71-1)</f>
        <v>-70</v>
      </c>
      <c r="CD71" s="2" t="n">
        <f aca="false">MAX(CC70+IF($A71=CD$4,1,-1),CD70-1,CC71-1)</f>
        <v>-71</v>
      </c>
      <c r="CE71" s="2" t="n">
        <f aca="false">MAX(CD70+IF($A71=CE$4,1,-1),CE70-1,CD71-1)</f>
        <v>-72</v>
      </c>
      <c r="CF71" s="2" t="n">
        <f aca="false">MAX(CE70+IF($A71=CF$4,1,-1),CF70-1,CE71-1)</f>
        <v>-73</v>
      </c>
      <c r="CG71" s="2" t="n">
        <f aca="false">MAX(CF70+IF($A71=CG$4,1,-1),CG70-1,CF71-1)</f>
        <v>-74</v>
      </c>
      <c r="CH71" s="2" t="n">
        <f aca="false">MAX(CG70+IF($A71=CH$4,1,-1),CH70-1,CG71-1)</f>
        <v>-74</v>
      </c>
      <c r="CI71" s="2" t="n">
        <f aca="false">MAX(CH70+IF($A71=CI$4,1,-1),CI70-1,CH71-1)</f>
        <v>-75</v>
      </c>
      <c r="CJ71" s="2" t="n">
        <f aca="false">MAX(CI70+IF($A71=CJ$4,1,-1),CJ70-1,CI71-1)</f>
        <v>-76</v>
      </c>
      <c r="CK71" s="2" t="n">
        <f aca="false">MAX(CJ70+IF($A71=CK$4,1,-1),CK70-1,CJ71-1)</f>
        <v>-77</v>
      </c>
      <c r="CL71" s="2" t="n">
        <f aca="false">MAX(CK70+IF($A71=CL$4,1,-1),CL70-1,CK71-1)</f>
        <v>-78</v>
      </c>
      <c r="CM71" s="2" t="n">
        <f aca="false">MAX(CL70+IF($A71=CM$4,1,-1),CM70-1,CL71-1)</f>
        <v>-79</v>
      </c>
      <c r="CN71" s="2" t="n">
        <f aca="false">MAX(CM70+IF($A71=CN$4,1,-1),CN70-1,CM71-1)</f>
        <v>-80</v>
      </c>
      <c r="CO71" s="2" t="n">
        <f aca="false">MAX(CN70+IF($A71=CO$4,1,-1),CO70-1,CN71-1)</f>
        <v>-81</v>
      </c>
      <c r="CP71" s="2" t="n">
        <f aca="false">MAX(CO70+IF($A71=CP$4,1,-1),CP70-1,CO71-1)</f>
        <v>-82</v>
      </c>
      <c r="CQ71" s="2" t="n">
        <f aca="false">MAX(CP70+IF($A71=CQ$4,1,-1),CQ70-1,CP71-1)</f>
        <v>-82</v>
      </c>
    </row>
    <row r="72" customFormat="false" ht="15" hidden="false" customHeight="false" outlineLevel="0" collapsed="false">
      <c r="A72" s="4" t="s">
        <v>187</v>
      </c>
      <c r="B72" s="12" t="n">
        <v>-67</v>
      </c>
      <c r="C72" s="2" t="n">
        <f aca="false">MAX(B71+IF($A72=C$4,1,-1),C71-1,B72-1)</f>
        <v>-67</v>
      </c>
      <c r="D72" s="2" t="n">
        <f aca="false">MAX(C71+IF($A72=D$4,1,-1),D71-1,C72-1)</f>
        <v>-65</v>
      </c>
      <c r="E72" s="2" t="n">
        <f aca="false">MAX(D71+IF($A72=E$4,1,-1),E71-1,D72-1)</f>
        <v>-63</v>
      </c>
      <c r="F72" s="2" t="n">
        <f aca="false">MAX(E71+IF($A72=F$4,1,-1),F71-1,E72-1)</f>
        <v>-61</v>
      </c>
      <c r="G72" s="2" t="n">
        <f aca="false">MAX(F71+IF($A72=G$4,1,-1),G71-1,F72-1)</f>
        <v>-61</v>
      </c>
      <c r="H72" s="2" t="n">
        <f aca="false">MAX(G71+IF($A72=H$4,1,-1),H71-1,G72-1)</f>
        <v>-61</v>
      </c>
      <c r="I72" s="2" t="n">
        <f aca="false">MAX(H71+IF($A72=I$4,1,-1),I71-1,H72-1)</f>
        <v>-61</v>
      </c>
      <c r="J72" s="2" t="n">
        <f aca="false">MAX(I71+IF($A72=J$4,1,-1),J71-1,I72-1)</f>
        <v>-61</v>
      </c>
      <c r="K72" s="2" t="n">
        <f aca="false">MAX(J71+IF($A72=K$4,1,-1),K71-1,J72-1)</f>
        <v>-59</v>
      </c>
      <c r="L72" s="2" t="n">
        <f aca="false">MAX(K71+IF($A72=L$4,1,-1),L71-1,K72-1)</f>
        <v>-59</v>
      </c>
      <c r="M72" s="2" t="n">
        <f aca="false">MAX(L71+IF($A72=M$4,1,-1),M71-1,L72-1)</f>
        <v>-59</v>
      </c>
      <c r="N72" s="2" t="n">
        <f aca="false">MAX(M71+IF($A72=N$4,1,-1),N71-1,M72-1)</f>
        <v>-58</v>
      </c>
      <c r="O72" s="2" t="n">
        <f aca="false">MAX(N71+IF($A72=O$4,1,-1),O71-1,N72-1)</f>
        <v>-56</v>
      </c>
      <c r="P72" s="2" t="n">
        <f aca="false">MAX(O71+IF($A72=P$4,1,-1),P71-1,O72-1)</f>
        <v>-56</v>
      </c>
      <c r="Q72" s="2" t="n">
        <f aca="false">MAX(P71+IF($A72=Q$4,1,-1),Q71-1,P72-1)</f>
        <v>-56</v>
      </c>
      <c r="R72" s="2" t="n">
        <f aca="false">MAX(Q71+IF($A72=R$4,1,-1),R71-1,Q72-1)</f>
        <v>-56</v>
      </c>
      <c r="S72" s="2" t="n">
        <f aca="false">MAX(R71+IF($A72=S$4,1,-1),S71-1,R72-1)</f>
        <v>-56</v>
      </c>
      <c r="T72" s="2" t="n">
        <f aca="false">MAX(S71+IF($A72=T$4,1,-1),T71-1,S72-1)</f>
        <v>-56</v>
      </c>
      <c r="U72" s="2" t="n">
        <f aca="false">MAX(T71+IF($A72=U$4,1,-1),U71-1,T72-1)</f>
        <v>-56</v>
      </c>
      <c r="V72" s="2" t="n">
        <f aca="false">MAX(U71+IF($A72=V$4,1,-1),V71-1,U72-1)</f>
        <v>-57</v>
      </c>
      <c r="W72" s="2" t="n">
        <f aca="false">MAX(V71+IF($A72=W$4,1,-1),W71-1,V72-1)</f>
        <v>-55</v>
      </c>
      <c r="X72" s="2" t="n">
        <f aca="false">MAX(W71+IF($A72=X$4,1,-1),X71-1,W72-1)</f>
        <v>-55</v>
      </c>
      <c r="Y72" s="2" t="n">
        <f aca="false">MAX(X71+IF($A72=Y$4,1,-1),Y71-1,X72-1)</f>
        <v>-55</v>
      </c>
      <c r="Z72" s="2" t="n">
        <f aca="false">MAX(Y71+IF($A72=Z$4,1,-1),Z71-1,Y72-1)</f>
        <v>-55</v>
      </c>
      <c r="AA72" s="2" t="n">
        <f aca="false">MAX(Z71+IF($A72=AA$4,1,-1),AA71-1,Z72-1)</f>
        <v>-55</v>
      </c>
      <c r="AB72" s="2" t="n">
        <f aca="false">MAX(AA71+IF($A72=AB$4,1,-1),AB71-1,AA72-1)</f>
        <v>-55</v>
      </c>
      <c r="AC72" s="2" t="n">
        <f aca="false">MAX(AB71+IF($A72=AC$4,1,-1),AC71-1,AB72-1)</f>
        <v>-55</v>
      </c>
      <c r="AD72" s="2" t="n">
        <f aca="false">MAX(AC71+IF($A72=AD$4,1,-1),AD71-1,AC72-1)</f>
        <v>-55</v>
      </c>
      <c r="AE72" s="2" t="n">
        <f aca="false">MAX(AD71+IF($A72=AE$4,1,-1),AE71-1,AD72-1)</f>
        <v>-55</v>
      </c>
      <c r="AF72" s="2" t="n">
        <f aca="false">MAX(AE71+IF($A72=AF$4,1,-1),AF71-1,AE72-1)</f>
        <v>-55</v>
      </c>
      <c r="AG72" s="2" t="n">
        <f aca="false">MAX(AF71+IF($A72=AG$4,1,-1),AG71-1,AF72-1)</f>
        <v>-55</v>
      </c>
      <c r="AH72" s="2" t="n">
        <f aca="false">MAX(AG71+IF($A72=AH$4,1,-1),AH71-1,AG72-1)</f>
        <v>-55</v>
      </c>
      <c r="AI72" s="2" t="n">
        <f aca="false">MAX(AH71+IF($A72=AI$4,1,-1),AI71-1,AH72-1)</f>
        <v>-55</v>
      </c>
      <c r="AJ72" s="2" t="n">
        <f aca="false">MAX(AI71+IF($A72=AJ$4,1,-1),AJ71-1,AI72-1)</f>
        <v>-55</v>
      </c>
      <c r="AK72" s="2" t="n">
        <f aca="false">MAX(AJ71+IF($A72=AK$4,1,-1),AK71-1,AJ72-1)</f>
        <v>-56</v>
      </c>
      <c r="AL72" s="2" t="n">
        <f aca="false">MAX(AK71+IF($A72=AL$4,1,-1),AL71-1,AK72-1)</f>
        <v>-57</v>
      </c>
      <c r="AM72" s="2" t="n">
        <f aca="false">MAX(AL71+IF($A72=AM$4,1,-1),AM71-1,AL72-1)</f>
        <v>-57</v>
      </c>
      <c r="AN72" s="2" t="n">
        <f aca="false">MAX(AM71+IF($A72=AN$4,1,-1),AN71-1,AM72-1)</f>
        <v>-57</v>
      </c>
      <c r="AO72" s="2" t="n">
        <f aca="false">MAX(AN71+IF($A72=AO$4,1,-1),AO71-1,AN72-1)</f>
        <v>-57</v>
      </c>
      <c r="AP72" s="2" t="n">
        <f aca="false">MAX(AO71+IF($A72=AP$4,1,-1),AP71-1,AO72-1)</f>
        <v>-57</v>
      </c>
      <c r="AQ72" s="2" t="n">
        <f aca="false">MAX(AP71+IF($A72=AQ$4,1,-1),AQ71-1,AP72-1)</f>
        <v>-57</v>
      </c>
      <c r="AR72" s="2" t="n">
        <f aca="false">MAX(AQ71+IF($A72=AR$4,1,-1),AR71-1,AQ72-1)</f>
        <v>-57</v>
      </c>
      <c r="AS72" s="2" t="n">
        <f aca="false">MAX(AR71+IF($A72=AS$4,1,-1),AS71-1,AR72-1)</f>
        <v>-57</v>
      </c>
      <c r="AT72" s="2" t="n">
        <f aca="false">MAX(AS71+IF($A72=AT$4,1,-1),AT71-1,AS72-1)</f>
        <v>-57</v>
      </c>
      <c r="AU72" s="2" t="n">
        <f aca="false">MAX(AT71+IF($A72=AU$4,1,-1),AU71-1,AT72-1)</f>
        <v>-57</v>
      </c>
      <c r="AV72" s="2" t="n">
        <f aca="false">MAX(AU71+IF($A72=AV$4,1,-1),AV71-1,AU72-1)</f>
        <v>-57</v>
      </c>
      <c r="AW72" s="2" t="n">
        <f aca="false">MAX(AV71+IF($A72=AW$4,1,-1),AW71-1,AV72-1)</f>
        <v>-57</v>
      </c>
      <c r="AX72" s="2" t="n">
        <f aca="false">MAX(AW71+IF($A72=AX$4,1,-1),AX71-1,AW72-1)</f>
        <v>-57</v>
      </c>
      <c r="AY72" s="2" t="n">
        <f aca="false">MAX(AX71+IF($A72=AY$4,1,-1),AY71-1,AX72-1)</f>
        <v>-57</v>
      </c>
      <c r="AZ72" s="2" t="n">
        <f aca="false">MAX(AY71+IF($A72=AZ$4,1,-1),AZ71-1,AY72-1)</f>
        <v>-57</v>
      </c>
      <c r="BA72" s="2" t="n">
        <f aca="false">MAX(AZ71+IF($A72=BA$4,1,-1),BA71-1,AZ72-1)</f>
        <v>-57</v>
      </c>
      <c r="BB72" s="2" t="n">
        <f aca="false">MAX(BA71+IF($A72=BB$4,1,-1),BB71-1,BA72-1)</f>
        <v>-57</v>
      </c>
      <c r="BC72" s="2" t="n">
        <f aca="false">MAX(BB71+IF($A72=BC$4,1,-1),BC71-1,BB72-1)</f>
        <v>-57</v>
      </c>
      <c r="BD72" s="2" t="n">
        <f aca="false">MAX(BC71+IF($A72=BD$4,1,-1),BD71-1,BC72-1)</f>
        <v>-57</v>
      </c>
      <c r="BE72" s="2" t="n">
        <f aca="false">MAX(BD71+IF($A72=BE$4,1,-1),BE71-1,BD72-1)</f>
        <v>-57</v>
      </c>
      <c r="BF72" s="2" t="n">
        <f aca="false">MAX(BE71+IF($A72=BF$4,1,-1),BF71-1,BE72-1)</f>
        <v>-57</v>
      </c>
      <c r="BG72" s="2" t="n">
        <f aca="false">MAX(BF71+IF($A72=BG$4,1,-1),BG71-1,BF72-1)</f>
        <v>-58</v>
      </c>
      <c r="BH72" s="2" t="n">
        <f aca="false">MAX(BG71+IF($A72=BH$4,1,-1),BH71-1,BG72-1)</f>
        <v>-59</v>
      </c>
      <c r="BI72" s="2" t="n">
        <f aca="false">MAX(BH71+IF($A72=BI$4,1,-1),BI71-1,BH72-1)</f>
        <v>-59</v>
      </c>
      <c r="BJ72" s="2" t="n">
        <f aca="false">MAX(BI71+IF($A72=BJ$4,1,-1),BJ71-1,BI72-1)</f>
        <v>-59</v>
      </c>
      <c r="BK72" s="2" t="n">
        <f aca="false">MAX(BJ71+IF($A72=BK$4,1,-1),BK71-1,BJ72-1)</f>
        <v>-59</v>
      </c>
      <c r="BL72" s="2" t="n">
        <f aca="false">MAX(BK71+IF($A72=BL$4,1,-1),BL71-1,BK72-1)</f>
        <v>-59</v>
      </c>
      <c r="BM72" s="2" t="n">
        <f aca="false">MAX(BL71+IF($A72=BM$4,1,-1),BM71-1,BL72-1)</f>
        <v>-59</v>
      </c>
      <c r="BN72" s="2" t="n">
        <f aca="false">MAX(BM71+IF($A72=BN$4,1,-1),BN71-1,BM72-1)</f>
        <v>-59</v>
      </c>
      <c r="BO72" s="2" t="n">
        <f aca="false">MAX(BN71+IF($A72=BO$4,1,-1),BO71-1,BN72-1)</f>
        <v>-59</v>
      </c>
      <c r="BP72" s="2" t="n">
        <f aca="false">MAX(BO71+IF($A72=BP$4,1,-1),BP71-1,BO72-1)</f>
        <v>-59</v>
      </c>
      <c r="BQ72" s="2" t="n">
        <f aca="false">MAX(BP71+IF($A72=BQ$4,1,-1),BQ71-1,BP72-1)</f>
        <v>-59</v>
      </c>
      <c r="BR72" s="2" t="n">
        <f aca="false">MAX(BQ71+IF($A72=BR$4,1,-1),BR71-1,BQ72-1)</f>
        <v>-59</v>
      </c>
      <c r="BS72" s="2" t="n">
        <f aca="false">MAX(BR71+IF($A72=BS$4,1,-1),BS71-1,BR72-1)</f>
        <v>-60</v>
      </c>
      <c r="BT72" s="2" t="n">
        <f aca="false">MAX(BS71+IF($A72=BT$4,1,-1),BT71-1,BS72-1)</f>
        <v>-61</v>
      </c>
      <c r="BU72" s="2" t="n">
        <f aca="false">MAX(BT71+IF($A72=BU$4,1,-1),BU71-1,BT72-1)</f>
        <v>-62</v>
      </c>
      <c r="BV72" s="2" t="n">
        <f aca="false">MAX(BU71+IF($A72=BV$4,1,-1),BV71-1,BU72-1)</f>
        <v>-63</v>
      </c>
      <c r="BW72" s="2" t="n">
        <f aca="false">MAX(BV71+IF($A72=BW$4,1,-1),BW71-1,BV72-1)</f>
        <v>-64</v>
      </c>
      <c r="BX72" s="2" t="n">
        <f aca="false">MAX(BW71+IF($A72=BX$4,1,-1),BX71-1,BW72-1)</f>
        <v>-65</v>
      </c>
      <c r="BY72" s="2" t="n">
        <f aca="false">MAX(BX71+IF($A72=BY$4,1,-1),BY71-1,BX72-1)</f>
        <v>-66</v>
      </c>
      <c r="BZ72" s="2" t="n">
        <f aca="false">MAX(BY71+IF($A72=BZ$4,1,-1),BZ71-1,BY72-1)</f>
        <v>-67</v>
      </c>
      <c r="CA72" s="2" t="n">
        <f aca="false">MAX(BZ71+IF($A72=CA$4,1,-1),CA71-1,BZ72-1)</f>
        <v>-68</v>
      </c>
      <c r="CB72" s="2" t="n">
        <f aca="false">MAX(CA71+IF($A72=CB$4,1,-1),CB71-1,CA72-1)</f>
        <v>-69</v>
      </c>
      <c r="CC72" s="2" t="n">
        <f aca="false">MAX(CB71+IF($A72=CC$4,1,-1),CC71-1,CB72-1)</f>
        <v>-70</v>
      </c>
      <c r="CD72" s="2" t="n">
        <f aca="false">MAX(CC71+IF($A72=CD$4,1,-1),CD71-1,CC72-1)</f>
        <v>-71</v>
      </c>
      <c r="CE72" s="2" t="n">
        <f aca="false">MAX(CD71+IF($A72=CE$4,1,-1),CE71-1,CD72-1)</f>
        <v>-72</v>
      </c>
      <c r="CF72" s="2" t="n">
        <f aca="false">MAX(CE71+IF($A72=CF$4,1,-1),CF71-1,CE72-1)</f>
        <v>-73</v>
      </c>
      <c r="CG72" s="2" t="n">
        <f aca="false">MAX(CF71+IF($A72=CG$4,1,-1),CG71-1,CF72-1)</f>
        <v>-74</v>
      </c>
      <c r="CH72" s="2" t="n">
        <f aca="false">MAX(CG71+IF($A72=CH$4,1,-1),CH71-1,CG72-1)</f>
        <v>-75</v>
      </c>
      <c r="CI72" s="2" t="n">
        <f aca="false">MAX(CH71+IF($A72=CI$4,1,-1),CI71-1,CH72-1)</f>
        <v>-75</v>
      </c>
      <c r="CJ72" s="2" t="n">
        <f aca="false">MAX(CI71+IF($A72=CJ$4,1,-1),CJ71-1,CI72-1)</f>
        <v>-76</v>
      </c>
      <c r="CK72" s="2" t="n">
        <f aca="false">MAX(CJ71+IF($A72=CK$4,1,-1),CK71-1,CJ72-1)</f>
        <v>-77</v>
      </c>
      <c r="CL72" s="2" t="n">
        <f aca="false">MAX(CK71+IF($A72=CL$4,1,-1),CL71-1,CK72-1)</f>
        <v>-78</v>
      </c>
      <c r="CM72" s="2" t="n">
        <f aca="false">MAX(CL71+IF($A72=CM$4,1,-1),CM71-1,CL72-1)</f>
        <v>-79</v>
      </c>
      <c r="CN72" s="2" t="n">
        <f aca="false">MAX(CM71+IF($A72=CN$4,1,-1),CN71-1,CM72-1)</f>
        <v>-80</v>
      </c>
      <c r="CO72" s="2" t="n">
        <f aca="false">MAX(CN71+IF($A72=CO$4,1,-1),CO71-1,CN72-1)</f>
        <v>-81</v>
      </c>
      <c r="CP72" s="2" t="n">
        <f aca="false">MAX(CO71+IF($A72=CP$4,1,-1),CP71-1,CO72-1)</f>
        <v>-82</v>
      </c>
      <c r="CQ72" s="2" t="n">
        <f aca="false">MAX(CP71+IF($A72=CQ$4,1,-1),CQ71-1,CP72-1)</f>
        <v>-83</v>
      </c>
    </row>
    <row r="73" customFormat="false" ht="15" hidden="false" customHeight="false" outlineLevel="0" collapsed="false">
      <c r="A73" s="4" t="s">
        <v>188</v>
      </c>
      <c r="B73" s="12" t="n">
        <v>-68</v>
      </c>
      <c r="C73" s="2" t="n">
        <f aca="false">MAX(B72+IF($A73=C$4,1,-1),C72-1,B73-1)</f>
        <v>-68</v>
      </c>
      <c r="D73" s="2" t="n">
        <f aca="false">MAX(C72+IF($A73=D$4,1,-1),D72-1,C73-1)</f>
        <v>-66</v>
      </c>
      <c r="E73" s="2" t="n">
        <f aca="false">MAX(D72+IF($A73=E$4,1,-1),E72-1,D73-1)</f>
        <v>-64</v>
      </c>
      <c r="F73" s="2" t="n">
        <f aca="false">MAX(E72+IF($A73=F$4,1,-1),F72-1,E73-1)</f>
        <v>-62</v>
      </c>
      <c r="G73" s="2" t="n">
        <f aca="false">MAX(F72+IF($A73=G$4,1,-1),G72-1,F73-1)</f>
        <v>-62</v>
      </c>
      <c r="H73" s="2" t="n">
        <f aca="false">MAX(G72+IF($A73=H$4,1,-1),H72-1,G73-1)</f>
        <v>-62</v>
      </c>
      <c r="I73" s="2" t="n">
        <f aca="false">MAX(H72+IF($A73=I$4,1,-1),I72-1,H73-1)</f>
        <v>-62</v>
      </c>
      <c r="J73" s="2" t="n">
        <f aca="false">MAX(I72+IF($A73=J$4,1,-1),J72-1,I73-1)</f>
        <v>-62</v>
      </c>
      <c r="K73" s="2" t="n">
        <f aca="false">MAX(J72+IF($A73=K$4,1,-1),K72-1,J73-1)</f>
        <v>-60</v>
      </c>
      <c r="L73" s="2" t="n">
        <f aca="false">MAX(K72+IF($A73=L$4,1,-1),L72-1,K73-1)</f>
        <v>-60</v>
      </c>
      <c r="M73" s="2" t="n">
        <f aca="false">MAX(L72+IF($A73=M$4,1,-1),M72-1,L73-1)</f>
        <v>-60</v>
      </c>
      <c r="N73" s="2" t="n">
        <f aca="false">MAX(M72+IF($A73=N$4,1,-1),N72-1,M73-1)</f>
        <v>-59</v>
      </c>
      <c r="O73" s="2" t="n">
        <f aca="false">MAX(N72+IF($A73=O$4,1,-1),O72-1,N73-1)</f>
        <v>-57</v>
      </c>
      <c r="P73" s="2" t="n">
        <f aca="false">MAX(O72+IF($A73=P$4,1,-1),P72-1,O73-1)</f>
        <v>-57</v>
      </c>
      <c r="Q73" s="2" t="n">
        <f aca="false">MAX(P72+IF($A73=Q$4,1,-1),Q72-1,P73-1)</f>
        <v>-57</v>
      </c>
      <c r="R73" s="2" t="n">
        <f aca="false">MAX(Q72+IF($A73=R$4,1,-1),R72-1,Q73-1)</f>
        <v>-57</v>
      </c>
      <c r="S73" s="2" t="n">
        <f aca="false">MAX(R72+IF($A73=S$4,1,-1),S72-1,R73-1)</f>
        <v>-57</v>
      </c>
      <c r="T73" s="2" t="n">
        <f aca="false">MAX(S72+IF($A73=T$4,1,-1),T72-1,S73-1)</f>
        <v>-57</v>
      </c>
      <c r="U73" s="2" t="n">
        <f aca="false">MAX(T72+IF($A73=U$4,1,-1),U72-1,T73-1)</f>
        <v>-57</v>
      </c>
      <c r="V73" s="2" t="n">
        <f aca="false">MAX(U72+IF($A73=V$4,1,-1),V72-1,U73-1)</f>
        <v>-57</v>
      </c>
      <c r="W73" s="2" t="n">
        <f aca="false">MAX(V72+IF($A73=W$4,1,-1),W72-1,V73-1)</f>
        <v>-56</v>
      </c>
      <c r="X73" s="2" t="n">
        <f aca="false">MAX(W72+IF($A73=X$4,1,-1),X72-1,W73-1)</f>
        <v>-56</v>
      </c>
      <c r="Y73" s="2" t="n">
        <f aca="false">MAX(X72+IF($A73=Y$4,1,-1),Y72-1,X73-1)</f>
        <v>-56</v>
      </c>
      <c r="Z73" s="2" t="n">
        <f aca="false">MAX(Y72+IF($A73=Z$4,1,-1),Z72-1,Y73-1)</f>
        <v>-56</v>
      </c>
      <c r="AA73" s="2" t="n">
        <f aca="false">MAX(Z72+IF($A73=AA$4,1,-1),AA72-1,Z73-1)</f>
        <v>-56</v>
      </c>
      <c r="AB73" s="2" t="n">
        <f aca="false">MAX(AA72+IF($A73=AB$4,1,-1),AB72-1,AA73-1)</f>
        <v>-56</v>
      </c>
      <c r="AC73" s="2" t="n">
        <f aca="false">MAX(AB72+IF($A73=AC$4,1,-1),AC72-1,AB73-1)</f>
        <v>-56</v>
      </c>
      <c r="AD73" s="2" t="n">
        <f aca="false">MAX(AC72+IF($A73=AD$4,1,-1),AD72-1,AC73-1)</f>
        <v>-56</v>
      </c>
      <c r="AE73" s="2" t="n">
        <f aca="false">MAX(AD72+IF($A73=AE$4,1,-1),AE72-1,AD73-1)</f>
        <v>-56</v>
      </c>
      <c r="AF73" s="2" t="n">
        <f aca="false">MAX(AE72+IF($A73=AF$4,1,-1),AF72-1,AE73-1)</f>
        <v>-56</v>
      </c>
      <c r="AG73" s="2" t="n">
        <f aca="false">MAX(AF72+IF($A73=AG$4,1,-1),AG72-1,AF73-1)</f>
        <v>-56</v>
      </c>
      <c r="AH73" s="2" t="n">
        <f aca="false">MAX(AG72+IF($A73=AH$4,1,-1),AH72-1,AG73-1)</f>
        <v>-56</v>
      </c>
      <c r="AI73" s="2" t="n">
        <f aca="false">MAX(AH72+IF($A73=AI$4,1,-1),AI72-1,AH73-1)</f>
        <v>-56</v>
      </c>
      <c r="AJ73" s="2" t="n">
        <f aca="false">MAX(AI72+IF($A73=AJ$4,1,-1),AJ72-1,AI73-1)</f>
        <v>-56</v>
      </c>
      <c r="AK73" s="2" t="n">
        <f aca="false">MAX(AJ72+IF($A73=AK$4,1,-1),AK72-1,AJ73-1)</f>
        <v>-56</v>
      </c>
      <c r="AL73" s="2" t="n">
        <f aca="false">MAX(AK72+IF($A73=AL$4,1,-1),AL72-1,AK73-1)</f>
        <v>-57</v>
      </c>
      <c r="AM73" s="2" t="n">
        <f aca="false">MAX(AL72+IF($A73=AM$4,1,-1),AM72-1,AL73-1)</f>
        <v>-58</v>
      </c>
      <c r="AN73" s="2" t="n">
        <f aca="false">MAX(AM72+IF($A73=AN$4,1,-1),AN72-1,AM73-1)</f>
        <v>-58</v>
      </c>
      <c r="AO73" s="2" t="n">
        <f aca="false">MAX(AN72+IF($A73=AO$4,1,-1),AO72-1,AN73-1)</f>
        <v>-58</v>
      </c>
      <c r="AP73" s="2" t="n">
        <f aca="false">MAX(AO72+IF($A73=AP$4,1,-1),AP72-1,AO73-1)</f>
        <v>-58</v>
      </c>
      <c r="AQ73" s="2" t="n">
        <f aca="false">MAX(AP72+IF($A73=AQ$4,1,-1),AQ72-1,AP73-1)</f>
        <v>-58</v>
      </c>
      <c r="AR73" s="2" t="n">
        <f aca="false">MAX(AQ72+IF($A73=AR$4,1,-1),AR72-1,AQ73-1)</f>
        <v>-58</v>
      </c>
      <c r="AS73" s="2" t="n">
        <f aca="false">MAX(AR72+IF($A73=AS$4,1,-1),AS72-1,AR73-1)</f>
        <v>-58</v>
      </c>
      <c r="AT73" s="2" t="n">
        <f aca="false">MAX(AS72+IF($A73=AT$4,1,-1),AT72-1,AS73-1)</f>
        <v>-58</v>
      </c>
      <c r="AU73" s="2" t="n">
        <f aca="false">MAX(AT72+IF($A73=AU$4,1,-1),AU72-1,AT73-1)</f>
        <v>-58</v>
      </c>
      <c r="AV73" s="2" t="n">
        <f aca="false">MAX(AU72+IF($A73=AV$4,1,-1),AV72-1,AU73-1)</f>
        <v>-58</v>
      </c>
      <c r="AW73" s="2" t="n">
        <f aca="false">MAX(AV72+IF($A73=AW$4,1,-1),AW72-1,AV73-1)</f>
        <v>-58</v>
      </c>
      <c r="AX73" s="2" t="n">
        <f aca="false">MAX(AW72+IF($A73=AX$4,1,-1),AX72-1,AW73-1)</f>
        <v>-58</v>
      </c>
      <c r="AY73" s="2" t="n">
        <f aca="false">MAX(AX72+IF($A73=AY$4,1,-1),AY72-1,AX73-1)</f>
        <v>-58</v>
      </c>
      <c r="AZ73" s="2" t="n">
        <f aca="false">MAX(AY72+IF($A73=AZ$4,1,-1),AZ72-1,AY73-1)</f>
        <v>-58</v>
      </c>
      <c r="BA73" s="2" t="n">
        <f aca="false">MAX(AZ72+IF($A73=BA$4,1,-1),BA72-1,AZ73-1)</f>
        <v>-58</v>
      </c>
      <c r="BB73" s="2" t="n">
        <f aca="false">MAX(BA72+IF($A73=BB$4,1,-1),BB72-1,BA73-1)</f>
        <v>-58</v>
      </c>
      <c r="BC73" s="2" t="n">
        <f aca="false">MAX(BB72+IF($A73=BC$4,1,-1),BC72-1,BB73-1)</f>
        <v>-58</v>
      </c>
      <c r="BD73" s="2" t="n">
        <f aca="false">MAX(BC72+IF($A73=BD$4,1,-1),BD72-1,BC73-1)</f>
        <v>-58</v>
      </c>
      <c r="BE73" s="2" t="n">
        <f aca="false">MAX(BD72+IF($A73=BE$4,1,-1),BE72-1,BD73-1)</f>
        <v>-58</v>
      </c>
      <c r="BF73" s="2" t="n">
        <f aca="false">MAX(BE72+IF($A73=BF$4,1,-1),BF72-1,BE73-1)</f>
        <v>-58</v>
      </c>
      <c r="BG73" s="2" t="n">
        <f aca="false">MAX(BF72+IF($A73=BG$4,1,-1),BG72-1,BF73-1)</f>
        <v>-58</v>
      </c>
      <c r="BH73" s="2" t="n">
        <f aca="false">MAX(BG72+IF($A73=BH$4,1,-1),BH72-1,BG73-1)</f>
        <v>-59</v>
      </c>
      <c r="BI73" s="2" t="n">
        <f aca="false">MAX(BH72+IF($A73=BI$4,1,-1),BI72-1,BH73-1)</f>
        <v>-60</v>
      </c>
      <c r="BJ73" s="2" t="n">
        <f aca="false">MAX(BI72+IF($A73=BJ$4,1,-1),BJ72-1,BI73-1)</f>
        <v>-60</v>
      </c>
      <c r="BK73" s="2" t="n">
        <f aca="false">MAX(BJ72+IF($A73=BK$4,1,-1),BK72-1,BJ73-1)</f>
        <v>-60</v>
      </c>
      <c r="BL73" s="2" t="n">
        <f aca="false">MAX(BK72+IF($A73=BL$4,1,-1),BL72-1,BK73-1)</f>
        <v>-60</v>
      </c>
      <c r="BM73" s="2" t="n">
        <f aca="false">MAX(BL72+IF($A73=BM$4,1,-1),BM72-1,BL73-1)</f>
        <v>-60</v>
      </c>
      <c r="BN73" s="2" t="n">
        <f aca="false">MAX(BM72+IF($A73=BN$4,1,-1),BN72-1,BM73-1)</f>
        <v>-60</v>
      </c>
      <c r="BO73" s="2" t="n">
        <f aca="false">MAX(BN72+IF($A73=BO$4,1,-1),BO72-1,BN73-1)</f>
        <v>-60</v>
      </c>
      <c r="BP73" s="2" t="n">
        <f aca="false">MAX(BO72+IF($A73=BP$4,1,-1),BP72-1,BO73-1)</f>
        <v>-60</v>
      </c>
      <c r="BQ73" s="2" t="n">
        <f aca="false">MAX(BP72+IF($A73=BQ$4,1,-1),BQ72-1,BP73-1)</f>
        <v>-60</v>
      </c>
      <c r="BR73" s="2" t="n">
        <f aca="false">MAX(BQ72+IF($A73=BR$4,1,-1),BR72-1,BQ73-1)</f>
        <v>-60</v>
      </c>
      <c r="BS73" s="2" t="n">
        <f aca="false">MAX(BR72+IF($A73=BS$4,1,-1),BS72-1,BR73-1)</f>
        <v>-60</v>
      </c>
      <c r="BT73" s="2" t="n">
        <f aca="false">MAX(BS72+IF($A73=BT$4,1,-1),BT72-1,BS73-1)</f>
        <v>-61</v>
      </c>
      <c r="BU73" s="2" t="n">
        <f aca="false">MAX(BT72+IF($A73=BU$4,1,-1),BU72-1,BT73-1)</f>
        <v>-62</v>
      </c>
      <c r="BV73" s="2" t="n">
        <f aca="false">MAX(BU72+IF($A73=BV$4,1,-1),BV72-1,BU73-1)</f>
        <v>-63</v>
      </c>
      <c r="BW73" s="2" t="n">
        <f aca="false">MAX(BV72+IF($A73=BW$4,1,-1),BW72-1,BV73-1)</f>
        <v>-64</v>
      </c>
      <c r="BX73" s="2" t="n">
        <f aca="false">MAX(BW72+IF($A73=BX$4,1,-1),BX72-1,BW73-1)</f>
        <v>-65</v>
      </c>
      <c r="BY73" s="2" t="n">
        <f aca="false">MAX(BX72+IF($A73=BY$4,1,-1),BY72-1,BX73-1)</f>
        <v>-66</v>
      </c>
      <c r="BZ73" s="2" t="n">
        <f aca="false">MAX(BY72+IF($A73=BZ$4,1,-1),BZ72-1,BY73-1)</f>
        <v>-67</v>
      </c>
      <c r="CA73" s="2" t="n">
        <f aca="false">MAX(BZ72+IF($A73=CA$4,1,-1),CA72-1,BZ73-1)</f>
        <v>-68</v>
      </c>
      <c r="CB73" s="2" t="n">
        <f aca="false">MAX(CA72+IF($A73=CB$4,1,-1),CB72-1,CA73-1)</f>
        <v>-69</v>
      </c>
      <c r="CC73" s="2" t="n">
        <f aca="false">MAX(CB72+IF($A73=CC$4,1,-1),CC72-1,CB73-1)</f>
        <v>-70</v>
      </c>
      <c r="CD73" s="2" t="n">
        <f aca="false">MAX(CC72+IF($A73=CD$4,1,-1),CD72-1,CC73-1)</f>
        <v>-71</v>
      </c>
      <c r="CE73" s="2" t="n">
        <f aca="false">MAX(CD72+IF($A73=CE$4,1,-1),CE72-1,CD73-1)</f>
        <v>-72</v>
      </c>
      <c r="CF73" s="2" t="n">
        <f aca="false">MAX(CE72+IF($A73=CF$4,1,-1),CF72-1,CE73-1)</f>
        <v>-73</v>
      </c>
      <c r="CG73" s="2" t="n">
        <f aca="false">MAX(CF72+IF($A73=CG$4,1,-1),CG72-1,CF73-1)</f>
        <v>-74</v>
      </c>
      <c r="CH73" s="2" t="n">
        <f aca="false">MAX(CG72+IF($A73=CH$4,1,-1),CH72-1,CG73-1)</f>
        <v>-75</v>
      </c>
      <c r="CI73" s="2" t="n">
        <f aca="false">MAX(CH72+IF($A73=CI$4,1,-1),CI72-1,CH73-1)</f>
        <v>-76</v>
      </c>
      <c r="CJ73" s="2" t="n">
        <f aca="false">MAX(CI72+IF($A73=CJ$4,1,-1),CJ72-1,CI73-1)</f>
        <v>-76</v>
      </c>
      <c r="CK73" s="2" t="n">
        <f aca="false">MAX(CJ72+IF($A73=CK$4,1,-1),CK72-1,CJ73-1)</f>
        <v>-77</v>
      </c>
      <c r="CL73" s="2" t="n">
        <f aca="false">MAX(CK72+IF($A73=CL$4,1,-1),CL72-1,CK73-1)</f>
        <v>-78</v>
      </c>
      <c r="CM73" s="2" t="n">
        <f aca="false">MAX(CL72+IF($A73=CM$4,1,-1),CM72-1,CL73-1)</f>
        <v>-79</v>
      </c>
      <c r="CN73" s="2" t="n">
        <f aca="false">MAX(CM72+IF($A73=CN$4,1,-1),CN72-1,CM73-1)</f>
        <v>-80</v>
      </c>
      <c r="CO73" s="2" t="n">
        <f aca="false">MAX(CN72+IF($A73=CO$4,1,-1),CO72-1,CN73-1)</f>
        <v>-81</v>
      </c>
      <c r="CP73" s="2" t="n">
        <f aca="false">MAX(CO72+IF($A73=CP$4,1,-1),CP72-1,CO73-1)</f>
        <v>-82</v>
      </c>
      <c r="CQ73" s="2" t="n">
        <f aca="false">MAX(CP72+IF($A73=CQ$4,1,-1),CQ72-1,CP73-1)</f>
        <v>-83</v>
      </c>
    </row>
    <row r="74" customFormat="false" ht="15" hidden="false" customHeight="false" outlineLevel="0" collapsed="false">
      <c r="A74" s="4" t="s">
        <v>189</v>
      </c>
      <c r="B74" s="12" t="n">
        <v>-69</v>
      </c>
      <c r="C74" s="2" t="n">
        <f aca="false">MAX(B73+IF($A74=C$4,1,-1),C73-1,B74-1)</f>
        <v>-69</v>
      </c>
      <c r="D74" s="2" t="n">
        <f aca="false">MAX(C73+IF($A74=D$4,1,-1),D73-1,C74-1)</f>
        <v>-67</v>
      </c>
      <c r="E74" s="2" t="n">
        <f aca="false">MAX(D73+IF($A74=E$4,1,-1),E73-1,D74-1)</f>
        <v>-65</v>
      </c>
      <c r="F74" s="2" t="n">
        <f aca="false">MAX(E73+IF($A74=F$4,1,-1),F73-1,E74-1)</f>
        <v>-63</v>
      </c>
      <c r="G74" s="2" t="n">
        <f aca="false">MAX(F73+IF($A74=G$4,1,-1),G73-1,F74-1)</f>
        <v>-63</v>
      </c>
      <c r="H74" s="2" t="n">
        <f aca="false">MAX(G73+IF($A74=H$4,1,-1),H73-1,G74-1)</f>
        <v>-63</v>
      </c>
      <c r="I74" s="2" t="n">
        <f aca="false">MAX(H73+IF($A74=I$4,1,-1),I73-1,H74-1)</f>
        <v>-63</v>
      </c>
      <c r="J74" s="2" t="n">
        <f aca="false">MAX(I73+IF($A74=J$4,1,-1),J73-1,I74-1)</f>
        <v>-63</v>
      </c>
      <c r="K74" s="2" t="n">
        <f aca="false">MAX(J73+IF($A74=K$4,1,-1),K73-1,J74-1)</f>
        <v>-61</v>
      </c>
      <c r="L74" s="2" t="n">
        <f aca="false">MAX(K73+IF($A74=L$4,1,-1),L73-1,K74-1)</f>
        <v>-61</v>
      </c>
      <c r="M74" s="2" t="n">
        <f aca="false">MAX(L73+IF($A74=M$4,1,-1),M73-1,L74-1)</f>
        <v>-61</v>
      </c>
      <c r="N74" s="2" t="n">
        <f aca="false">MAX(M73+IF($A74=N$4,1,-1),N73-1,M74-1)</f>
        <v>-60</v>
      </c>
      <c r="O74" s="2" t="n">
        <f aca="false">MAX(N73+IF($A74=O$4,1,-1),O73-1,N74-1)</f>
        <v>-58</v>
      </c>
      <c r="P74" s="2" t="n">
        <f aca="false">MAX(O73+IF($A74=P$4,1,-1),P73-1,O74-1)</f>
        <v>-58</v>
      </c>
      <c r="Q74" s="2" t="n">
        <f aca="false">MAX(P73+IF($A74=Q$4,1,-1),Q73-1,P74-1)</f>
        <v>-58</v>
      </c>
      <c r="R74" s="2" t="n">
        <f aca="false">MAX(Q73+IF($A74=R$4,1,-1),R73-1,Q74-1)</f>
        <v>-58</v>
      </c>
      <c r="S74" s="2" t="n">
        <f aca="false">MAX(R73+IF($A74=S$4,1,-1),S73-1,R74-1)</f>
        <v>-58</v>
      </c>
      <c r="T74" s="2" t="n">
        <f aca="false">MAX(S73+IF($A74=T$4,1,-1),T73-1,S74-1)</f>
        <v>-58</v>
      </c>
      <c r="U74" s="2" t="n">
        <f aca="false">MAX(T73+IF($A74=U$4,1,-1),U73-1,T74-1)</f>
        <v>-58</v>
      </c>
      <c r="V74" s="2" t="n">
        <f aca="false">MAX(U73+IF($A74=V$4,1,-1),V73-1,U74-1)</f>
        <v>-58</v>
      </c>
      <c r="W74" s="2" t="n">
        <f aca="false">MAX(V73+IF($A74=W$4,1,-1),W73-1,V74-1)</f>
        <v>-57</v>
      </c>
      <c r="X74" s="2" t="n">
        <f aca="false">MAX(W73+IF($A74=X$4,1,-1),X73-1,W74-1)</f>
        <v>-57</v>
      </c>
      <c r="Y74" s="2" t="n">
        <f aca="false">MAX(X73+IF($A74=Y$4,1,-1),Y73-1,X74-1)</f>
        <v>-57</v>
      </c>
      <c r="Z74" s="2" t="n">
        <f aca="false">MAX(Y73+IF($A74=Z$4,1,-1),Z73-1,Y74-1)</f>
        <v>-57</v>
      </c>
      <c r="AA74" s="2" t="n">
        <f aca="false">MAX(Z73+IF($A74=AA$4,1,-1),AA73-1,Z74-1)</f>
        <v>-57</v>
      </c>
      <c r="AB74" s="2" t="n">
        <f aca="false">MAX(AA73+IF($A74=AB$4,1,-1),AB73-1,AA74-1)</f>
        <v>-57</v>
      </c>
      <c r="AC74" s="2" t="n">
        <f aca="false">MAX(AB73+IF($A74=AC$4,1,-1),AC73-1,AB74-1)</f>
        <v>-57</v>
      </c>
      <c r="AD74" s="2" t="n">
        <f aca="false">MAX(AC73+IF($A74=AD$4,1,-1),AD73-1,AC74-1)</f>
        <v>-57</v>
      </c>
      <c r="AE74" s="2" t="n">
        <f aca="false">MAX(AD73+IF($A74=AE$4,1,-1),AE73-1,AD74-1)</f>
        <v>-57</v>
      </c>
      <c r="AF74" s="2" t="n">
        <f aca="false">MAX(AE73+IF($A74=AF$4,1,-1),AF73-1,AE74-1)</f>
        <v>-57</v>
      </c>
      <c r="AG74" s="2" t="n">
        <f aca="false">MAX(AF73+IF($A74=AG$4,1,-1),AG73-1,AF74-1)</f>
        <v>-57</v>
      </c>
      <c r="AH74" s="2" t="n">
        <f aca="false">MAX(AG73+IF($A74=AH$4,1,-1),AH73-1,AG74-1)</f>
        <v>-57</v>
      </c>
      <c r="AI74" s="2" t="n">
        <f aca="false">MAX(AH73+IF($A74=AI$4,1,-1),AI73-1,AH74-1)</f>
        <v>-57</v>
      </c>
      <c r="AJ74" s="2" t="n">
        <f aca="false">MAX(AI73+IF($A74=AJ$4,1,-1),AJ73-1,AI74-1)</f>
        <v>-57</v>
      </c>
      <c r="AK74" s="2" t="n">
        <f aca="false">MAX(AJ73+IF($A74=AK$4,1,-1),AK73-1,AJ74-1)</f>
        <v>-57</v>
      </c>
      <c r="AL74" s="2" t="n">
        <f aca="false">MAX(AK73+IF($A74=AL$4,1,-1),AL73-1,AK74-1)</f>
        <v>-57</v>
      </c>
      <c r="AM74" s="2" t="n">
        <f aca="false">MAX(AL73+IF($A74=AM$4,1,-1),AM73-1,AL74-1)</f>
        <v>-58</v>
      </c>
      <c r="AN74" s="2" t="n">
        <f aca="false">MAX(AM73+IF($A74=AN$4,1,-1),AN73-1,AM74-1)</f>
        <v>-59</v>
      </c>
      <c r="AO74" s="2" t="n">
        <f aca="false">MAX(AN73+IF($A74=AO$4,1,-1),AO73-1,AN74-1)</f>
        <v>-59</v>
      </c>
      <c r="AP74" s="2" t="n">
        <f aca="false">MAX(AO73+IF($A74=AP$4,1,-1),AP73-1,AO74-1)</f>
        <v>-59</v>
      </c>
      <c r="AQ74" s="2" t="n">
        <f aca="false">MAX(AP73+IF($A74=AQ$4,1,-1),AQ73-1,AP74-1)</f>
        <v>-59</v>
      </c>
      <c r="AR74" s="2" t="n">
        <f aca="false">MAX(AQ73+IF($A74=AR$4,1,-1),AR73-1,AQ74-1)</f>
        <v>-59</v>
      </c>
      <c r="AS74" s="2" t="n">
        <f aca="false">MAX(AR73+IF($A74=AS$4,1,-1),AS73-1,AR74-1)</f>
        <v>-59</v>
      </c>
      <c r="AT74" s="2" t="n">
        <f aca="false">MAX(AS73+IF($A74=AT$4,1,-1),AT73-1,AS74-1)</f>
        <v>-59</v>
      </c>
      <c r="AU74" s="2" t="n">
        <f aca="false">MAX(AT73+IF($A74=AU$4,1,-1),AU73-1,AT74-1)</f>
        <v>-59</v>
      </c>
      <c r="AV74" s="2" t="n">
        <f aca="false">MAX(AU73+IF($A74=AV$4,1,-1),AV73-1,AU74-1)</f>
        <v>-59</v>
      </c>
      <c r="AW74" s="2" t="n">
        <f aca="false">MAX(AV73+IF($A74=AW$4,1,-1),AW73-1,AV74-1)</f>
        <v>-59</v>
      </c>
      <c r="AX74" s="2" t="n">
        <f aca="false">MAX(AW73+IF($A74=AX$4,1,-1),AX73-1,AW74-1)</f>
        <v>-59</v>
      </c>
      <c r="AY74" s="2" t="n">
        <f aca="false">MAX(AX73+IF($A74=AY$4,1,-1),AY73-1,AX74-1)</f>
        <v>-59</v>
      </c>
      <c r="AZ74" s="2" t="n">
        <f aca="false">MAX(AY73+IF($A74=AZ$4,1,-1),AZ73-1,AY74-1)</f>
        <v>-59</v>
      </c>
      <c r="BA74" s="2" t="n">
        <f aca="false">MAX(AZ73+IF($A74=BA$4,1,-1),BA73-1,AZ74-1)</f>
        <v>-59</v>
      </c>
      <c r="BB74" s="2" t="n">
        <f aca="false">MAX(BA73+IF($A74=BB$4,1,-1),BB73-1,BA74-1)</f>
        <v>-59</v>
      </c>
      <c r="BC74" s="2" t="n">
        <f aca="false">MAX(BB73+IF($A74=BC$4,1,-1),BC73-1,BB74-1)</f>
        <v>-59</v>
      </c>
      <c r="BD74" s="2" t="n">
        <f aca="false">MAX(BC73+IF($A74=BD$4,1,-1),BD73-1,BC74-1)</f>
        <v>-59</v>
      </c>
      <c r="BE74" s="2" t="n">
        <f aca="false">MAX(BD73+IF($A74=BE$4,1,-1),BE73-1,BD74-1)</f>
        <v>-59</v>
      </c>
      <c r="BF74" s="2" t="n">
        <f aca="false">MAX(BE73+IF($A74=BF$4,1,-1),BF73-1,BE74-1)</f>
        <v>-59</v>
      </c>
      <c r="BG74" s="2" t="n">
        <f aca="false">MAX(BF73+IF($A74=BG$4,1,-1),BG73-1,BF74-1)</f>
        <v>-59</v>
      </c>
      <c r="BH74" s="2" t="n">
        <f aca="false">MAX(BG73+IF($A74=BH$4,1,-1),BH73-1,BG74-1)</f>
        <v>-59</v>
      </c>
      <c r="BI74" s="2" t="n">
        <f aca="false">MAX(BH73+IF($A74=BI$4,1,-1),BI73-1,BH74-1)</f>
        <v>-60</v>
      </c>
      <c r="BJ74" s="2" t="n">
        <f aca="false">MAX(BI73+IF($A74=BJ$4,1,-1),BJ73-1,BI74-1)</f>
        <v>-61</v>
      </c>
      <c r="BK74" s="2" t="n">
        <f aca="false">MAX(BJ73+IF($A74=BK$4,1,-1),BK73-1,BJ74-1)</f>
        <v>-61</v>
      </c>
      <c r="BL74" s="2" t="n">
        <f aca="false">MAX(BK73+IF($A74=BL$4,1,-1),BL73-1,BK74-1)</f>
        <v>-61</v>
      </c>
      <c r="BM74" s="2" t="n">
        <f aca="false">MAX(BL73+IF($A74=BM$4,1,-1),BM73-1,BL74-1)</f>
        <v>-61</v>
      </c>
      <c r="BN74" s="2" t="n">
        <f aca="false">MAX(BM73+IF($A74=BN$4,1,-1),BN73-1,BM74-1)</f>
        <v>-61</v>
      </c>
      <c r="BO74" s="2" t="n">
        <f aca="false">MAX(BN73+IF($A74=BO$4,1,-1),BO73-1,BN74-1)</f>
        <v>-61</v>
      </c>
      <c r="BP74" s="2" t="n">
        <f aca="false">MAX(BO73+IF($A74=BP$4,1,-1),BP73-1,BO74-1)</f>
        <v>-61</v>
      </c>
      <c r="BQ74" s="2" t="n">
        <f aca="false">MAX(BP73+IF($A74=BQ$4,1,-1),BQ73-1,BP74-1)</f>
        <v>-61</v>
      </c>
      <c r="BR74" s="2" t="n">
        <f aca="false">MAX(BQ73+IF($A74=BR$4,1,-1),BR73-1,BQ74-1)</f>
        <v>-61</v>
      </c>
      <c r="BS74" s="2" t="n">
        <f aca="false">MAX(BR73+IF($A74=BS$4,1,-1),BS73-1,BR74-1)</f>
        <v>-61</v>
      </c>
      <c r="BT74" s="2" t="n">
        <f aca="false">MAX(BS73+IF($A74=BT$4,1,-1),BT73-1,BS74-1)</f>
        <v>-61</v>
      </c>
      <c r="BU74" s="2" t="n">
        <f aca="false">MAX(BT73+IF($A74=BU$4,1,-1),BU73-1,BT74-1)</f>
        <v>-62</v>
      </c>
      <c r="BV74" s="2" t="n">
        <f aca="false">MAX(BU73+IF($A74=BV$4,1,-1),BV73-1,BU74-1)</f>
        <v>-63</v>
      </c>
      <c r="BW74" s="2" t="n">
        <f aca="false">MAX(BV73+IF($A74=BW$4,1,-1),BW73-1,BV74-1)</f>
        <v>-64</v>
      </c>
      <c r="BX74" s="2" t="n">
        <f aca="false">MAX(BW73+IF($A74=BX$4,1,-1),BX73-1,BW74-1)</f>
        <v>-65</v>
      </c>
      <c r="BY74" s="2" t="n">
        <f aca="false">MAX(BX73+IF($A74=BY$4,1,-1),BY73-1,BX74-1)</f>
        <v>-66</v>
      </c>
      <c r="BZ74" s="2" t="n">
        <f aca="false">MAX(BY73+IF($A74=BZ$4,1,-1),BZ73-1,BY74-1)</f>
        <v>-67</v>
      </c>
      <c r="CA74" s="2" t="n">
        <f aca="false">MAX(BZ73+IF($A74=CA$4,1,-1),CA73-1,BZ74-1)</f>
        <v>-68</v>
      </c>
      <c r="CB74" s="2" t="n">
        <f aca="false">MAX(CA73+IF($A74=CB$4,1,-1),CB73-1,CA74-1)</f>
        <v>-69</v>
      </c>
      <c r="CC74" s="2" t="n">
        <f aca="false">MAX(CB73+IF($A74=CC$4,1,-1),CC73-1,CB74-1)</f>
        <v>-70</v>
      </c>
      <c r="CD74" s="2" t="n">
        <f aca="false">MAX(CC73+IF($A74=CD$4,1,-1),CD73-1,CC74-1)</f>
        <v>-71</v>
      </c>
      <c r="CE74" s="2" t="n">
        <f aca="false">MAX(CD73+IF($A74=CE$4,1,-1),CE73-1,CD74-1)</f>
        <v>-72</v>
      </c>
      <c r="CF74" s="2" t="n">
        <f aca="false">MAX(CE73+IF($A74=CF$4,1,-1),CF73-1,CE74-1)</f>
        <v>-73</v>
      </c>
      <c r="CG74" s="2" t="n">
        <f aca="false">MAX(CF73+IF($A74=CG$4,1,-1),CG73-1,CF74-1)</f>
        <v>-74</v>
      </c>
      <c r="CH74" s="2" t="n">
        <f aca="false">MAX(CG73+IF($A74=CH$4,1,-1),CH73-1,CG74-1)</f>
        <v>-75</v>
      </c>
      <c r="CI74" s="2" t="n">
        <f aca="false">MAX(CH73+IF($A74=CI$4,1,-1),CI73-1,CH74-1)</f>
        <v>-76</v>
      </c>
      <c r="CJ74" s="2" t="n">
        <f aca="false">MAX(CI73+IF($A74=CJ$4,1,-1),CJ73-1,CI74-1)</f>
        <v>-77</v>
      </c>
      <c r="CK74" s="2" t="n">
        <f aca="false">MAX(CJ73+IF($A74=CK$4,1,-1),CK73-1,CJ74-1)</f>
        <v>-77</v>
      </c>
      <c r="CL74" s="2" t="n">
        <f aca="false">MAX(CK73+IF($A74=CL$4,1,-1),CL73-1,CK74-1)</f>
        <v>-78</v>
      </c>
      <c r="CM74" s="2" t="n">
        <f aca="false">MAX(CL73+IF($A74=CM$4,1,-1),CM73-1,CL74-1)</f>
        <v>-79</v>
      </c>
      <c r="CN74" s="2" t="n">
        <f aca="false">MAX(CM73+IF($A74=CN$4,1,-1),CN73-1,CM74-1)</f>
        <v>-80</v>
      </c>
      <c r="CO74" s="2" t="n">
        <f aca="false">MAX(CN73+IF($A74=CO$4,1,-1),CO73-1,CN74-1)</f>
        <v>-81</v>
      </c>
      <c r="CP74" s="2" t="n">
        <f aca="false">MAX(CO73+IF($A74=CP$4,1,-1),CP73-1,CO74-1)</f>
        <v>-82</v>
      </c>
      <c r="CQ74" s="2" t="n">
        <f aca="false">MAX(CP73+IF($A74=CQ$4,1,-1),CQ73-1,CP74-1)</f>
        <v>-83</v>
      </c>
    </row>
    <row r="75" customFormat="false" ht="15" hidden="false" customHeight="false" outlineLevel="0" collapsed="false">
      <c r="A75" s="4" t="s">
        <v>187</v>
      </c>
      <c r="B75" s="12" t="n">
        <v>-70</v>
      </c>
      <c r="C75" s="2" t="n">
        <f aca="false">MAX(B74+IF($A75=C$4,1,-1),C74-1,B75-1)</f>
        <v>-70</v>
      </c>
      <c r="D75" s="2" t="n">
        <f aca="false">MAX(C74+IF($A75=D$4,1,-1),D74-1,C75-1)</f>
        <v>-68</v>
      </c>
      <c r="E75" s="2" t="n">
        <f aca="false">MAX(D74+IF($A75=E$4,1,-1),E74-1,D75-1)</f>
        <v>-66</v>
      </c>
      <c r="F75" s="2" t="n">
        <f aca="false">MAX(E74+IF($A75=F$4,1,-1),F74-1,E75-1)</f>
        <v>-64</v>
      </c>
      <c r="G75" s="2" t="n">
        <f aca="false">MAX(F74+IF($A75=G$4,1,-1),G74-1,F75-1)</f>
        <v>-64</v>
      </c>
      <c r="H75" s="2" t="n">
        <f aca="false">MAX(G74+IF($A75=H$4,1,-1),H74-1,G75-1)</f>
        <v>-64</v>
      </c>
      <c r="I75" s="2" t="n">
        <f aca="false">MAX(H74+IF($A75=I$4,1,-1),I74-1,H75-1)</f>
        <v>-64</v>
      </c>
      <c r="J75" s="2" t="n">
        <f aca="false">MAX(I74+IF($A75=J$4,1,-1),J74-1,I75-1)</f>
        <v>-64</v>
      </c>
      <c r="K75" s="2" t="n">
        <f aca="false">MAX(J74+IF($A75=K$4,1,-1),K74-1,J75-1)</f>
        <v>-62</v>
      </c>
      <c r="L75" s="2" t="n">
        <f aca="false">MAX(K74+IF($A75=L$4,1,-1),L74-1,K75-1)</f>
        <v>-62</v>
      </c>
      <c r="M75" s="2" t="n">
        <f aca="false">MAX(L74+IF($A75=M$4,1,-1),M74-1,L75-1)</f>
        <v>-62</v>
      </c>
      <c r="N75" s="2" t="n">
        <f aca="false">MAX(M74+IF($A75=N$4,1,-1),N74-1,M75-1)</f>
        <v>-61</v>
      </c>
      <c r="O75" s="2" t="n">
        <f aca="false">MAX(N74+IF($A75=O$4,1,-1),O74-1,N75-1)</f>
        <v>-59</v>
      </c>
      <c r="P75" s="2" t="n">
        <f aca="false">MAX(O74+IF($A75=P$4,1,-1),P74-1,O75-1)</f>
        <v>-59</v>
      </c>
      <c r="Q75" s="2" t="n">
        <f aca="false">MAX(P74+IF($A75=Q$4,1,-1),Q74-1,P75-1)</f>
        <v>-59</v>
      </c>
      <c r="R75" s="2" t="n">
        <f aca="false">MAX(Q74+IF($A75=R$4,1,-1),R74-1,Q75-1)</f>
        <v>-59</v>
      </c>
      <c r="S75" s="2" t="n">
        <f aca="false">MAX(R74+IF($A75=S$4,1,-1),S74-1,R75-1)</f>
        <v>-59</v>
      </c>
      <c r="T75" s="2" t="n">
        <f aca="false">MAX(S74+IF($A75=T$4,1,-1),T74-1,S75-1)</f>
        <v>-59</v>
      </c>
      <c r="U75" s="2" t="n">
        <f aca="false">MAX(T74+IF($A75=U$4,1,-1),U74-1,T75-1)</f>
        <v>-59</v>
      </c>
      <c r="V75" s="2" t="n">
        <f aca="false">MAX(U74+IF($A75=V$4,1,-1),V74-1,U75-1)</f>
        <v>-59</v>
      </c>
      <c r="W75" s="2" t="n">
        <f aca="false">MAX(V74+IF($A75=W$4,1,-1),W74-1,V75-1)</f>
        <v>-58</v>
      </c>
      <c r="X75" s="2" t="n">
        <f aca="false">MAX(W74+IF($A75=X$4,1,-1),X74-1,W75-1)</f>
        <v>-58</v>
      </c>
      <c r="Y75" s="2" t="n">
        <f aca="false">MAX(X74+IF($A75=Y$4,1,-1),Y74-1,X75-1)</f>
        <v>-58</v>
      </c>
      <c r="Z75" s="2" t="n">
        <f aca="false">MAX(Y74+IF($A75=Z$4,1,-1),Z74-1,Y75-1)</f>
        <v>-58</v>
      </c>
      <c r="AA75" s="2" t="n">
        <f aca="false">MAX(Z74+IF($A75=AA$4,1,-1),AA74-1,Z75-1)</f>
        <v>-58</v>
      </c>
      <c r="AB75" s="2" t="n">
        <f aca="false">MAX(AA74+IF($A75=AB$4,1,-1),AB74-1,AA75-1)</f>
        <v>-58</v>
      </c>
      <c r="AC75" s="2" t="n">
        <f aca="false">MAX(AB74+IF($A75=AC$4,1,-1),AC74-1,AB75-1)</f>
        <v>-58</v>
      </c>
      <c r="AD75" s="2" t="n">
        <f aca="false">MAX(AC74+IF($A75=AD$4,1,-1),AD74-1,AC75-1)</f>
        <v>-58</v>
      </c>
      <c r="AE75" s="2" t="n">
        <f aca="false">MAX(AD74+IF($A75=AE$4,1,-1),AE74-1,AD75-1)</f>
        <v>-58</v>
      </c>
      <c r="AF75" s="2" t="n">
        <f aca="false">MAX(AE74+IF($A75=AF$4,1,-1),AF74-1,AE75-1)</f>
        <v>-58</v>
      </c>
      <c r="AG75" s="2" t="n">
        <f aca="false">MAX(AF74+IF($A75=AG$4,1,-1),AG74-1,AF75-1)</f>
        <v>-58</v>
      </c>
      <c r="AH75" s="2" t="n">
        <f aca="false">MAX(AG74+IF($A75=AH$4,1,-1),AH74-1,AG75-1)</f>
        <v>-58</v>
      </c>
      <c r="AI75" s="2" t="n">
        <f aca="false">MAX(AH74+IF($A75=AI$4,1,-1),AI74-1,AH75-1)</f>
        <v>-58</v>
      </c>
      <c r="AJ75" s="2" t="n">
        <f aca="false">MAX(AI74+IF($A75=AJ$4,1,-1),AJ74-1,AI75-1)</f>
        <v>-58</v>
      </c>
      <c r="AK75" s="2" t="n">
        <f aca="false">MAX(AJ74+IF($A75=AK$4,1,-1),AK74-1,AJ75-1)</f>
        <v>-58</v>
      </c>
      <c r="AL75" s="2" t="n">
        <f aca="false">MAX(AK74+IF($A75=AL$4,1,-1),AL74-1,AK75-1)</f>
        <v>-58</v>
      </c>
      <c r="AM75" s="2" t="n">
        <f aca="false">MAX(AL74+IF($A75=AM$4,1,-1),AM74-1,AL75-1)</f>
        <v>-58</v>
      </c>
      <c r="AN75" s="2" t="n">
        <f aca="false">MAX(AM74+IF($A75=AN$4,1,-1),AN74-1,AM75-1)</f>
        <v>-59</v>
      </c>
      <c r="AO75" s="2" t="n">
        <f aca="false">MAX(AN74+IF($A75=AO$4,1,-1),AO74-1,AN75-1)</f>
        <v>-60</v>
      </c>
      <c r="AP75" s="2" t="n">
        <f aca="false">MAX(AO74+IF($A75=AP$4,1,-1),AP74-1,AO75-1)</f>
        <v>-60</v>
      </c>
      <c r="AQ75" s="2" t="n">
        <f aca="false">MAX(AP74+IF($A75=AQ$4,1,-1),AQ74-1,AP75-1)</f>
        <v>-60</v>
      </c>
      <c r="AR75" s="2" t="n">
        <f aca="false">MAX(AQ74+IF($A75=AR$4,1,-1),AR74-1,AQ75-1)</f>
        <v>-60</v>
      </c>
      <c r="AS75" s="2" t="n">
        <f aca="false">MAX(AR74+IF($A75=AS$4,1,-1),AS74-1,AR75-1)</f>
        <v>-60</v>
      </c>
      <c r="AT75" s="2" t="n">
        <f aca="false">MAX(AS74+IF($A75=AT$4,1,-1),AT74-1,AS75-1)</f>
        <v>-60</v>
      </c>
      <c r="AU75" s="2" t="n">
        <f aca="false">MAX(AT74+IF($A75=AU$4,1,-1),AU74-1,AT75-1)</f>
        <v>-60</v>
      </c>
      <c r="AV75" s="2" t="n">
        <f aca="false">MAX(AU74+IF($A75=AV$4,1,-1),AV74-1,AU75-1)</f>
        <v>-60</v>
      </c>
      <c r="AW75" s="2" t="n">
        <f aca="false">MAX(AV74+IF($A75=AW$4,1,-1),AW74-1,AV75-1)</f>
        <v>-60</v>
      </c>
      <c r="AX75" s="2" t="n">
        <f aca="false">MAX(AW74+IF($A75=AX$4,1,-1),AX74-1,AW75-1)</f>
        <v>-60</v>
      </c>
      <c r="AY75" s="2" t="n">
        <f aca="false">MAX(AX74+IF($A75=AY$4,1,-1),AY74-1,AX75-1)</f>
        <v>-60</v>
      </c>
      <c r="AZ75" s="2" t="n">
        <f aca="false">MAX(AY74+IF($A75=AZ$4,1,-1),AZ74-1,AY75-1)</f>
        <v>-60</v>
      </c>
      <c r="BA75" s="2" t="n">
        <f aca="false">MAX(AZ74+IF($A75=BA$4,1,-1),BA74-1,AZ75-1)</f>
        <v>-60</v>
      </c>
      <c r="BB75" s="2" t="n">
        <f aca="false">MAX(BA74+IF($A75=BB$4,1,-1),BB74-1,BA75-1)</f>
        <v>-60</v>
      </c>
      <c r="BC75" s="2" t="n">
        <f aca="false">MAX(BB74+IF($A75=BC$4,1,-1),BC74-1,BB75-1)</f>
        <v>-60</v>
      </c>
      <c r="BD75" s="2" t="n">
        <f aca="false">MAX(BC74+IF($A75=BD$4,1,-1),BD74-1,BC75-1)</f>
        <v>-60</v>
      </c>
      <c r="BE75" s="2" t="n">
        <f aca="false">MAX(BD74+IF($A75=BE$4,1,-1),BE74-1,BD75-1)</f>
        <v>-60</v>
      </c>
      <c r="BF75" s="2" t="n">
        <f aca="false">MAX(BE74+IF($A75=BF$4,1,-1),BF74-1,BE75-1)</f>
        <v>-60</v>
      </c>
      <c r="BG75" s="2" t="n">
        <f aca="false">MAX(BF74+IF($A75=BG$4,1,-1),BG74-1,BF75-1)</f>
        <v>-60</v>
      </c>
      <c r="BH75" s="2" t="n">
        <f aca="false">MAX(BG74+IF($A75=BH$4,1,-1),BH74-1,BG75-1)</f>
        <v>-60</v>
      </c>
      <c r="BI75" s="2" t="n">
        <f aca="false">MAX(BH74+IF($A75=BI$4,1,-1),BI74-1,BH75-1)</f>
        <v>-60</v>
      </c>
      <c r="BJ75" s="2" t="n">
        <f aca="false">MAX(BI74+IF($A75=BJ$4,1,-1),BJ74-1,BI75-1)</f>
        <v>-61</v>
      </c>
      <c r="BK75" s="2" t="n">
        <f aca="false">MAX(BJ74+IF($A75=BK$4,1,-1),BK74-1,BJ75-1)</f>
        <v>-62</v>
      </c>
      <c r="BL75" s="2" t="n">
        <f aca="false">MAX(BK74+IF($A75=BL$4,1,-1),BL74-1,BK75-1)</f>
        <v>-62</v>
      </c>
      <c r="BM75" s="2" t="n">
        <f aca="false">MAX(BL74+IF($A75=BM$4,1,-1),BM74-1,BL75-1)</f>
        <v>-62</v>
      </c>
      <c r="BN75" s="2" t="n">
        <f aca="false">MAX(BM74+IF($A75=BN$4,1,-1),BN74-1,BM75-1)</f>
        <v>-62</v>
      </c>
      <c r="BO75" s="2" t="n">
        <f aca="false">MAX(BN74+IF($A75=BO$4,1,-1),BO74-1,BN75-1)</f>
        <v>-62</v>
      </c>
      <c r="BP75" s="2" t="n">
        <f aca="false">MAX(BO74+IF($A75=BP$4,1,-1),BP74-1,BO75-1)</f>
        <v>-62</v>
      </c>
      <c r="BQ75" s="2" t="n">
        <f aca="false">MAX(BP74+IF($A75=BQ$4,1,-1),BQ74-1,BP75-1)</f>
        <v>-62</v>
      </c>
      <c r="BR75" s="2" t="n">
        <f aca="false">MAX(BQ74+IF($A75=BR$4,1,-1),BR74-1,BQ75-1)</f>
        <v>-62</v>
      </c>
      <c r="BS75" s="2" t="n">
        <f aca="false">MAX(BR74+IF($A75=BS$4,1,-1),BS74-1,BR75-1)</f>
        <v>-62</v>
      </c>
      <c r="BT75" s="2" t="n">
        <f aca="false">MAX(BS74+IF($A75=BT$4,1,-1),BT74-1,BS75-1)</f>
        <v>-62</v>
      </c>
      <c r="BU75" s="2" t="n">
        <f aca="false">MAX(BT74+IF($A75=BU$4,1,-1),BU74-1,BT75-1)</f>
        <v>-62</v>
      </c>
      <c r="BV75" s="2" t="n">
        <f aca="false">MAX(BU74+IF($A75=BV$4,1,-1),BV74-1,BU75-1)</f>
        <v>-63</v>
      </c>
      <c r="BW75" s="2" t="n">
        <f aca="false">MAX(BV74+IF($A75=BW$4,1,-1),BW74-1,BV75-1)</f>
        <v>-64</v>
      </c>
      <c r="BX75" s="2" t="n">
        <f aca="false">MAX(BW74+IF($A75=BX$4,1,-1),BX74-1,BW75-1)</f>
        <v>-65</v>
      </c>
      <c r="BY75" s="2" t="n">
        <f aca="false">MAX(BX74+IF($A75=BY$4,1,-1),BY74-1,BX75-1)</f>
        <v>-66</v>
      </c>
      <c r="BZ75" s="2" t="n">
        <f aca="false">MAX(BY74+IF($A75=BZ$4,1,-1),BZ74-1,BY75-1)</f>
        <v>-67</v>
      </c>
      <c r="CA75" s="2" t="n">
        <f aca="false">MAX(BZ74+IF($A75=CA$4,1,-1),CA74-1,BZ75-1)</f>
        <v>-68</v>
      </c>
      <c r="CB75" s="2" t="n">
        <f aca="false">MAX(CA74+IF($A75=CB$4,1,-1),CB74-1,CA75-1)</f>
        <v>-69</v>
      </c>
      <c r="CC75" s="2" t="n">
        <f aca="false">MAX(CB74+IF($A75=CC$4,1,-1),CC74-1,CB75-1)</f>
        <v>-70</v>
      </c>
      <c r="CD75" s="2" t="n">
        <f aca="false">MAX(CC74+IF($A75=CD$4,1,-1),CD74-1,CC75-1)</f>
        <v>-71</v>
      </c>
      <c r="CE75" s="2" t="n">
        <f aca="false">MAX(CD74+IF($A75=CE$4,1,-1),CE74-1,CD75-1)</f>
        <v>-72</v>
      </c>
      <c r="CF75" s="2" t="n">
        <f aca="false">MAX(CE74+IF($A75=CF$4,1,-1),CF74-1,CE75-1)</f>
        <v>-73</v>
      </c>
      <c r="CG75" s="2" t="n">
        <f aca="false">MAX(CF74+IF($A75=CG$4,1,-1),CG74-1,CF75-1)</f>
        <v>-74</v>
      </c>
      <c r="CH75" s="2" t="n">
        <f aca="false">MAX(CG74+IF($A75=CH$4,1,-1),CH74-1,CG75-1)</f>
        <v>-75</v>
      </c>
      <c r="CI75" s="2" t="n">
        <f aca="false">MAX(CH74+IF($A75=CI$4,1,-1),CI74-1,CH75-1)</f>
        <v>-76</v>
      </c>
      <c r="CJ75" s="2" t="n">
        <f aca="false">MAX(CI74+IF($A75=CJ$4,1,-1),CJ74-1,CI75-1)</f>
        <v>-77</v>
      </c>
      <c r="CK75" s="2" t="n">
        <f aca="false">MAX(CJ74+IF($A75=CK$4,1,-1),CK74-1,CJ75-1)</f>
        <v>-78</v>
      </c>
      <c r="CL75" s="2" t="n">
        <f aca="false">MAX(CK74+IF($A75=CL$4,1,-1),CL74-1,CK75-1)</f>
        <v>-78</v>
      </c>
      <c r="CM75" s="2" t="n">
        <f aca="false">MAX(CL74+IF($A75=CM$4,1,-1),CM74-1,CL75-1)</f>
        <v>-79</v>
      </c>
      <c r="CN75" s="2" t="n">
        <f aca="false">MAX(CM74+IF($A75=CN$4,1,-1),CN74-1,CM75-1)</f>
        <v>-80</v>
      </c>
      <c r="CO75" s="2" t="n">
        <f aca="false">MAX(CN74+IF($A75=CO$4,1,-1),CO74-1,CN75-1)</f>
        <v>-81</v>
      </c>
      <c r="CP75" s="2" t="n">
        <f aca="false">MAX(CO74+IF($A75=CP$4,1,-1),CP74-1,CO75-1)</f>
        <v>-82</v>
      </c>
      <c r="CQ75" s="2" t="n">
        <f aca="false">MAX(CP74+IF($A75=CQ$4,1,-1),CQ74-1,CP75-1)</f>
        <v>-83</v>
      </c>
    </row>
    <row r="76" customFormat="false" ht="15" hidden="false" customHeight="false" outlineLevel="0" collapsed="false">
      <c r="A76" s="4" t="s">
        <v>97</v>
      </c>
      <c r="B76" s="12" t="n">
        <v>-71</v>
      </c>
      <c r="C76" s="2" t="n">
        <f aca="false">MAX(B75+IF($A76=C$4,1,-1),C75-1,B76-1)</f>
        <v>-71</v>
      </c>
      <c r="D76" s="2" t="n">
        <f aca="false">MAX(C75+IF($A76=D$4,1,-1),D75-1,C76-1)</f>
        <v>-69</v>
      </c>
      <c r="E76" s="2" t="n">
        <f aca="false">MAX(D75+IF($A76=E$4,1,-1),E75-1,D76-1)</f>
        <v>-67</v>
      </c>
      <c r="F76" s="2" t="n">
        <f aca="false">MAX(E75+IF($A76=F$4,1,-1),F75-1,E76-1)</f>
        <v>-65</v>
      </c>
      <c r="G76" s="2" t="n">
        <f aca="false">MAX(F75+IF($A76=G$4,1,-1),G75-1,F76-1)</f>
        <v>-65</v>
      </c>
      <c r="H76" s="2" t="n">
        <f aca="false">MAX(G75+IF($A76=H$4,1,-1),H75-1,G76-1)</f>
        <v>-65</v>
      </c>
      <c r="I76" s="2" t="n">
        <f aca="false">MAX(H75+IF($A76=I$4,1,-1),I75-1,H76-1)</f>
        <v>-65</v>
      </c>
      <c r="J76" s="2" t="n">
        <f aca="false">MAX(I75+IF($A76=J$4,1,-1),J75-1,I76-1)</f>
        <v>-65</v>
      </c>
      <c r="K76" s="2" t="n">
        <f aca="false">MAX(J75+IF($A76=K$4,1,-1),K75-1,J76-1)</f>
        <v>-63</v>
      </c>
      <c r="L76" s="2" t="n">
        <f aca="false">MAX(K75+IF($A76=L$4,1,-1),L75-1,K76-1)</f>
        <v>-63</v>
      </c>
      <c r="M76" s="2" t="n">
        <f aca="false">MAX(L75+IF($A76=M$4,1,-1),M75-1,L76-1)</f>
        <v>-63</v>
      </c>
      <c r="N76" s="2" t="n">
        <f aca="false">MAX(M75+IF($A76=N$4,1,-1),N75-1,M76-1)</f>
        <v>-62</v>
      </c>
      <c r="O76" s="2" t="n">
        <f aca="false">MAX(N75+IF($A76=O$4,1,-1),O75-1,N76-1)</f>
        <v>-60</v>
      </c>
      <c r="P76" s="2" t="n">
        <f aca="false">MAX(O75+IF($A76=P$4,1,-1),P75-1,O76-1)</f>
        <v>-60</v>
      </c>
      <c r="Q76" s="2" t="n">
        <f aca="false">MAX(P75+IF($A76=Q$4,1,-1),Q75-1,P76-1)</f>
        <v>-60</v>
      </c>
      <c r="R76" s="2" t="n">
        <f aca="false">MAX(Q75+IF($A76=R$4,1,-1),R75-1,Q76-1)</f>
        <v>-60</v>
      </c>
      <c r="S76" s="2" t="n">
        <f aca="false">MAX(R75+IF($A76=S$4,1,-1),S75-1,R76-1)</f>
        <v>-60</v>
      </c>
      <c r="T76" s="2" t="n">
        <f aca="false">MAX(S75+IF($A76=T$4,1,-1),T75-1,S76-1)</f>
        <v>-60</v>
      </c>
      <c r="U76" s="2" t="n">
        <f aca="false">MAX(T75+IF($A76=U$4,1,-1),U75-1,T76-1)</f>
        <v>-58</v>
      </c>
      <c r="V76" s="2" t="n">
        <f aca="false">MAX(U75+IF($A76=V$4,1,-1),V75-1,U76-1)</f>
        <v>-59</v>
      </c>
      <c r="W76" s="2" t="n">
        <f aca="false">MAX(V75+IF($A76=W$4,1,-1),W75-1,V76-1)</f>
        <v>-59</v>
      </c>
      <c r="X76" s="2" t="n">
        <f aca="false">MAX(W75+IF($A76=X$4,1,-1),X75-1,W76-1)</f>
        <v>-59</v>
      </c>
      <c r="Y76" s="2" t="n">
        <f aca="false">MAX(X75+IF($A76=Y$4,1,-1),Y75-1,X76-1)</f>
        <v>-59</v>
      </c>
      <c r="Z76" s="2" t="n">
        <f aca="false">MAX(Y75+IF($A76=Z$4,1,-1),Z75-1,Y76-1)</f>
        <v>-59</v>
      </c>
      <c r="AA76" s="2" t="n">
        <f aca="false">MAX(Z75+IF($A76=AA$4,1,-1),AA75-1,Z76-1)</f>
        <v>-59</v>
      </c>
      <c r="AB76" s="2" t="n">
        <f aca="false">MAX(AA75+IF($A76=AB$4,1,-1),AB75-1,AA76-1)</f>
        <v>-59</v>
      </c>
      <c r="AC76" s="2" t="n">
        <f aca="false">MAX(AB75+IF($A76=AC$4,1,-1),AC75-1,AB76-1)</f>
        <v>-59</v>
      </c>
      <c r="AD76" s="2" t="n">
        <f aca="false">MAX(AC75+IF($A76=AD$4,1,-1),AD75-1,AC76-1)</f>
        <v>-59</v>
      </c>
      <c r="AE76" s="2" t="n">
        <f aca="false">MAX(AD75+IF($A76=AE$4,1,-1),AE75-1,AD76-1)</f>
        <v>-59</v>
      </c>
      <c r="AF76" s="2" t="n">
        <f aca="false">MAX(AE75+IF($A76=AF$4,1,-1),AF75-1,AE76-1)</f>
        <v>-59</v>
      </c>
      <c r="AG76" s="2" t="n">
        <f aca="false">MAX(AF75+IF($A76=AG$4,1,-1),AG75-1,AF76-1)</f>
        <v>-59</v>
      </c>
      <c r="AH76" s="2" t="n">
        <f aca="false">MAX(AG75+IF($A76=AH$4,1,-1),AH75-1,AG76-1)</f>
        <v>-59</v>
      </c>
      <c r="AI76" s="2" t="n">
        <f aca="false">MAX(AH75+IF($A76=AI$4,1,-1),AI75-1,AH76-1)</f>
        <v>-59</v>
      </c>
      <c r="AJ76" s="2" t="n">
        <f aca="false">MAX(AI75+IF($A76=AJ$4,1,-1),AJ75-1,AI76-1)</f>
        <v>-59</v>
      </c>
      <c r="AK76" s="2" t="n">
        <f aca="false">MAX(AJ75+IF($A76=AK$4,1,-1),AK75-1,AJ76-1)</f>
        <v>-59</v>
      </c>
      <c r="AL76" s="2" t="n">
        <f aca="false">MAX(AK75+IF($A76=AL$4,1,-1),AL75-1,AK76-1)</f>
        <v>-59</v>
      </c>
      <c r="AM76" s="2" t="n">
        <f aca="false">MAX(AL75+IF($A76=AM$4,1,-1),AM75-1,AL76-1)</f>
        <v>-59</v>
      </c>
      <c r="AN76" s="2" t="n">
        <f aca="false">MAX(AM75+IF($A76=AN$4,1,-1),AN75-1,AM76-1)</f>
        <v>-59</v>
      </c>
      <c r="AO76" s="2" t="n">
        <f aca="false">MAX(AN75+IF($A76=AO$4,1,-1),AO75-1,AN76-1)</f>
        <v>-60</v>
      </c>
      <c r="AP76" s="2" t="n">
        <f aca="false">MAX(AO75+IF($A76=AP$4,1,-1),AP75-1,AO76-1)</f>
        <v>-61</v>
      </c>
      <c r="AQ76" s="2" t="n">
        <f aca="false">MAX(AP75+IF($A76=AQ$4,1,-1),AQ75-1,AP76-1)</f>
        <v>-61</v>
      </c>
      <c r="AR76" s="2" t="n">
        <f aca="false">MAX(AQ75+IF($A76=AR$4,1,-1),AR75-1,AQ76-1)</f>
        <v>-61</v>
      </c>
      <c r="AS76" s="2" t="n">
        <f aca="false">MAX(AR75+IF($A76=AS$4,1,-1),AS75-1,AR76-1)</f>
        <v>-61</v>
      </c>
      <c r="AT76" s="2" t="n">
        <f aca="false">MAX(AS75+IF($A76=AT$4,1,-1),AT75-1,AS76-1)</f>
        <v>-61</v>
      </c>
      <c r="AU76" s="2" t="n">
        <f aca="false">MAX(AT75+IF($A76=AU$4,1,-1),AU75-1,AT76-1)</f>
        <v>-61</v>
      </c>
      <c r="AV76" s="2" t="n">
        <f aca="false">MAX(AU75+IF($A76=AV$4,1,-1),AV75-1,AU76-1)</f>
        <v>-61</v>
      </c>
      <c r="AW76" s="2" t="n">
        <f aca="false">MAX(AV75+IF($A76=AW$4,1,-1),AW75-1,AV76-1)</f>
        <v>-61</v>
      </c>
      <c r="AX76" s="2" t="n">
        <f aca="false">MAX(AW75+IF($A76=AX$4,1,-1),AX75-1,AW76-1)</f>
        <v>-61</v>
      </c>
      <c r="AY76" s="2" t="n">
        <f aca="false">MAX(AX75+IF($A76=AY$4,1,-1),AY75-1,AX76-1)</f>
        <v>-61</v>
      </c>
      <c r="AZ76" s="2" t="n">
        <f aca="false">MAX(AY75+IF($A76=AZ$4,1,-1),AZ75-1,AY76-1)</f>
        <v>-61</v>
      </c>
      <c r="BA76" s="2" t="n">
        <f aca="false">MAX(AZ75+IF($A76=BA$4,1,-1),BA75-1,AZ76-1)</f>
        <v>-61</v>
      </c>
      <c r="BB76" s="2" t="n">
        <f aca="false">MAX(BA75+IF($A76=BB$4,1,-1),BB75-1,BA76-1)</f>
        <v>-61</v>
      </c>
      <c r="BC76" s="2" t="n">
        <f aca="false">MAX(BB75+IF($A76=BC$4,1,-1),BC75-1,BB76-1)</f>
        <v>-61</v>
      </c>
      <c r="BD76" s="2" t="n">
        <f aca="false">MAX(BC75+IF($A76=BD$4,1,-1),BD75-1,BC76-1)</f>
        <v>-61</v>
      </c>
      <c r="BE76" s="2" t="n">
        <f aca="false">MAX(BD75+IF($A76=BE$4,1,-1),BE75-1,BD76-1)</f>
        <v>-61</v>
      </c>
      <c r="BF76" s="2" t="n">
        <f aca="false">MAX(BE75+IF($A76=BF$4,1,-1),BF75-1,BE76-1)</f>
        <v>-61</v>
      </c>
      <c r="BG76" s="2" t="n">
        <f aca="false">MAX(BF75+IF($A76=BG$4,1,-1),BG75-1,BF76-1)</f>
        <v>-61</v>
      </c>
      <c r="BH76" s="2" t="n">
        <f aca="false">MAX(BG75+IF($A76=BH$4,1,-1),BH75-1,BG76-1)</f>
        <v>-61</v>
      </c>
      <c r="BI76" s="2" t="n">
        <f aca="false">MAX(BH75+IF($A76=BI$4,1,-1),BI75-1,BH76-1)</f>
        <v>-61</v>
      </c>
      <c r="BJ76" s="2" t="n">
        <f aca="false">MAX(BI75+IF($A76=BJ$4,1,-1),BJ75-1,BI76-1)</f>
        <v>-61</v>
      </c>
      <c r="BK76" s="2" t="n">
        <f aca="false">MAX(BJ75+IF($A76=BK$4,1,-1),BK75-1,BJ76-1)</f>
        <v>-62</v>
      </c>
      <c r="BL76" s="2" t="n">
        <f aca="false">MAX(BK75+IF($A76=BL$4,1,-1),BL75-1,BK76-1)</f>
        <v>-63</v>
      </c>
      <c r="BM76" s="2" t="n">
        <f aca="false">MAX(BL75+IF($A76=BM$4,1,-1),BM75-1,BL76-1)</f>
        <v>-63</v>
      </c>
      <c r="BN76" s="2" t="n">
        <f aca="false">MAX(BM75+IF($A76=BN$4,1,-1),BN75-1,BM76-1)</f>
        <v>-63</v>
      </c>
      <c r="BO76" s="2" t="n">
        <f aca="false">MAX(BN75+IF($A76=BO$4,1,-1),BO75-1,BN76-1)</f>
        <v>-63</v>
      </c>
      <c r="BP76" s="2" t="n">
        <f aca="false">MAX(BO75+IF($A76=BP$4,1,-1),BP75-1,BO76-1)</f>
        <v>-63</v>
      </c>
      <c r="BQ76" s="2" t="n">
        <f aca="false">MAX(BP75+IF($A76=BQ$4,1,-1),BQ75-1,BP76-1)</f>
        <v>-63</v>
      </c>
      <c r="BR76" s="2" t="n">
        <f aca="false">MAX(BQ75+IF($A76=BR$4,1,-1),BR75-1,BQ76-1)</f>
        <v>-63</v>
      </c>
      <c r="BS76" s="2" t="n">
        <f aca="false">MAX(BR75+IF($A76=BS$4,1,-1),BS75-1,BR76-1)</f>
        <v>-63</v>
      </c>
      <c r="BT76" s="2" t="n">
        <f aca="false">MAX(BS75+IF($A76=BT$4,1,-1),BT75-1,BS76-1)</f>
        <v>-63</v>
      </c>
      <c r="BU76" s="2" t="n">
        <f aca="false">MAX(BT75+IF($A76=BU$4,1,-1),BU75-1,BT76-1)</f>
        <v>-63</v>
      </c>
      <c r="BV76" s="2" t="n">
        <f aca="false">MAX(BU75+IF($A76=BV$4,1,-1),BV75-1,BU76-1)</f>
        <v>-63</v>
      </c>
      <c r="BW76" s="2" t="n">
        <f aca="false">MAX(BV75+IF($A76=BW$4,1,-1),BW75-1,BV76-1)</f>
        <v>-64</v>
      </c>
      <c r="BX76" s="2" t="n">
        <f aca="false">MAX(BW75+IF($A76=BX$4,1,-1),BX75-1,BW76-1)</f>
        <v>-65</v>
      </c>
      <c r="BY76" s="2" t="n">
        <f aca="false">MAX(BX75+IF($A76=BY$4,1,-1),BY75-1,BX76-1)</f>
        <v>-66</v>
      </c>
      <c r="BZ76" s="2" t="n">
        <f aca="false">MAX(BY75+IF($A76=BZ$4,1,-1),BZ75-1,BY76-1)</f>
        <v>-67</v>
      </c>
      <c r="CA76" s="2" t="n">
        <f aca="false">MAX(BZ75+IF($A76=CA$4,1,-1),CA75-1,BZ76-1)</f>
        <v>-68</v>
      </c>
      <c r="CB76" s="2" t="n">
        <f aca="false">MAX(CA75+IF($A76=CB$4,1,-1),CB75-1,CA76-1)</f>
        <v>-69</v>
      </c>
      <c r="CC76" s="2" t="n">
        <f aca="false">MAX(CB75+IF($A76=CC$4,1,-1),CC75-1,CB76-1)</f>
        <v>-70</v>
      </c>
      <c r="CD76" s="2" t="n">
        <f aca="false">MAX(CC75+IF($A76=CD$4,1,-1),CD75-1,CC76-1)</f>
        <v>-71</v>
      </c>
      <c r="CE76" s="2" t="n">
        <f aca="false">MAX(CD75+IF($A76=CE$4,1,-1),CE75-1,CD76-1)</f>
        <v>-72</v>
      </c>
      <c r="CF76" s="2" t="n">
        <f aca="false">MAX(CE75+IF($A76=CF$4,1,-1),CF75-1,CE76-1)</f>
        <v>-73</v>
      </c>
      <c r="CG76" s="2" t="n">
        <f aca="false">MAX(CF75+IF($A76=CG$4,1,-1),CG75-1,CF76-1)</f>
        <v>-74</v>
      </c>
      <c r="CH76" s="2" t="n">
        <f aca="false">MAX(CG75+IF($A76=CH$4,1,-1),CH75-1,CG76-1)</f>
        <v>-75</v>
      </c>
      <c r="CI76" s="2" t="n">
        <f aca="false">MAX(CH75+IF($A76=CI$4,1,-1),CI75-1,CH76-1)</f>
        <v>-76</v>
      </c>
      <c r="CJ76" s="2" t="n">
        <f aca="false">MAX(CI75+IF($A76=CJ$4,1,-1),CJ75-1,CI76-1)</f>
        <v>-77</v>
      </c>
      <c r="CK76" s="2" t="n">
        <f aca="false">MAX(CJ75+IF($A76=CK$4,1,-1),CK75-1,CJ76-1)</f>
        <v>-78</v>
      </c>
      <c r="CL76" s="2" t="n">
        <f aca="false">MAX(CK75+IF($A76=CL$4,1,-1),CL75-1,CK76-1)</f>
        <v>-79</v>
      </c>
      <c r="CM76" s="2" t="n">
        <f aca="false">MAX(CL75+IF($A76=CM$4,1,-1),CM75-1,CL76-1)</f>
        <v>-79</v>
      </c>
      <c r="CN76" s="2" t="n">
        <f aca="false">MAX(CM75+IF($A76=CN$4,1,-1),CN75-1,CM76-1)</f>
        <v>-80</v>
      </c>
      <c r="CO76" s="2" t="n">
        <f aca="false">MAX(CN75+IF($A76=CO$4,1,-1),CO75-1,CN76-1)</f>
        <v>-81</v>
      </c>
      <c r="CP76" s="2" t="n">
        <f aca="false">MAX(CO75+IF($A76=CP$4,1,-1),CP75-1,CO76-1)</f>
        <v>-82</v>
      </c>
      <c r="CQ76" s="2" t="n">
        <f aca="false">MAX(CP75+IF($A76=CQ$4,1,-1),CQ75-1,CP76-1)</f>
        <v>-83</v>
      </c>
    </row>
    <row r="77" customFormat="false" ht="15" hidden="false" customHeight="false" outlineLevel="0" collapsed="false">
      <c r="A77" s="4" t="s">
        <v>190</v>
      </c>
      <c r="B77" s="12" t="n">
        <v>-72</v>
      </c>
      <c r="C77" s="2" t="n">
        <f aca="false">MAX(B76+IF($A77=C$4,1,-1),C76-1,B77-1)</f>
        <v>-72</v>
      </c>
      <c r="D77" s="2" t="n">
        <f aca="false">MAX(C76+IF($A77=D$4,1,-1),D76-1,C77-1)</f>
        <v>-70</v>
      </c>
      <c r="E77" s="2" t="n">
        <f aca="false">MAX(D76+IF($A77=E$4,1,-1),E76-1,D77-1)</f>
        <v>-68</v>
      </c>
      <c r="F77" s="2" t="n">
        <f aca="false">MAX(E76+IF($A77=F$4,1,-1),F76-1,E77-1)</f>
        <v>-66</v>
      </c>
      <c r="G77" s="2" t="n">
        <f aca="false">MAX(F76+IF($A77=G$4,1,-1),G76-1,F77-1)</f>
        <v>-66</v>
      </c>
      <c r="H77" s="2" t="n">
        <f aca="false">MAX(G76+IF($A77=H$4,1,-1),H76-1,G77-1)</f>
        <v>-66</v>
      </c>
      <c r="I77" s="2" t="n">
        <f aca="false">MAX(H76+IF($A77=I$4,1,-1),I76-1,H77-1)</f>
        <v>-66</v>
      </c>
      <c r="J77" s="2" t="n">
        <f aca="false">MAX(I76+IF($A77=J$4,1,-1),J76-1,I77-1)</f>
        <v>-66</v>
      </c>
      <c r="K77" s="2" t="n">
        <f aca="false">MAX(J76+IF($A77=K$4,1,-1),K76-1,J77-1)</f>
        <v>-64</v>
      </c>
      <c r="L77" s="2" t="n">
        <f aca="false">MAX(K76+IF($A77=L$4,1,-1),L76-1,K77-1)</f>
        <v>-64</v>
      </c>
      <c r="M77" s="2" t="n">
        <f aca="false">MAX(L76+IF($A77=M$4,1,-1),M76-1,L77-1)</f>
        <v>-64</v>
      </c>
      <c r="N77" s="2" t="n">
        <f aca="false">MAX(M76+IF($A77=N$4,1,-1),N76-1,M77-1)</f>
        <v>-63</v>
      </c>
      <c r="O77" s="2" t="n">
        <f aca="false">MAX(N76+IF($A77=O$4,1,-1),O76-1,N77-1)</f>
        <v>-61</v>
      </c>
      <c r="P77" s="2" t="n">
        <f aca="false">MAX(O76+IF($A77=P$4,1,-1),P76-1,O77-1)</f>
        <v>-61</v>
      </c>
      <c r="Q77" s="2" t="n">
        <f aca="false">MAX(P76+IF($A77=Q$4,1,-1),Q76-1,P77-1)</f>
        <v>-61</v>
      </c>
      <c r="R77" s="2" t="n">
        <f aca="false">MAX(Q76+IF($A77=R$4,1,-1),R76-1,Q77-1)</f>
        <v>-61</v>
      </c>
      <c r="S77" s="2" t="n">
        <f aca="false">MAX(R76+IF($A77=S$4,1,-1),S76-1,R77-1)</f>
        <v>-61</v>
      </c>
      <c r="T77" s="2" t="n">
        <f aca="false">MAX(S76+IF($A77=T$4,1,-1),T76-1,S77-1)</f>
        <v>-61</v>
      </c>
      <c r="U77" s="2" t="n">
        <f aca="false">MAX(T76+IF($A77=U$4,1,-1),U76-1,T77-1)</f>
        <v>-59</v>
      </c>
      <c r="V77" s="2" t="n">
        <f aca="false">MAX(U76+IF($A77=V$4,1,-1),V76-1,U77-1)</f>
        <v>-59</v>
      </c>
      <c r="W77" s="2" t="n">
        <f aca="false">MAX(V76+IF($A77=W$4,1,-1),W76-1,V77-1)</f>
        <v>-60</v>
      </c>
      <c r="X77" s="2" t="n">
        <f aca="false">MAX(W76+IF($A77=X$4,1,-1),X76-1,W77-1)</f>
        <v>-60</v>
      </c>
      <c r="Y77" s="2" t="n">
        <f aca="false">MAX(X76+IF($A77=Y$4,1,-1),Y76-1,X77-1)</f>
        <v>-60</v>
      </c>
      <c r="Z77" s="2" t="n">
        <f aca="false">MAX(Y76+IF($A77=Z$4,1,-1),Z76-1,Y77-1)</f>
        <v>-60</v>
      </c>
      <c r="AA77" s="2" t="n">
        <f aca="false">MAX(Z76+IF($A77=AA$4,1,-1),AA76-1,Z77-1)</f>
        <v>-60</v>
      </c>
      <c r="AB77" s="2" t="n">
        <f aca="false">MAX(AA76+IF($A77=AB$4,1,-1),AB76-1,AA77-1)</f>
        <v>-60</v>
      </c>
      <c r="AC77" s="2" t="n">
        <f aca="false">MAX(AB76+IF($A77=AC$4,1,-1),AC76-1,AB77-1)</f>
        <v>-60</v>
      </c>
      <c r="AD77" s="2" t="n">
        <f aca="false">MAX(AC76+IF($A77=AD$4,1,-1),AD76-1,AC77-1)</f>
        <v>-60</v>
      </c>
      <c r="AE77" s="2" t="n">
        <f aca="false">MAX(AD76+IF($A77=AE$4,1,-1),AE76-1,AD77-1)</f>
        <v>-60</v>
      </c>
      <c r="AF77" s="2" t="n">
        <f aca="false">MAX(AE76+IF($A77=AF$4,1,-1),AF76-1,AE77-1)</f>
        <v>-60</v>
      </c>
      <c r="AG77" s="2" t="n">
        <f aca="false">MAX(AF76+IF($A77=AG$4,1,-1),AG76-1,AF77-1)</f>
        <v>-60</v>
      </c>
      <c r="AH77" s="2" t="n">
        <f aca="false">MAX(AG76+IF($A77=AH$4,1,-1),AH76-1,AG77-1)</f>
        <v>-60</v>
      </c>
      <c r="AI77" s="2" t="n">
        <f aca="false">MAX(AH76+IF($A77=AI$4,1,-1),AI76-1,AH77-1)</f>
        <v>-60</v>
      </c>
      <c r="AJ77" s="2" t="n">
        <f aca="false">MAX(AI76+IF($A77=AJ$4,1,-1),AJ76-1,AI77-1)</f>
        <v>-60</v>
      </c>
      <c r="AK77" s="2" t="n">
        <f aca="false">MAX(AJ76+IF($A77=AK$4,1,-1),AK76-1,AJ77-1)</f>
        <v>-60</v>
      </c>
      <c r="AL77" s="2" t="n">
        <f aca="false">MAX(AK76+IF($A77=AL$4,1,-1),AL76-1,AK77-1)</f>
        <v>-60</v>
      </c>
      <c r="AM77" s="2" t="n">
        <f aca="false">MAX(AL76+IF($A77=AM$4,1,-1),AM76-1,AL77-1)</f>
        <v>-60</v>
      </c>
      <c r="AN77" s="2" t="n">
        <f aca="false">MAX(AM76+IF($A77=AN$4,1,-1),AN76-1,AM77-1)</f>
        <v>-60</v>
      </c>
      <c r="AO77" s="2" t="n">
        <f aca="false">MAX(AN76+IF($A77=AO$4,1,-1),AO76-1,AN77-1)</f>
        <v>-60</v>
      </c>
      <c r="AP77" s="2" t="n">
        <f aca="false">MAX(AO76+IF($A77=AP$4,1,-1),AP76-1,AO77-1)</f>
        <v>-61</v>
      </c>
      <c r="AQ77" s="2" t="n">
        <f aca="false">MAX(AP76+IF($A77=AQ$4,1,-1),AQ76-1,AP77-1)</f>
        <v>-62</v>
      </c>
      <c r="AR77" s="2" t="n">
        <f aca="false">MAX(AQ76+IF($A77=AR$4,1,-1),AR76-1,AQ77-1)</f>
        <v>-62</v>
      </c>
      <c r="AS77" s="2" t="n">
        <f aca="false">MAX(AR76+IF($A77=AS$4,1,-1),AS76-1,AR77-1)</f>
        <v>-62</v>
      </c>
      <c r="AT77" s="2" t="n">
        <f aca="false">MAX(AS76+IF($A77=AT$4,1,-1),AT76-1,AS77-1)</f>
        <v>-62</v>
      </c>
      <c r="AU77" s="2" t="n">
        <f aca="false">MAX(AT76+IF($A77=AU$4,1,-1),AU76-1,AT77-1)</f>
        <v>-62</v>
      </c>
      <c r="AV77" s="2" t="n">
        <f aca="false">MAX(AU76+IF($A77=AV$4,1,-1),AV76-1,AU77-1)</f>
        <v>-62</v>
      </c>
      <c r="AW77" s="2" t="n">
        <f aca="false">MAX(AV76+IF($A77=AW$4,1,-1),AW76-1,AV77-1)</f>
        <v>-62</v>
      </c>
      <c r="AX77" s="2" t="n">
        <f aca="false">MAX(AW76+IF($A77=AX$4,1,-1),AX76-1,AW77-1)</f>
        <v>-62</v>
      </c>
      <c r="AY77" s="2" t="n">
        <f aca="false">MAX(AX76+IF($A77=AY$4,1,-1),AY76-1,AX77-1)</f>
        <v>-62</v>
      </c>
      <c r="AZ77" s="2" t="n">
        <f aca="false">MAX(AY76+IF($A77=AZ$4,1,-1),AZ76-1,AY77-1)</f>
        <v>-62</v>
      </c>
      <c r="BA77" s="2" t="n">
        <f aca="false">MAX(AZ76+IF($A77=BA$4,1,-1),BA76-1,AZ77-1)</f>
        <v>-62</v>
      </c>
      <c r="BB77" s="2" t="n">
        <f aca="false">MAX(BA76+IF($A77=BB$4,1,-1),BB76-1,BA77-1)</f>
        <v>-62</v>
      </c>
      <c r="BC77" s="2" t="n">
        <f aca="false">MAX(BB76+IF($A77=BC$4,1,-1),BC76-1,BB77-1)</f>
        <v>-62</v>
      </c>
      <c r="BD77" s="2" t="n">
        <f aca="false">MAX(BC76+IF($A77=BD$4,1,-1),BD76-1,BC77-1)</f>
        <v>-62</v>
      </c>
      <c r="BE77" s="2" t="n">
        <f aca="false">MAX(BD76+IF($A77=BE$4,1,-1),BE76-1,BD77-1)</f>
        <v>-62</v>
      </c>
      <c r="BF77" s="2" t="n">
        <f aca="false">MAX(BE76+IF($A77=BF$4,1,-1),BF76-1,BE77-1)</f>
        <v>-62</v>
      </c>
      <c r="BG77" s="2" t="n">
        <f aca="false">MAX(BF76+IF($A77=BG$4,1,-1),BG76-1,BF77-1)</f>
        <v>-62</v>
      </c>
      <c r="BH77" s="2" t="n">
        <f aca="false">MAX(BG76+IF($A77=BH$4,1,-1),BH76-1,BG77-1)</f>
        <v>-62</v>
      </c>
      <c r="BI77" s="2" t="n">
        <f aca="false">MAX(BH76+IF($A77=BI$4,1,-1),BI76-1,BH77-1)</f>
        <v>-62</v>
      </c>
      <c r="BJ77" s="2" t="n">
        <f aca="false">MAX(BI76+IF($A77=BJ$4,1,-1),BJ76-1,BI77-1)</f>
        <v>-62</v>
      </c>
      <c r="BK77" s="2" t="n">
        <f aca="false">MAX(BJ76+IF($A77=BK$4,1,-1),BK76-1,BJ77-1)</f>
        <v>-62</v>
      </c>
      <c r="BL77" s="2" t="n">
        <f aca="false">MAX(BK76+IF($A77=BL$4,1,-1),BL76-1,BK77-1)</f>
        <v>-63</v>
      </c>
      <c r="BM77" s="2" t="n">
        <f aca="false">MAX(BL76+IF($A77=BM$4,1,-1),BM76-1,BL77-1)</f>
        <v>-64</v>
      </c>
      <c r="BN77" s="2" t="n">
        <f aca="false">MAX(BM76+IF($A77=BN$4,1,-1),BN76-1,BM77-1)</f>
        <v>-64</v>
      </c>
      <c r="BO77" s="2" t="n">
        <f aca="false">MAX(BN76+IF($A77=BO$4,1,-1),BO76-1,BN77-1)</f>
        <v>-64</v>
      </c>
      <c r="BP77" s="2" t="n">
        <f aca="false">MAX(BO76+IF($A77=BP$4,1,-1),BP76-1,BO77-1)</f>
        <v>-64</v>
      </c>
      <c r="BQ77" s="2" t="n">
        <f aca="false">MAX(BP76+IF($A77=BQ$4,1,-1),BQ76-1,BP77-1)</f>
        <v>-64</v>
      </c>
      <c r="BR77" s="2" t="n">
        <f aca="false">MAX(BQ76+IF($A77=BR$4,1,-1),BR76-1,BQ77-1)</f>
        <v>-64</v>
      </c>
      <c r="BS77" s="2" t="n">
        <f aca="false">MAX(BR76+IF($A77=BS$4,1,-1),BS76-1,BR77-1)</f>
        <v>-64</v>
      </c>
      <c r="BT77" s="2" t="n">
        <f aca="false">MAX(BS76+IF($A77=BT$4,1,-1),BT76-1,BS77-1)</f>
        <v>-64</v>
      </c>
      <c r="BU77" s="2" t="n">
        <f aca="false">MAX(BT76+IF($A77=BU$4,1,-1),BU76-1,BT77-1)</f>
        <v>-64</v>
      </c>
      <c r="BV77" s="2" t="n">
        <f aca="false">MAX(BU76+IF($A77=BV$4,1,-1),BV76-1,BU77-1)</f>
        <v>-64</v>
      </c>
      <c r="BW77" s="2" t="n">
        <f aca="false">MAX(BV76+IF($A77=BW$4,1,-1),BW76-1,BV77-1)</f>
        <v>-64</v>
      </c>
      <c r="BX77" s="2" t="n">
        <f aca="false">MAX(BW76+IF($A77=BX$4,1,-1),BX76-1,BW77-1)</f>
        <v>-65</v>
      </c>
      <c r="BY77" s="2" t="n">
        <f aca="false">MAX(BX76+IF($A77=BY$4,1,-1),BY76-1,BX77-1)</f>
        <v>-66</v>
      </c>
      <c r="BZ77" s="2" t="n">
        <f aca="false">MAX(BY76+IF($A77=BZ$4,1,-1),BZ76-1,BY77-1)</f>
        <v>-67</v>
      </c>
      <c r="CA77" s="2" t="n">
        <f aca="false">MAX(BZ76+IF($A77=CA$4,1,-1),CA76-1,BZ77-1)</f>
        <v>-68</v>
      </c>
      <c r="CB77" s="2" t="n">
        <f aca="false">MAX(CA76+IF($A77=CB$4,1,-1),CB76-1,CA77-1)</f>
        <v>-69</v>
      </c>
      <c r="CC77" s="2" t="n">
        <f aca="false">MAX(CB76+IF($A77=CC$4,1,-1),CC76-1,CB77-1)</f>
        <v>-70</v>
      </c>
      <c r="CD77" s="2" t="n">
        <f aca="false">MAX(CC76+IF($A77=CD$4,1,-1),CD76-1,CC77-1)</f>
        <v>-71</v>
      </c>
      <c r="CE77" s="2" t="n">
        <f aca="false">MAX(CD76+IF($A77=CE$4,1,-1),CE76-1,CD77-1)</f>
        <v>-72</v>
      </c>
      <c r="CF77" s="2" t="n">
        <f aca="false">MAX(CE76+IF($A77=CF$4,1,-1),CF76-1,CE77-1)</f>
        <v>-73</v>
      </c>
      <c r="CG77" s="2" t="n">
        <f aca="false">MAX(CF76+IF($A77=CG$4,1,-1),CG76-1,CF77-1)</f>
        <v>-74</v>
      </c>
      <c r="CH77" s="2" t="n">
        <f aca="false">MAX(CG76+IF($A77=CH$4,1,-1),CH76-1,CG77-1)</f>
        <v>-75</v>
      </c>
      <c r="CI77" s="2" t="n">
        <f aca="false">MAX(CH76+IF($A77=CI$4,1,-1),CI76-1,CH77-1)</f>
        <v>-76</v>
      </c>
      <c r="CJ77" s="2" t="n">
        <f aca="false">MAX(CI76+IF($A77=CJ$4,1,-1),CJ76-1,CI77-1)</f>
        <v>-77</v>
      </c>
      <c r="CK77" s="2" t="n">
        <f aca="false">MAX(CJ76+IF($A77=CK$4,1,-1),CK76-1,CJ77-1)</f>
        <v>-78</v>
      </c>
      <c r="CL77" s="2" t="n">
        <f aca="false">MAX(CK76+IF($A77=CL$4,1,-1),CL76-1,CK77-1)</f>
        <v>-79</v>
      </c>
      <c r="CM77" s="2" t="n">
        <f aca="false">MAX(CL76+IF($A77=CM$4,1,-1),CM76-1,CL77-1)</f>
        <v>-80</v>
      </c>
      <c r="CN77" s="2" t="n">
        <f aca="false">MAX(CM76+IF($A77=CN$4,1,-1),CN76-1,CM77-1)</f>
        <v>-80</v>
      </c>
      <c r="CO77" s="2" t="n">
        <f aca="false">MAX(CN76+IF($A77=CO$4,1,-1),CO76-1,CN77-1)</f>
        <v>-81</v>
      </c>
      <c r="CP77" s="2" t="n">
        <f aca="false">MAX(CO76+IF($A77=CP$4,1,-1),CP76-1,CO77-1)</f>
        <v>-82</v>
      </c>
      <c r="CQ77" s="2" t="n">
        <f aca="false">MAX(CP76+IF($A77=CQ$4,1,-1),CQ76-1,CP77-1)</f>
        <v>-83</v>
      </c>
    </row>
    <row r="78" customFormat="false" ht="15" hidden="false" customHeight="false" outlineLevel="0" collapsed="false">
      <c r="A78" s="4" t="s">
        <v>191</v>
      </c>
      <c r="B78" s="12" t="n">
        <v>-73</v>
      </c>
      <c r="C78" s="2" t="n">
        <f aca="false">MAX(B77+IF($A78=C$4,1,-1),C77-1,B78-1)</f>
        <v>-73</v>
      </c>
      <c r="D78" s="2" t="n">
        <f aca="false">MAX(C77+IF($A78=D$4,1,-1),D77-1,C78-1)</f>
        <v>-71</v>
      </c>
      <c r="E78" s="2" t="n">
        <f aca="false">MAX(D77+IF($A78=E$4,1,-1),E77-1,D78-1)</f>
        <v>-69</v>
      </c>
      <c r="F78" s="2" t="n">
        <f aca="false">MAX(E77+IF($A78=F$4,1,-1),F77-1,E78-1)</f>
        <v>-67</v>
      </c>
      <c r="G78" s="2" t="n">
        <f aca="false">MAX(F77+IF($A78=G$4,1,-1),G77-1,F78-1)</f>
        <v>-67</v>
      </c>
      <c r="H78" s="2" t="n">
        <f aca="false">MAX(G77+IF($A78=H$4,1,-1),H77-1,G78-1)</f>
        <v>-67</v>
      </c>
      <c r="I78" s="2" t="n">
        <f aca="false">MAX(H77+IF($A78=I$4,1,-1),I77-1,H78-1)</f>
        <v>-67</v>
      </c>
      <c r="J78" s="2" t="n">
        <f aca="false">MAX(I77+IF($A78=J$4,1,-1),J77-1,I78-1)</f>
        <v>-67</v>
      </c>
      <c r="K78" s="2" t="n">
        <f aca="false">MAX(J77+IF($A78=K$4,1,-1),K77-1,J78-1)</f>
        <v>-65</v>
      </c>
      <c r="L78" s="2" t="n">
        <f aca="false">MAX(K77+IF($A78=L$4,1,-1),L77-1,K78-1)</f>
        <v>-65</v>
      </c>
      <c r="M78" s="2" t="n">
        <f aca="false">MAX(L77+IF($A78=M$4,1,-1),M77-1,L78-1)</f>
        <v>-65</v>
      </c>
      <c r="N78" s="2" t="n">
        <f aca="false">MAX(M77+IF($A78=N$4,1,-1),N77-1,M78-1)</f>
        <v>-64</v>
      </c>
      <c r="O78" s="2" t="n">
        <f aca="false">MAX(N77+IF($A78=O$4,1,-1),O77-1,N78-1)</f>
        <v>-62</v>
      </c>
      <c r="P78" s="2" t="n">
        <f aca="false">MAX(O77+IF($A78=P$4,1,-1),P77-1,O78-1)</f>
        <v>-62</v>
      </c>
      <c r="Q78" s="2" t="n">
        <f aca="false">MAX(P77+IF($A78=Q$4,1,-1),Q77-1,P78-1)</f>
        <v>-62</v>
      </c>
      <c r="R78" s="2" t="n">
        <f aca="false">MAX(Q77+IF($A78=R$4,1,-1),R77-1,Q78-1)</f>
        <v>-62</v>
      </c>
      <c r="S78" s="2" t="n">
        <f aca="false">MAX(R77+IF($A78=S$4,1,-1),S77-1,R78-1)</f>
        <v>-62</v>
      </c>
      <c r="T78" s="2" t="n">
        <f aca="false">MAX(S77+IF($A78=T$4,1,-1),T77-1,S78-1)</f>
        <v>-62</v>
      </c>
      <c r="U78" s="2" t="n">
        <f aca="false">MAX(T77+IF($A78=U$4,1,-1),U77-1,T78-1)</f>
        <v>-60</v>
      </c>
      <c r="V78" s="2" t="n">
        <f aca="false">MAX(U77+IF($A78=V$4,1,-1),V77-1,U78-1)</f>
        <v>-60</v>
      </c>
      <c r="W78" s="2" t="n">
        <f aca="false">MAX(V77+IF($A78=W$4,1,-1),W77-1,V78-1)</f>
        <v>-60</v>
      </c>
      <c r="X78" s="2" t="n">
        <f aca="false">MAX(W77+IF($A78=X$4,1,-1),X77-1,W78-1)</f>
        <v>-61</v>
      </c>
      <c r="Y78" s="2" t="n">
        <f aca="false">MAX(X77+IF($A78=Y$4,1,-1),Y77-1,X78-1)</f>
        <v>-61</v>
      </c>
      <c r="Z78" s="2" t="n">
        <f aca="false">MAX(Y77+IF($A78=Z$4,1,-1),Z77-1,Y78-1)</f>
        <v>-61</v>
      </c>
      <c r="AA78" s="2" t="n">
        <f aca="false">MAX(Z77+IF($A78=AA$4,1,-1),AA77-1,Z78-1)</f>
        <v>-61</v>
      </c>
      <c r="AB78" s="2" t="n">
        <f aca="false">MAX(AA77+IF($A78=AB$4,1,-1),AB77-1,AA78-1)</f>
        <v>-61</v>
      </c>
      <c r="AC78" s="2" t="n">
        <f aca="false">MAX(AB77+IF($A78=AC$4,1,-1),AC77-1,AB78-1)</f>
        <v>-61</v>
      </c>
      <c r="AD78" s="2" t="n">
        <f aca="false">MAX(AC77+IF($A78=AD$4,1,-1),AD77-1,AC78-1)</f>
        <v>-61</v>
      </c>
      <c r="AE78" s="2" t="n">
        <f aca="false">MAX(AD77+IF($A78=AE$4,1,-1),AE77-1,AD78-1)</f>
        <v>-61</v>
      </c>
      <c r="AF78" s="2" t="n">
        <f aca="false">MAX(AE77+IF($A78=AF$4,1,-1),AF77-1,AE78-1)</f>
        <v>-61</v>
      </c>
      <c r="AG78" s="2" t="n">
        <f aca="false">MAX(AF77+IF($A78=AG$4,1,-1),AG77-1,AF78-1)</f>
        <v>-61</v>
      </c>
      <c r="AH78" s="2" t="n">
        <f aca="false">MAX(AG77+IF($A78=AH$4,1,-1),AH77-1,AG78-1)</f>
        <v>-61</v>
      </c>
      <c r="AI78" s="2" t="n">
        <f aca="false">MAX(AH77+IF($A78=AI$4,1,-1),AI77-1,AH78-1)</f>
        <v>-61</v>
      </c>
      <c r="AJ78" s="2" t="n">
        <f aca="false">MAX(AI77+IF($A78=AJ$4,1,-1),AJ77-1,AI78-1)</f>
        <v>-61</v>
      </c>
      <c r="AK78" s="2" t="n">
        <f aca="false">MAX(AJ77+IF($A78=AK$4,1,-1),AK77-1,AJ78-1)</f>
        <v>-61</v>
      </c>
      <c r="AL78" s="2" t="n">
        <f aca="false">MAX(AK77+IF($A78=AL$4,1,-1),AL77-1,AK78-1)</f>
        <v>-61</v>
      </c>
      <c r="AM78" s="2" t="n">
        <f aca="false">MAX(AL77+IF($A78=AM$4,1,-1),AM77-1,AL78-1)</f>
        <v>-61</v>
      </c>
      <c r="AN78" s="2" t="n">
        <f aca="false">MAX(AM77+IF($A78=AN$4,1,-1),AN77-1,AM78-1)</f>
        <v>-61</v>
      </c>
      <c r="AO78" s="2" t="n">
        <f aca="false">MAX(AN77+IF($A78=AO$4,1,-1),AO77-1,AN78-1)</f>
        <v>-61</v>
      </c>
      <c r="AP78" s="2" t="n">
        <f aca="false">MAX(AO77+IF($A78=AP$4,1,-1),AP77-1,AO78-1)</f>
        <v>-61</v>
      </c>
      <c r="AQ78" s="2" t="n">
        <f aca="false">MAX(AP77+IF($A78=AQ$4,1,-1),AQ77-1,AP78-1)</f>
        <v>-62</v>
      </c>
      <c r="AR78" s="2" t="n">
        <f aca="false">MAX(AQ77+IF($A78=AR$4,1,-1),AR77-1,AQ78-1)</f>
        <v>-63</v>
      </c>
      <c r="AS78" s="2" t="n">
        <f aca="false">MAX(AR77+IF($A78=AS$4,1,-1),AS77-1,AR78-1)</f>
        <v>-63</v>
      </c>
      <c r="AT78" s="2" t="n">
        <f aca="false">MAX(AS77+IF($A78=AT$4,1,-1),AT77-1,AS78-1)</f>
        <v>-63</v>
      </c>
      <c r="AU78" s="2" t="n">
        <f aca="false">MAX(AT77+IF($A78=AU$4,1,-1),AU77-1,AT78-1)</f>
        <v>-63</v>
      </c>
      <c r="AV78" s="2" t="n">
        <f aca="false">MAX(AU77+IF($A78=AV$4,1,-1),AV77-1,AU78-1)</f>
        <v>-63</v>
      </c>
      <c r="AW78" s="2" t="n">
        <f aca="false">MAX(AV77+IF($A78=AW$4,1,-1),AW77-1,AV78-1)</f>
        <v>-63</v>
      </c>
      <c r="AX78" s="2" t="n">
        <f aca="false">MAX(AW77+IF($A78=AX$4,1,-1),AX77-1,AW78-1)</f>
        <v>-63</v>
      </c>
      <c r="AY78" s="2" t="n">
        <f aca="false">MAX(AX77+IF($A78=AY$4,1,-1),AY77-1,AX78-1)</f>
        <v>-63</v>
      </c>
      <c r="AZ78" s="2" t="n">
        <f aca="false">MAX(AY77+IF($A78=AZ$4,1,-1),AZ77-1,AY78-1)</f>
        <v>-63</v>
      </c>
      <c r="BA78" s="2" t="n">
        <f aca="false">MAX(AZ77+IF($A78=BA$4,1,-1),BA77-1,AZ78-1)</f>
        <v>-63</v>
      </c>
      <c r="BB78" s="2" t="n">
        <f aca="false">MAX(BA77+IF($A78=BB$4,1,-1),BB77-1,BA78-1)</f>
        <v>-63</v>
      </c>
      <c r="BC78" s="2" t="n">
        <f aca="false">MAX(BB77+IF($A78=BC$4,1,-1),BC77-1,BB78-1)</f>
        <v>-63</v>
      </c>
      <c r="BD78" s="2" t="n">
        <f aca="false">MAX(BC77+IF($A78=BD$4,1,-1),BD77-1,BC78-1)</f>
        <v>-63</v>
      </c>
      <c r="BE78" s="2" t="n">
        <f aca="false">MAX(BD77+IF($A78=BE$4,1,-1),BE77-1,BD78-1)</f>
        <v>-63</v>
      </c>
      <c r="BF78" s="2" t="n">
        <f aca="false">MAX(BE77+IF($A78=BF$4,1,-1),BF77-1,BE78-1)</f>
        <v>-63</v>
      </c>
      <c r="BG78" s="2" t="n">
        <f aca="false">MAX(BF77+IF($A78=BG$4,1,-1),BG77-1,BF78-1)</f>
        <v>-63</v>
      </c>
      <c r="BH78" s="2" t="n">
        <f aca="false">MAX(BG77+IF($A78=BH$4,1,-1),BH77-1,BG78-1)</f>
        <v>-63</v>
      </c>
      <c r="BI78" s="2" t="n">
        <f aca="false">MAX(BH77+IF($A78=BI$4,1,-1),BI77-1,BH78-1)</f>
        <v>-63</v>
      </c>
      <c r="BJ78" s="2" t="n">
        <f aca="false">MAX(BI77+IF($A78=BJ$4,1,-1),BJ77-1,BI78-1)</f>
        <v>-63</v>
      </c>
      <c r="BK78" s="2" t="n">
        <f aca="false">MAX(BJ77+IF($A78=BK$4,1,-1),BK77-1,BJ78-1)</f>
        <v>-63</v>
      </c>
      <c r="BL78" s="2" t="n">
        <f aca="false">MAX(BK77+IF($A78=BL$4,1,-1),BL77-1,BK78-1)</f>
        <v>-63</v>
      </c>
      <c r="BM78" s="2" t="n">
        <f aca="false">MAX(BL77+IF($A78=BM$4,1,-1),BM77-1,BL78-1)</f>
        <v>-64</v>
      </c>
      <c r="BN78" s="2" t="n">
        <f aca="false">MAX(BM77+IF($A78=BN$4,1,-1),BN77-1,BM78-1)</f>
        <v>-65</v>
      </c>
      <c r="BO78" s="2" t="n">
        <f aca="false">MAX(BN77+IF($A78=BO$4,1,-1),BO77-1,BN78-1)</f>
        <v>-65</v>
      </c>
      <c r="BP78" s="2" t="n">
        <f aca="false">MAX(BO77+IF($A78=BP$4,1,-1),BP77-1,BO78-1)</f>
        <v>-65</v>
      </c>
      <c r="BQ78" s="2" t="n">
        <f aca="false">MAX(BP77+IF($A78=BQ$4,1,-1),BQ77-1,BP78-1)</f>
        <v>-65</v>
      </c>
      <c r="BR78" s="2" t="n">
        <f aca="false">MAX(BQ77+IF($A78=BR$4,1,-1),BR77-1,BQ78-1)</f>
        <v>-65</v>
      </c>
      <c r="BS78" s="2" t="n">
        <f aca="false">MAX(BR77+IF($A78=BS$4,1,-1),BS77-1,BR78-1)</f>
        <v>-65</v>
      </c>
      <c r="BT78" s="2" t="n">
        <f aca="false">MAX(BS77+IF($A78=BT$4,1,-1),BT77-1,BS78-1)</f>
        <v>-65</v>
      </c>
      <c r="BU78" s="2" t="n">
        <f aca="false">MAX(BT77+IF($A78=BU$4,1,-1),BU77-1,BT78-1)</f>
        <v>-65</v>
      </c>
      <c r="BV78" s="2" t="n">
        <f aca="false">MAX(BU77+IF($A78=BV$4,1,-1),BV77-1,BU78-1)</f>
        <v>-65</v>
      </c>
      <c r="BW78" s="2" t="n">
        <f aca="false">MAX(BV77+IF($A78=BW$4,1,-1),BW77-1,BV78-1)</f>
        <v>-65</v>
      </c>
      <c r="BX78" s="2" t="n">
        <f aca="false">MAX(BW77+IF($A78=BX$4,1,-1),BX77-1,BW78-1)</f>
        <v>-65</v>
      </c>
      <c r="BY78" s="2" t="n">
        <f aca="false">MAX(BX77+IF($A78=BY$4,1,-1),BY77-1,BX78-1)</f>
        <v>-66</v>
      </c>
      <c r="BZ78" s="2" t="n">
        <f aca="false">MAX(BY77+IF($A78=BZ$4,1,-1),BZ77-1,BY78-1)</f>
        <v>-67</v>
      </c>
      <c r="CA78" s="2" t="n">
        <f aca="false">MAX(BZ77+IF($A78=CA$4,1,-1),CA77-1,BZ78-1)</f>
        <v>-68</v>
      </c>
      <c r="CB78" s="2" t="n">
        <f aca="false">MAX(CA77+IF($A78=CB$4,1,-1),CB77-1,CA78-1)</f>
        <v>-69</v>
      </c>
      <c r="CC78" s="2" t="n">
        <f aca="false">MAX(CB77+IF($A78=CC$4,1,-1),CC77-1,CB78-1)</f>
        <v>-70</v>
      </c>
      <c r="CD78" s="2" t="n">
        <f aca="false">MAX(CC77+IF($A78=CD$4,1,-1),CD77-1,CC78-1)</f>
        <v>-71</v>
      </c>
      <c r="CE78" s="2" t="n">
        <f aca="false">MAX(CD77+IF($A78=CE$4,1,-1),CE77-1,CD78-1)</f>
        <v>-72</v>
      </c>
      <c r="CF78" s="2" t="n">
        <f aca="false">MAX(CE77+IF($A78=CF$4,1,-1),CF77-1,CE78-1)</f>
        <v>-73</v>
      </c>
      <c r="CG78" s="2" t="n">
        <f aca="false">MAX(CF77+IF($A78=CG$4,1,-1),CG77-1,CF78-1)</f>
        <v>-74</v>
      </c>
      <c r="CH78" s="2" t="n">
        <f aca="false">MAX(CG77+IF($A78=CH$4,1,-1),CH77-1,CG78-1)</f>
        <v>-75</v>
      </c>
      <c r="CI78" s="2" t="n">
        <f aca="false">MAX(CH77+IF($A78=CI$4,1,-1),CI77-1,CH78-1)</f>
        <v>-76</v>
      </c>
      <c r="CJ78" s="2" t="n">
        <f aca="false">MAX(CI77+IF($A78=CJ$4,1,-1),CJ77-1,CI78-1)</f>
        <v>-77</v>
      </c>
      <c r="CK78" s="2" t="n">
        <f aca="false">MAX(CJ77+IF($A78=CK$4,1,-1),CK77-1,CJ78-1)</f>
        <v>-78</v>
      </c>
      <c r="CL78" s="2" t="n">
        <f aca="false">MAX(CK77+IF($A78=CL$4,1,-1),CL77-1,CK78-1)</f>
        <v>-79</v>
      </c>
      <c r="CM78" s="2" t="n">
        <f aca="false">MAX(CL77+IF($A78=CM$4,1,-1),CM77-1,CL78-1)</f>
        <v>-80</v>
      </c>
      <c r="CN78" s="2" t="n">
        <f aca="false">MAX(CM77+IF($A78=CN$4,1,-1),CN77-1,CM78-1)</f>
        <v>-81</v>
      </c>
      <c r="CO78" s="2" t="n">
        <f aca="false">MAX(CN77+IF($A78=CO$4,1,-1),CO77-1,CN78-1)</f>
        <v>-81</v>
      </c>
      <c r="CP78" s="2" t="n">
        <f aca="false">MAX(CO77+IF($A78=CP$4,1,-1),CP77-1,CO78-1)</f>
        <v>-82</v>
      </c>
      <c r="CQ78" s="2" t="n">
        <f aca="false">MAX(CP77+IF($A78=CQ$4,1,-1),CQ77-1,CP78-1)</f>
        <v>-83</v>
      </c>
    </row>
    <row r="79" customFormat="false" ht="15" hidden="false" customHeight="false" outlineLevel="0" collapsed="false">
      <c r="A79" s="4" t="s">
        <v>89</v>
      </c>
      <c r="B79" s="12" t="n">
        <v>-74</v>
      </c>
      <c r="C79" s="2" t="n">
        <f aca="false">MAX(B78+IF($A79=C$4,1,-1),C78-1,B79-1)</f>
        <v>-74</v>
      </c>
      <c r="D79" s="2" t="n">
        <f aca="false">MAX(C78+IF($A79=D$4,1,-1),D78-1,C79-1)</f>
        <v>-72</v>
      </c>
      <c r="E79" s="2" t="n">
        <f aca="false">MAX(D78+IF($A79=E$4,1,-1),E78-1,D79-1)</f>
        <v>-70</v>
      </c>
      <c r="F79" s="2" t="n">
        <f aca="false">MAX(E78+IF($A79=F$4,1,-1),F78-1,E79-1)</f>
        <v>-68</v>
      </c>
      <c r="G79" s="2" t="n">
        <f aca="false">MAX(F78+IF($A79=G$4,1,-1),G78-1,F79-1)</f>
        <v>-68</v>
      </c>
      <c r="H79" s="2" t="n">
        <f aca="false">MAX(G78+IF($A79=H$4,1,-1),H78-1,G79-1)</f>
        <v>-68</v>
      </c>
      <c r="I79" s="2" t="n">
        <f aca="false">MAX(H78+IF($A79=I$4,1,-1),I78-1,H79-1)</f>
        <v>-68</v>
      </c>
      <c r="J79" s="2" t="n">
        <f aca="false">MAX(I78+IF($A79=J$4,1,-1),J78-1,I79-1)</f>
        <v>-68</v>
      </c>
      <c r="K79" s="2" t="n">
        <f aca="false">MAX(J78+IF($A79=K$4,1,-1),K78-1,J79-1)</f>
        <v>-66</v>
      </c>
      <c r="L79" s="2" t="n">
        <f aca="false">MAX(K78+IF($A79=L$4,1,-1),L78-1,K79-1)</f>
        <v>-66</v>
      </c>
      <c r="M79" s="2" t="n">
        <f aca="false">MAX(L78+IF($A79=M$4,1,-1),M78-1,L79-1)</f>
        <v>-66</v>
      </c>
      <c r="N79" s="2" t="n">
        <f aca="false">MAX(M78+IF($A79=N$4,1,-1),N78-1,M79-1)</f>
        <v>-65</v>
      </c>
      <c r="O79" s="2" t="n">
        <f aca="false">MAX(N78+IF($A79=O$4,1,-1),O78-1,N79-1)</f>
        <v>-63</v>
      </c>
      <c r="P79" s="2" t="n">
        <f aca="false">MAX(O78+IF($A79=P$4,1,-1),P78-1,O79-1)</f>
        <v>-63</v>
      </c>
      <c r="Q79" s="2" t="n">
        <f aca="false">MAX(P78+IF($A79=Q$4,1,-1),Q78-1,P79-1)</f>
        <v>-63</v>
      </c>
      <c r="R79" s="2" t="n">
        <f aca="false">MAX(Q78+IF($A79=R$4,1,-1),R78-1,Q79-1)</f>
        <v>-63</v>
      </c>
      <c r="S79" s="2" t="n">
        <f aca="false">MAX(R78+IF($A79=S$4,1,-1),S78-1,R79-1)</f>
        <v>-63</v>
      </c>
      <c r="T79" s="2" t="n">
        <f aca="false">MAX(S78+IF($A79=T$4,1,-1),T78-1,S79-1)</f>
        <v>-63</v>
      </c>
      <c r="U79" s="2" t="n">
        <f aca="false">MAX(T78+IF($A79=U$4,1,-1),U78-1,T79-1)</f>
        <v>-61</v>
      </c>
      <c r="V79" s="2" t="n">
        <f aca="false">MAX(U78+IF($A79=V$4,1,-1),V78-1,U79-1)</f>
        <v>-61</v>
      </c>
      <c r="W79" s="2" t="n">
        <f aca="false">MAX(V78+IF($A79=W$4,1,-1),W78-1,V79-1)</f>
        <v>-61</v>
      </c>
      <c r="X79" s="2" t="n">
        <f aca="false">MAX(W78+IF($A79=X$4,1,-1),X78-1,W79-1)</f>
        <v>-61</v>
      </c>
      <c r="Y79" s="2" t="n">
        <f aca="false">MAX(X78+IF($A79=Y$4,1,-1),Y78-1,X79-1)</f>
        <v>-62</v>
      </c>
      <c r="Z79" s="2" t="n">
        <f aca="false">MAX(Y78+IF($A79=Z$4,1,-1),Z78-1,Y79-1)</f>
        <v>-62</v>
      </c>
      <c r="AA79" s="2" t="n">
        <f aca="false">MAX(Z78+IF($A79=AA$4,1,-1),AA78-1,Z79-1)</f>
        <v>-62</v>
      </c>
      <c r="AB79" s="2" t="n">
        <f aca="false">MAX(AA78+IF($A79=AB$4,1,-1),AB78-1,AA79-1)</f>
        <v>-62</v>
      </c>
      <c r="AC79" s="2" t="n">
        <f aca="false">MAX(AB78+IF($A79=AC$4,1,-1),AC78-1,AB79-1)</f>
        <v>-62</v>
      </c>
      <c r="AD79" s="2" t="n">
        <f aca="false">MAX(AC78+IF($A79=AD$4,1,-1),AD78-1,AC79-1)</f>
        <v>-62</v>
      </c>
      <c r="AE79" s="2" t="n">
        <f aca="false">MAX(AD78+IF($A79=AE$4,1,-1),AE78-1,AD79-1)</f>
        <v>-62</v>
      </c>
      <c r="AF79" s="2" t="n">
        <f aca="false">MAX(AE78+IF($A79=AF$4,1,-1),AF78-1,AE79-1)</f>
        <v>-62</v>
      </c>
      <c r="AG79" s="2" t="n">
        <f aca="false">MAX(AF78+IF($A79=AG$4,1,-1),AG78-1,AF79-1)</f>
        <v>-62</v>
      </c>
      <c r="AH79" s="2" t="n">
        <f aca="false">MAX(AG78+IF($A79=AH$4,1,-1),AH78-1,AG79-1)</f>
        <v>-62</v>
      </c>
      <c r="AI79" s="2" t="n">
        <f aca="false">MAX(AH78+IF($A79=AI$4,1,-1),AI78-1,AH79-1)</f>
        <v>-62</v>
      </c>
      <c r="AJ79" s="2" t="n">
        <f aca="false">MAX(AI78+IF($A79=AJ$4,1,-1),AJ78-1,AI79-1)</f>
        <v>-62</v>
      </c>
      <c r="AK79" s="2" t="n">
        <f aca="false">MAX(AJ78+IF($A79=AK$4,1,-1),AK78-1,AJ79-1)</f>
        <v>-62</v>
      </c>
      <c r="AL79" s="2" t="n">
        <f aca="false">MAX(AK78+IF($A79=AL$4,1,-1),AL78-1,AK79-1)</f>
        <v>-62</v>
      </c>
      <c r="AM79" s="2" t="n">
        <f aca="false">MAX(AL78+IF($A79=AM$4,1,-1),AM78-1,AL79-1)</f>
        <v>-62</v>
      </c>
      <c r="AN79" s="2" t="n">
        <f aca="false">MAX(AM78+IF($A79=AN$4,1,-1),AN78-1,AM79-1)</f>
        <v>-62</v>
      </c>
      <c r="AO79" s="2" t="n">
        <f aca="false">MAX(AN78+IF($A79=AO$4,1,-1),AO78-1,AN79-1)</f>
        <v>-62</v>
      </c>
      <c r="AP79" s="2" t="n">
        <f aca="false">MAX(AO78+IF($A79=AP$4,1,-1),AP78-1,AO79-1)</f>
        <v>-62</v>
      </c>
      <c r="AQ79" s="2" t="n">
        <f aca="false">MAX(AP78+IF($A79=AQ$4,1,-1),AQ78-1,AP79-1)</f>
        <v>-62</v>
      </c>
      <c r="AR79" s="2" t="n">
        <f aca="false">MAX(AQ78+IF($A79=AR$4,1,-1),AR78-1,AQ79-1)</f>
        <v>-63</v>
      </c>
      <c r="AS79" s="2" t="n">
        <f aca="false">MAX(AR78+IF($A79=AS$4,1,-1),AS78-1,AR79-1)</f>
        <v>-64</v>
      </c>
      <c r="AT79" s="2" t="n">
        <f aca="false">MAX(AS78+IF($A79=AT$4,1,-1),AT78-1,AS79-1)</f>
        <v>-64</v>
      </c>
      <c r="AU79" s="2" t="n">
        <f aca="false">MAX(AT78+IF($A79=AU$4,1,-1),AU78-1,AT79-1)</f>
        <v>-64</v>
      </c>
      <c r="AV79" s="2" t="n">
        <f aca="false">MAX(AU78+IF($A79=AV$4,1,-1),AV78-1,AU79-1)</f>
        <v>-64</v>
      </c>
      <c r="AW79" s="2" t="n">
        <f aca="false">MAX(AV78+IF($A79=AW$4,1,-1),AW78-1,AV79-1)</f>
        <v>-64</v>
      </c>
      <c r="AX79" s="2" t="n">
        <f aca="false">MAX(AW78+IF($A79=AX$4,1,-1),AX78-1,AW79-1)</f>
        <v>-64</v>
      </c>
      <c r="AY79" s="2" t="n">
        <f aca="false">MAX(AX78+IF($A79=AY$4,1,-1),AY78-1,AX79-1)</f>
        <v>-64</v>
      </c>
      <c r="AZ79" s="2" t="n">
        <f aca="false">MAX(AY78+IF($A79=AZ$4,1,-1),AZ78-1,AY79-1)</f>
        <v>-64</v>
      </c>
      <c r="BA79" s="2" t="n">
        <f aca="false">MAX(AZ78+IF($A79=BA$4,1,-1),BA78-1,AZ79-1)</f>
        <v>-64</v>
      </c>
      <c r="BB79" s="2" t="n">
        <f aca="false">MAX(BA78+IF($A79=BB$4,1,-1),BB78-1,BA79-1)</f>
        <v>-64</v>
      </c>
      <c r="BC79" s="2" t="n">
        <f aca="false">MAX(BB78+IF($A79=BC$4,1,-1),BC78-1,BB79-1)</f>
        <v>-64</v>
      </c>
      <c r="BD79" s="2" t="n">
        <f aca="false">MAX(BC78+IF($A79=BD$4,1,-1),BD78-1,BC79-1)</f>
        <v>-64</v>
      </c>
      <c r="BE79" s="2" t="n">
        <f aca="false">MAX(BD78+IF($A79=BE$4,1,-1),BE78-1,BD79-1)</f>
        <v>-64</v>
      </c>
      <c r="BF79" s="2" t="n">
        <f aca="false">MAX(BE78+IF($A79=BF$4,1,-1),BF78-1,BE79-1)</f>
        <v>-64</v>
      </c>
      <c r="BG79" s="2" t="n">
        <f aca="false">MAX(BF78+IF($A79=BG$4,1,-1),BG78-1,BF79-1)</f>
        <v>-64</v>
      </c>
      <c r="BH79" s="2" t="n">
        <f aca="false">MAX(BG78+IF($A79=BH$4,1,-1),BH78-1,BG79-1)</f>
        <v>-64</v>
      </c>
      <c r="BI79" s="2" t="n">
        <f aca="false">MAX(BH78+IF($A79=BI$4,1,-1),BI78-1,BH79-1)</f>
        <v>-64</v>
      </c>
      <c r="BJ79" s="2" t="n">
        <f aca="false">MAX(BI78+IF($A79=BJ$4,1,-1),BJ78-1,BI79-1)</f>
        <v>-64</v>
      </c>
      <c r="BK79" s="2" t="n">
        <f aca="false">MAX(BJ78+IF($A79=BK$4,1,-1),BK78-1,BJ79-1)</f>
        <v>-64</v>
      </c>
      <c r="BL79" s="2" t="n">
        <f aca="false">MAX(BK78+IF($A79=BL$4,1,-1),BL78-1,BK79-1)</f>
        <v>-62</v>
      </c>
      <c r="BM79" s="2" t="n">
        <f aca="false">MAX(BL78+IF($A79=BM$4,1,-1),BM78-1,BL79-1)</f>
        <v>-63</v>
      </c>
      <c r="BN79" s="2" t="n">
        <f aca="false">MAX(BM78+IF($A79=BN$4,1,-1),BN78-1,BM79-1)</f>
        <v>-64</v>
      </c>
      <c r="BO79" s="2" t="n">
        <f aca="false">MAX(BN78+IF($A79=BO$4,1,-1),BO78-1,BN79-1)</f>
        <v>-65</v>
      </c>
      <c r="BP79" s="2" t="n">
        <f aca="false">MAX(BO78+IF($A79=BP$4,1,-1),BP78-1,BO79-1)</f>
        <v>-66</v>
      </c>
      <c r="BQ79" s="2" t="n">
        <f aca="false">MAX(BP78+IF($A79=BQ$4,1,-1),BQ78-1,BP79-1)</f>
        <v>-66</v>
      </c>
      <c r="BR79" s="2" t="n">
        <f aca="false">MAX(BQ78+IF($A79=BR$4,1,-1),BR78-1,BQ79-1)</f>
        <v>-66</v>
      </c>
      <c r="BS79" s="2" t="n">
        <f aca="false">MAX(BR78+IF($A79=BS$4,1,-1),BS78-1,BR79-1)</f>
        <v>-66</v>
      </c>
      <c r="BT79" s="2" t="n">
        <f aca="false">MAX(BS78+IF($A79=BT$4,1,-1),BT78-1,BS79-1)</f>
        <v>-66</v>
      </c>
      <c r="BU79" s="2" t="n">
        <f aca="false">MAX(BT78+IF($A79=BU$4,1,-1),BU78-1,BT79-1)</f>
        <v>-66</v>
      </c>
      <c r="BV79" s="2" t="n">
        <f aca="false">MAX(BU78+IF($A79=BV$4,1,-1),BV78-1,BU79-1)</f>
        <v>-66</v>
      </c>
      <c r="BW79" s="2" t="n">
        <f aca="false">MAX(BV78+IF($A79=BW$4,1,-1),BW78-1,BV79-1)</f>
        <v>-66</v>
      </c>
      <c r="BX79" s="2" t="n">
        <f aca="false">MAX(BW78+IF($A79=BX$4,1,-1),BX78-1,BW79-1)</f>
        <v>-66</v>
      </c>
      <c r="BY79" s="2" t="n">
        <f aca="false">MAX(BX78+IF($A79=BY$4,1,-1),BY78-1,BX79-1)</f>
        <v>-66</v>
      </c>
      <c r="BZ79" s="2" t="n">
        <f aca="false">MAX(BY78+IF($A79=BZ$4,1,-1),BZ78-1,BY79-1)</f>
        <v>-67</v>
      </c>
      <c r="CA79" s="2" t="n">
        <f aca="false">MAX(BZ78+IF($A79=CA$4,1,-1),CA78-1,BZ79-1)</f>
        <v>-68</v>
      </c>
      <c r="CB79" s="2" t="n">
        <f aca="false">MAX(CA78+IF($A79=CB$4,1,-1),CB78-1,CA79-1)</f>
        <v>-69</v>
      </c>
      <c r="CC79" s="2" t="n">
        <f aca="false">MAX(CB78+IF($A79=CC$4,1,-1),CC78-1,CB79-1)</f>
        <v>-70</v>
      </c>
      <c r="CD79" s="2" t="n">
        <f aca="false">MAX(CC78+IF($A79=CD$4,1,-1),CD78-1,CC79-1)</f>
        <v>-71</v>
      </c>
      <c r="CE79" s="2" t="n">
        <f aca="false">MAX(CD78+IF($A79=CE$4,1,-1),CE78-1,CD79-1)</f>
        <v>-72</v>
      </c>
      <c r="CF79" s="2" t="n">
        <f aca="false">MAX(CE78+IF($A79=CF$4,1,-1),CF78-1,CE79-1)</f>
        <v>-73</v>
      </c>
      <c r="CG79" s="2" t="n">
        <f aca="false">MAX(CF78+IF($A79=CG$4,1,-1),CG78-1,CF79-1)</f>
        <v>-74</v>
      </c>
      <c r="CH79" s="2" t="n">
        <f aca="false">MAX(CG78+IF($A79=CH$4,1,-1),CH78-1,CG79-1)</f>
        <v>-75</v>
      </c>
      <c r="CI79" s="2" t="n">
        <f aca="false">MAX(CH78+IF($A79=CI$4,1,-1),CI78-1,CH79-1)</f>
        <v>-76</v>
      </c>
      <c r="CJ79" s="2" t="n">
        <f aca="false">MAX(CI78+IF($A79=CJ$4,1,-1),CJ78-1,CI79-1)</f>
        <v>-77</v>
      </c>
      <c r="CK79" s="2" t="n">
        <f aca="false">MAX(CJ78+IF($A79=CK$4,1,-1),CK78-1,CJ79-1)</f>
        <v>-78</v>
      </c>
      <c r="CL79" s="2" t="n">
        <f aca="false">MAX(CK78+IF($A79=CL$4,1,-1),CL78-1,CK79-1)</f>
        <v>-79</v>
      </c>
      <c r="CM79" s="2" t="n">
        <f aca="false">MAX(CL78+IF($A79=CM$4,1,-1),CM78-1,CL79-1)</f>
        <v>-80</v>
      </c>
      <c r="CN79" s="2" t="n">
        <f aca="false">MAX(CM78+IF($A79=CN$4,1,-1),CN78-1,CM79-1)</f>
        <v>-81</v>
      </c>
      <c r="CO79" s="2" t="n">
        <f aca="false">MAX(CN78+IF($A79=CO$4,1,-1),CO78-1,CN79-1)</f>
        <v>-82</v>
      </c>
      <c r="CP79" s="2" t="n">
        <f aca="false">MAX(CO78+IF($A79=CP$4,1,-1),CP78-1,CO79-1)</f>
        <v>-82</v>
      </c>
      <c r="CQ79" s="2" t="n">
        <f aca="false">MAX(CP78+IF($A79=CQ$4,1,-1),CQ78-1,CP79-1)</f>
        <v>-83</v>
      </c>
    </row>
    <row r="80" customFormat="false" ht="15" hidden="false" customHeight="false" outlineLevel="0" collapsed="false">
      <c r="A80" s="4" t="s">
        <v>67</v>
      </c>
      <c r="B80" s="12" t="n">
        <v>-75</v>
      </c>
      <c r="C80" s="2" t="n">
        <f aca="false">MAX(B79+IF($A80=C$4,1,-1),C79-1,B80-1)</f>
        <v>-75</v>
      </c>
      <c r="D80" s="2" t="n">
        <f aca="false">MAX(C79+IF($A80=D$4,1,-1),D79-1,C80-1)</f>
        <v>-73</v>
      </c>
      <c r="E80" s="2" t="n">
        <f aca="false">MAX(D79+IF($A80=E$4,1,-1),E79-1,D80-1)</f>
        <v>-71</v>
      </c>
      <c r="F80" s="2" t="n">
        <f aca="false">MAX(E79+IF($A80=F$4,1,-1),F79-1,E80-1)</f>
        <v>-69</v>
      </c>
      <c r="G80" s="2" t="n">
        <f aca="false">MAX(F79+IF($A80=G$4,1,-1),G79-1,F80-1)</f>
        <v>-69</v>
      </c>
      <c r="H80" s="2" t="n">
        <f aca="false">MAX(G79+IF($A80=H$4,1,-1),H79-1,G80-1)</f>
        <v>-69</v>
      </c>
      <c r="I80" s="2" t="n">
        <f aca="false">MAX(H79+IF($A80=I$4,1,-1),I79-1,H80-1)</f>
        <v>-69</v>
      </c>
      <c r="J80" s="2" t="n">
        <f aca="false">MAX(I79+IF($A80=J$4,1,-1),J79-1,I80-1)</f>
        <v>-69</v>
      </c>
      <c r="K80" s="2" t="n">
        <f aca="false">MAX(J79+IF($A80=K$4,1,-1),K79-1,J80-1)</f>
        <v>-67</v>
      </c>
      <c r="L80" s="2" t="n">
        <f aca="false">MAX(K79+IF($A80=L$4,1,-1),L79-1,K80-1)</f>
        <v>-67</v>
      </c>
      <c r="M80" s="2" t="n">
        <f aca="false">MAX(L79+IF($A80=M$4,1,-1),M79-1,L80-1)</f>
        <v>-67</v>
      </c>
      <c r="N80" s="2" t="n">
        <f aca="false">MAX(M79+IF($A80=N$4,1,-1),N79-1,M80-1)</f>
        <v>-66</v>
      </c>
      <c r="O80" s="2" t="n">
        <f aca="false">MAX(N79+IF($A80=O$4,1,-1),O79-1,N80-1)</f>
        <v>-64</v>
      </c>
      <c r="P80" s="2" t="n">
        <f aca="false">MAX(O79+IF($A80=P$4,1,-1),P79-1,O80-1)</f>
        <v>-64</v>
      </c>
      <c r="Q80" s="2" t="n">
        <f aca="false">MAX(P79+IF($A80=Q$4,1,-1),Q79-1,P80-1)</f>
        <v>-64</v>
      </c>
      <c r="R80" s="2" t="n">
        <f aca="false">MAX(Q79+IF($A80=R$4,1,-1),R79-1,Q80-1)</f>
        <v>-64</v>
      </c>
      <c r="S80" s="2" t="n">
        <f aca="false">MAX(R79+IF($A80=S$4,1,-1),S79-1,R80-1)</f>
        <v>-64</v>
      </c>
      <c r="T80" s="2" t="n">
        <f aca="false">MAX(S79+IF($A80=T$4,1,-1),T79-1,S80-1)</f>
        <v>-64</v>
      </c>
      <c r="U80" s="2" t="n">
        <f aca="false">MAX(T79+IF($A80=U$4,1,-1),U79-1,T80-1)</f>
        <v>-62</v>
      </c>
      <c r="V80" s="2" t="n">
        <f aca="false">MAX(U79+IF($A80=V$4,1,-1),V79-1,U80-1)</f>
        <v>-62</v>
      </c>
      <c r="W80" s="2" t="n">
        <f aca="false">MAX(V79+IF($A80=W$4,1,-1),W79-1,V80-1)</f>
        <v>-62</v>
      </c>
      <c r="X80" s="2" t="n">
        <f aca="false">MAX(W79+IF($A80=X$4,1,-1),X79-1,W80-1)</f>
        <v>-62</v>
      </c>
      <c r="Y80" s="2" t="n">
        <f aca="false">MAX(X79+IF($A80=Y$4,1,-1),Y79-1,X80-1)</f>
        <v>-62</v>
      </c>
      <c r="Z80" s="2" t="n">
        <f aca="false">MAX(Y79+IF($A80=Z$4,1,-1),Z79-1,Y80-1)</f>
        <v>-63</v>
      </c>
      <c r="AA80" s="2" t="n">
        <f aca="false">MAX(Z79+IF($A80=AA$4,1,-1),AA79-1,Z80-1)</f>
        <v>-63</v>
      </c>
      <c r="AB80" s="2" t="n">
        <f aca="false">MAX(AA79+IF($A80=AB$4,1,-1),AB79-1,AA80-1)</f>
        <v>-63</v>
      </c>
      <c r="AC80" s="2" t="n">
        <f aca="false">MAX(AB79+IF($A80=AC$4,1,-1),AC79-1,AB80-1)</f>
        <v>-63</v>
      </c>
      <c r="AD80" s="2" t="n">
        <f aca="false">MAX(AC79+IF($A80=AD$4,1,-1),AD79-1,AC80-1)</f>
        <v>-63</v>
      </c>
      <c r="AE80" s="2" t="n">
        <f aca="false">MAX(AD79+IF($A80=AE$4,1,-1),AE79-1,AD80-1)</f>
        <v>-63</v>
      </c>
      <c r="AF80" s="2" t="n">
        <f aca="false">MAX(AE79+IF($A80=AF$4,1,-1),AF79-1,AE80-1)</f>
        <v>-63</v>
      </c>
      <c r="AG80" s="2" t="n">
        <f aca="false">MAX(AF79+IF($A80=AG$4,1,-1),AG79-1,AF80-1)</f>
        <v>-63</v>
      </c>
      <c r="AH80" s="2" t="n">
        <f aca="false">MAX(AG79+IF($A80=AH$4,1,-1),AH79-1,AG80-1)</f>
        <v>-63</v>
      </c>
      <c r="AI80" s="2" t="n">
        <f aca="false">MAX(AH79+IF($A80=AI$4,1,-1),AI79-1,AH80-1)</f>
        <v>-63</v>
      </c>
      <c r="AJ80" s="2" t="n">
        <f aca="false">MAX(AI79+IF($A80=AJ$4,1,-1),AJ79-1,AI80-1)</f>
        <v>-63</v>
      </c>
      <c r="AK80" s="2" t="n">
        <f aca="false">MAX(AJ79+IF($A80=AK$4,1,-1),AK79-1,AJ80-1)</f>
        <v>-63</v>
      </c>
      <c r="AL80" s="2" t="n">
        <f aca="false">MAX(AK79+IF($A80=AL$4,1,-1),AL79-1,AK80-1)</f>
        <v>-63</v>
      </c>
      <c r="AM80" s="2" t="n">
        <f aca="false">MAX(AL79+IF($A80=AM$4,1,-1),AM79-1,AL80-1)</f>
        <v>-63</v>
      </c>
      <c r="AN80" s="2" t="n">
        <f aca="false">MAX(AM79+IF($A80=AN$4,1,-1),AN79-1,AM80-1)</f>
        <v>-63</v>
      </c>
      <c r="AO80" s="2" t="n">
        <f aca="false">MAX(AN79+IF($A80=AO$4,1,-1),AO79-1,AN80-1)</f>
        <v>-63</v>
      </c>
      <c r="AP80" s="2" t="n">
        <f aca="false">MAX(AO79+IF($A80=AP$4,1,-1),AP79-1,AO80-1)</f>
        <v>-63</v>
      </c>
      <c r="AQ80" s="2" t="n">
        <f aca="false">MAX(AP79+IF($A80=AQ$4,1,-1),AQ79-1,AP80-1)</f>
        <v>-63</v>
      </c>
      <c r="AR80" s="2" t="n">
        <f aca="false">MAX(AQ79+IF($A80=AR$4,1,-1),AR79-1,AQ80-1)</f>
        <v>-63</v>
      </c>
      <c r="AS80" s="2" t="n">
        <f aca="false">MAX(AR79+IF($A80=AS$4,1,-1),AS79-1,AR80-1)</f>
        <v>-64</v>
      </c>
      <c r="AT80" s="2" t="n">
        <f aca="false">MAX(AS79+IF($A80=AT$4,1,-1),AT79-1,AS80-1)</f>
        <v>-65</v>
      </c>
      <c r="AU80" s="2" t="n">
        <f aca="false">MAX(AT79+IF($A80=AU$4,1,-1),AU79-1,AT80-1)</f>
        <v>-65</v>
      </c>
      <c r="AV80" s="2" t="n">
        <f aca="false">MAX(AU79+IF($A80=AV$4,1,-1),AV79-1,AU80-1)</f>
        <v>-65</v>
      </c>
      <c r="AW80" s="2" t="n">
        <f aca="false">MAX(AV79+IF($A80=AW$4,1,-1),AW79-1,AV80-1)</f>
        <v>-65</v>
      </c>
      <c r="AX80" s="2" t="n">
        <f aca="false">MAX(AW79+IF($A80=AX$4,1,-1),AX79-1,AW80-1)</f>
        <v>-65</v>
      </c>
      <c r="AY80" s="2" t="n">
        <f aca="false">MAX(AX79+IF($A80=AY$4,1,-1),AY79-1,AX80-1)</f>
        <v>-65</v>
      </c>
      <c r="AZ80" s="2" t="n">
        <f aca="false">MAX(AY79+IF($A80=AZ$4,1,-1),AZ79-1,AY80-1)</f>
        <v>-65</v>
      </c>
      <c r="BA80" s="2" t="n">
        <f aca="false">MAX(AZ79+IF($A80=BA$4,1,-1),BA79-1,AZ80-1)</f>
        <v>-65</v>
      </c>
      <c r="BB80" s="2" t="n">
        <f aca="false">MAX(BA79+IF($A80=BB$4,1,-1),BB79-1,BA80-1)</f>
        <v>-65</v>
      </c>
      <c r="BC80" s="2" t="n">
        <f aca="false">MAX(BB79+IF($A80=BC$4,1,-1),BC79-1,BB80-1)</f>
        <v>-65</v>
      </c>
      <c r="BD80" s="2" t="n">
        <f aca="false">MAX(BC79+IF($A80=BD$4,1,-1),BD79-1,BC80-1)</f>
        <v>-65</v>
      </c>
      <c r="BE80" s="2" t="n">
        <f aca="false">MAX(BD79+IF($A80=BE$4,1,-1),BE79-1,BD80-1)</f>
        <v>-65</v>
      </c>
      <c r="BF80" s="2" t="n">
        <f aca="false">MAX(BE79+IF($A80=BF$4,1,-1),BF79-1,BE80-1)</f>
        <v>-65</v>
      </c>
      <c r="BG80" s="2" t="n">
        <f aca="false">MAX(BF79+IF($A80=BG$4,1,-1),BG79-1,BF80-1)</f>
        <v>-65</v>
      </c>
      <c r="BH80" s="2" t="n">
        <f aca="false">MAX(BG79+IF($A80=BH$4,1,-1),BH79-1,BG80-1)</f>
        <v>-65</v>
      </c>
      <c r="BI80" s="2" t="n">
        <f aca="false">MAX(BH79+IF($A80=BI$4,1,-1),BI79-1,BH80-1)</f>
        <v>-65</v>
      </c>
      <c r="BJ80" s="2" t="n">
        <f aca="false">MAX(BI79+IF($A80=BJ$4,1,-1),BJ79-1,BI80-1)</f>
        <v>-65</v>
      </c>
      <c r="BK80" s="2" t="n">
        <f aca="false">MAX(BJ79+IF($A80=BK$4,1,-1),BK79-1,BJ80-1)</f>
        <v>-65</v>
      </c>
      <c r="BL80" s="2" t="n">
        <f aca="false">MAX(BK79+IF($A80=BL$4,1,-1),BL79-1,BK80-1)</f>
        <v>-63</v>
      </c>
      <c r="BM80" s="2" t="n">
        <f aca="false">MAX(BL79+IF($A80=BM$4,1,-1),BM79-1,BL80-1)</f>
        <v>-63</v>
      </c>
      <c r="BN80" s="2" t="n">
        <f aca="false">MAX(BM79+IF($A80=BN$4,1,-1),BN79-1,BM80-1)</f>
        <v>-64</v>
      </c>
      <c r="BO80" s="2" t="n">
        <f aca="false">MAX(BN79+IF($A80=BO$4,1,-1),BO79-1,BN80-1)</f>
        <v>-65</v>
      </c>
      <c r="BP80" s="2" t="n">
        <f aca="false">MAX(BO79+IF($A80=BP$4,1,-1),BP79-1,BO80-1)</f>
        <v>-66</v>
      </c>
      <c r="BQ80" s="2" t="n">
        <f aca="false">MAX(BP79+IF($A80=BQ$4,1,-1),BQ79-1,BP80-1)</f>
        <v>-67</v>
      </c>
      <c r="BR80" s="2" t="n">
        <f aca="false">MAX(BQ79+IF($A80=BR$4,1,-1),BR79-1,BQ80-1)</f>
        <v>-67</v>
      </c>
      <c r="BS80" s="2" t="n">
        <f aca="false">MAX(BR79+IF($A80=BS$4,1,-1),BS79-1,BR80-1)</f>
        <v>-67</v>
      </c>
      <c r="BT80" s="2" t="n">
        <f aca="false">MAX(BS79+IF($A80=BT$4,1,-1),BT79-1,BS80-1)</f>
        <v>-67</v>
      </c>
      <c r="BU80" s="2" t="n">
        <f aca="false">MAX(BT79+IF($A80=BU$4,1,-1),BU79-1,BT80-1)</f>
        <v>-67</v>
      </c>
      <c r="BV80" s="2" t="n">
        <f aca="false">MAX(BU79+IF($A80=BV$4,1,-1),BV79-1,BU80-1)</f>
        <v>-67</v>
      </c>
      <c r="BW80" s="2" t="n">
        <f aca="false">MAX(BV79+IF($A80=BW$4,1,-1),BW79-1,BV80-1)</f>
        <v>-67</v>
      </c>
      <c r="BX80" s="2" t="n">
        <f aca="false">MAX(BW79+IF($A80=BX$4,1,-1),BX79-1,BW80-1)</f>
        <v>-67</v>
      </c>
      <c r="BY80" s="2" t="n">
        <f aca="false">MAX(BX79+IF($A80=BY$4,1,-1),BY79-1,BX80-1)</f>
        <v>-67</v>
      </c>
      <c r="BZ80" s="2" t="n">
        <f aca="false">MAX(BY79+IF($A80=BZ$4,1,-1),BZ79-1,BY80-1)</f>
        <v>-67</v>
      </c>
      <c r="CA80" s="2" t="n">
        <f aca="false">MAX(BZ79+IF($A80=CA$4,1,-1),CA79-1,BZ80-1)</f>
        <v>-68</v>
      </c>
      <c r="CB80" s="2" t="n">
        <f aca="false">MAX(CA79+IF($A80=CB$4,1,-1),CB79-1,CA80-1)</f>
        <v>-69</v>
      </c>
      <c r="CC80" s="2" t="n">
        <f aca="false">MAX(CB79+IF($A80=CC$4,1,-1),CC79-1,CB80-1)</f>
        <v>-70</v>
      </c>
      <c r="CD80" s="2" t="n">
        <f aca="false">MAX(CC79+IF($A80=CD$4,1,-1),CD79-1,CC80-1)</f>
        <v>-71</v>
      </c>
      <c r="CE80" s="2" t="n">
        <f aca="false">MAX(CD79+IF($A80=CE$4,1,-1),CE79-1,CD80-1)</f>
        <v>-72</v>
      </c>
      <c r="CF80" s="2" t="n">
        <f aca="false">MAX(CE79+IF($A80=CF$4,1,-1),CF79-1,CE80-1)</f>
        <v>-73</v>
      </c>
      <c r="CG80" s="2" t="n">
        <f aca="false">MAX(CF79+IF($A80=CG$4,1,-1),CG79-1,CF80-1)</f>
        <v>-74</v>
      </c>
      <c r="CH80" s="2" t="n">
        <f aca="false">MAX(CG79+IF($A80=CH$4,1,-1),CH79-1,CG80-1)</f>
        <v>-75</v>
      </c>
      <c r="CI80" s="2" t="n">
        <f aca="false">MAX(CH79+IF($A80=CI$4,1,-1),CI79-1,CH80-1)</f>
        <v>-76</v>
      </c>
      <c r="CJ80" s="2" t="n">
        <f aca="false">MAX(CI79+IF($A80=CJ$4,1,-1),CJ79-1,CI80-1)</f>
        <v>-77</v>
      </c>
      <c r="CK80" s="2" t="n">
        <f aca="false">MAX(CJ79+IF($A80=CK$4,1,-1),CK79-1,CJ80-1)</f>
        <v>-78</v>
      </c>
      <c r="CL80" s="2" t="n">
        <f aca="false">MAX(CK79+IF($A80=CL$4,1,-1),CL79-1,CK80-1)</f>
        <v>-79</v>
      </c>
      <c r="CM80" s="2" t="n">
        <f aca="false">MAX(CL79+IF($A80=CM$4,1,-1),CM79-1,CL80-1)</f>
        <v>-80</v>
      </c>
      <c r="CN80" s="2" t="n">
        <f aca="false">MAX(CM79+IF($A80=CN$4,1,-1),CN79-1,CM80-1)</f>
        <v>-81</v>
      </c>
      <c r="CO80" s="2" t="n">
        <f aca="false">MAX(CN79+IF($A80=CO$4,1,-1),CO79-1,CN80-1)</f>
        <v>-82</v>
      </c>
      <c r="CP80" s="2" t="n">
        <f aca="false">MAX(CO79+IF($A80=CP$4,1,-1),CP79-1,CO80-1)</f>
        <v>-83</v>
      </c>
      <c r="CQ80" s="2" t="n">
        <f aca="false">MAX(CP79+IF($A80=CQ$4,1,-1),CQ79-1,CP80-1)</f>
        <v>-83</v>
      </c>
    </row>
    <row r="81" customFormat="false" ht="15" hidden="false" customHeight="false" outlineLevel="0" collapsed="false">
      <c r="A81" s="4" t="s">
        <v>92</v>
      </c>
      <c r="B81" s="12" t="n">
        <v>-76</v>
      </c>
      <c r="C81" s="2" t="n">
        <f aca="false">MAX(B80+IF($A81=C$4,1,-1),C80-1,B81-1)</f>
        <v>-76</v>
      </c>
      <c r="D81" s="2" t="n">
        <f aca="false">MAX(C80+IF($A81=D$4,1,-1),D80-1,C81-1)</f>
        <v>-74</v>
      </c>
      <c r="E81" s="2" t="n">
        <f aca="false">MAX(D80+IF($A81=E$4,1,-1),E80-1,D81-1)</f>
        <v>-72</v>
      </c>
      <c r="F81" s="2" t="n">
        <f aca="false">MAX(E80+IF($A81=F$4,1,-1),F80-1,E81-1)</f>
        <v>-70</v>
      </c>
      <c r="G81" s="2" t="n">
        <f aca="false">MAX(F80+IF($A81=G$4,1,-1),G80-1,F81-1)</f>
        <v>-70</v>
      </c>
      <c r="H81" s="2" t="n">
        <f aca="false">MAX(G80+IF($A81=H$4,1,-1),H80-1,G81-1)</f>
        <v>-70</v>
      </c>
      <c r="I81" s="2" t="n">
        <f aca="false">MAX(H80+IF($A81=I$4,1,-1),I80-1,H81-1)</f>
        <v>-70</v>
      </c>
      <c r="J81" s="2" t="n">
        <f aca="false">MAX(I80+IF($A81=J$4,1,-1),J80-1,I81-1)</f>
        <v>-70</v>
      </c>
      <c r="K81" s="2" t="n">
        <f aca="false">MAX(J80+IF($A81=K$4,1,-1),K80-1,J81-1)</f>
        <v>-68</v>
      </c>
      <c r="L81" s="2" t="n">
        <f aca="false">MAX(K80+IF($A81=L$4,1,-1),L80-1,K81-1)</f>
        <v>-68</v>
      </c>
      <c r="M81" s="2" t="n">
        <f aca="false">MAX(L80+IF($A81=M$4,1,-1),M80-1,L81-1)</f>
        <v>-68</v>
      </c>
      <c r="N81" s="2" t="n">
        <f aca="false">MAX(M80+IF($A81=N$4,1,-1),N80-1,M81-1)</f>
        <v>-66</v>
      </c>
      <c r="O81" s="2" t="n">
        <f aca="false">MAX(N80+IF($A81=O$4,1,-1),O80-1,N81-1)</f>
        <v>-65</v>
      </c>
      <c r="P81" s="2" t="n">
        <f aca="false">MAX(O80+IF($A81=P$4,1,-1),P80-1,O81-1)</f>
        <v>-65</v>
      </c>
      <c r="Q81" s="2" t="n">
        <f aca="false">MAX(P80+IF($A81=Q$4,1,-1),Q80-1,P81-1)</f>
        <v>-65</v>
      </c>
      <c r="R81" s="2" t="n">
        <f aca="false">MAX(Q80+IF($A81=R$4,1,-1),R80-1,Q81-1)</f>
        <v>-65</v>
      </c>
      <c r="S81" s="2" t="n">
        <f aca="false">MAX(R80+IF($A81=S$4,1,-1),S80-1,R81-1)</f>
        <v>-65</v>
      </c>
      <c r="T81" s="2" t="n">
        <f aca="false">MAX(S80+IF($A81=T$4,1,-1),T80-1,S81-1)</f>
        <v>-65</v>
      </c>
      <c r="U81" s="2" t="n">
        <f aca="false">MAX(T80+IF($A81=U$4,1,-1),U80-1,T81-1)</f>
        <v>-63</v>
      </c>
      <c r="V81" s="2" t="n">
        <f aca="false">MAX(U80+IF($A81=V$4,1,-1),V80-1,U81-1)</f>
        <v>-63</v>
      </c>
      <c r="W81" s="2" t="n">
        <f aca="false">MAX(V80+IF($A81=W$4,1,-1),W80-1,V81-1)</f>
        <v>-63</v>
      </c>
      <c r="X81" s="2" t="n">
        <f aca="false">MAX(W80+IF($A81=X$4,1,-1),X80-1,W81-1)</f>
        <v>-63</v>
      </c>
      <c r="Y81" s="2" t="n">
        <f aca="false">MAX(X80+IF($A81=Y$4,1,-1),Y80-1,X81-1)</f>
        <v>-63</v>
      </c>
      <c r="Z81" s="2" t="n">
        <f aca="false">MAX(Y80+IF($A81=Z$4,1,-1),Z80-1,Y81-1)</f>
        <v>-63</v>
      </c>
      <c r="AA81" s="2" t="n">
        <f aca="false">MAX(Z80+IF($A81=AA$4,1,-1),AA80-1,Z81-1)</f>
        <v>-64</v>
      </c>
      <c r="AB81" s="2" t="n">
        <f aca="false">MAX(AA80+IF($A81=AB$4,1,-1),AB80-1,AA81-1)</f>
        <v>-64</v>
      </c>
      <c r="AC81" s="2" t="n">
        <f aca="false">MAX(AB80+IF($A81=AC$4,1,-1),AC80-1,AB81-1)</f>
        <v>-64</v>
      </c>
      <c r="AD81" s="2" t="n">
        <f aca="false">MAX(AC80+IF($A81=AD$4,1,-1),AD80-1,AC81-1)</f>
        <v>-64</v>
      </c>
      <c r="AE81" s="2" t="n">
        <f aca="false">MAX(AD80+IF($A81=AE$4,1,-1),AE80-1,AD81-1)</f>
        <v>-64</v>
      </c>
      <c r="AF81" s="2" t="n">
        <f aca="false">MAX(AE80+IF($A81=AF$4,1,-1),AF80-1,AE81-1)</f>
        <v>-64</v>
      </c>
      <c r="AG81" s="2" t="n">
        <f aca="false">MAX(AF80+IF($A81=AG$4,1,-1),AG80-1,AF81-1)</f>
        <v>-64</v>
      </c>
      <c r="AH81" s="2" t="n">
        <f aca="false">MAX(AG80+IF($A81=AH$4,1,-1),AH80-1,AG81-1)</f>
        <v>-64</v>
      </c>
      <c r="AI81" s="2" t="n">
        <f aca="false">MAX(AH80+IF($A81=AI$4,1,-1),AI80-1,AH81-1)</f>
        <v>-64</v>
      </c>
      <c r="AJ81" s="2" t="n">
        <f aca="false">MAX(AI80+IF($A81=AJ$4,1,-1),AJ80-1,AI81-1)</f>
        <v>-64</v>
      </c>
      <c r="AK81" s="2" t="n">
        <f aca="false">MAX(AJ80+IF($A81=AK$4,1,-1),AK80-1,AJ81-1)</f>
        <v>-64</v>
      </c>
      <c r="AL81" s="2" t="n">
        <f aca="false">MAX(AK80+IF($A81=AL$4,1,-1),AL80-1,AK81-1)</f>
        <v>-64</v>
      </c>
      <c r="AM81" s="2" t="n">
        <f aca="false">MAX(AL80+IF($A81=AM$4,1,-1),AM80-1,AL81-1)</f>
        <v>-64</v>
      </c>
      <c r="AN81" s="2" t="n">
        <f aca="false">MAX(AM80+IF($A81=AN$4,1,-1),AN80-1,AM81-1)</f>
        <v>-64</v>
      </c>
      <c r="AO81" s="2" t="n">
        <f aca="false">MAX(AN80+IF($A81=AO$4,1,-1),AO80-1,AN81-1)</f>
        <v>-64</v>
      </c>
      <c r="AP81" s="2" t="n">
        <f aca="false">MAX(AO80+IF($A81=AP$4,1,-1),AP80-1,AO81-1)</f>
        <v>-64</v>
      </c>
      <c r="AQ81" s="2" t="n">
        <f aca="false">MAX(AP80+IF($A81=AQ$4,1,-1),AQ80-1,AP81-1)</f>
        <v>-64</v>
      </c>
      <c r="AR81" s="2" t="n">
        <f aca="false">MAX(AQ80+IF($A81=AR$4,1,-1),AR80-1,AQ81-1)</f>
        <v>-64</v>
      </c>
      <c r="AS81" s="2" t="n">
        <f aca="false">MAX(AR80+IF($A81=AS$4,1,-1),AS80-1,AR81-1)</f>
        <v>-64</v>
      </c>
      <c r="AT81" s="2" t="n">
        <f aca="false">MAX(AS80+IF($A81=AT$4,1,-1),AT80-1,AS81-1)</f>
        <v>-65</v>
      </c>
      <c r="AU81" s="2" t="n">
        <f aca="false">MAX(AT80+IF($A81=AU$4,1,-1),AU80-1,AT81-1)</f>
        <v>-66</v>
      </c>
      <c r="AV81" s="2" t="n">
        <f aca="false">MAX(AU80+IF($A81=AV$4,1,-1),AV80-1,AU81-1)</f>
        <v>-66</v>
      </c>
      <c r="AW81" s="2" t="n">
        <f aca="false">MAX(AV80+IF($A81=AW$4,1,-1),AW80-1,AV81-1)</f>
        <v>-66</v>
      </c>
      <c r="AX81" s="2" t="n">
        <f aca="false">MAX(AW80+IF($A81=AX$4,1,-1),AX80-1,AW81-1)</f>
        <v>-66</v>
      </c>
      <c r="AY81" s="2" t="n">
        <f aca="false">MAX(AX80+IF($A81=AY$4,1,-1),AY80-1,AX81-1)</f>
        <v>-66</v>
      </c>
      <c r="AZ81" s="2" t="n">
        <f aca="false">MAX(AY80+IF($A81=AZ$4,1,-1),AZ80-1,AY81-1)</f>
        <v>-66</v>
      </c>
      <c r="BA81" s="2" t="n">
        <f aca="false">MAX(AZ80+IF($A81=BA$4,1,-1),BA80-1,AZ81-1)</f>
        <v>-66</v>
      </c>
      <c r="BB81" s="2" t="n">
        <f aca="false">MAX(BA80+IF($A81=BB$4,1,-1),BB80-1,BA81-1)</f>
        <v>-66</v>
      </c>
      <c r="BC81" s="2" t="n">
        <f aca="false">MAX(BB80+IF($A81=BC$4,1,-1),BC80-1,BB81-1)</f>
        <v>-66</v>
      </c>
      <c r="BD81" s="2" t="n">
        <f aca="false">MAX(BC80+IF($A81=BD$4,1,-1),BD80-1,BC81-1)</f>
        <v>-66</v>
      </c>
      <c r="BE81" s="2" t="n">
        <f aca="false">MAX(BD80+IF($A81=BE$4,1,-1),BE80-1,BD81-1)</f>
        <v>-66</v>
      </c>
      <c r="BF81" s="2" t="n">
        <f aca="false">MAX(BE80+IF($A81=BF$4,1,-1),BF80-1,BE81-1)</f>
        <v>-66</v>
      </c>
      <c r="BG81" s="2" t="n">
        <f aca="false">MAX(BF80+IF($A81=BG$4,1,-1),BG80-1,BF81-1)</f>
        <v>-66</v>
      </c>
      <c r="BH81" s="2" t="n">
        <f aca="false">MAX(BG80+IF($A81=BH$4,1,-1),BH80-1,BG81-1)</f>
        <v>-66</v>
      </c>
      <c r="BI81" s="2" t="n">
        <f aca="false">MAX(BH80+IF($A81=BI$4,1,-1),BI80-1,BH81-1)</f>
        <v>-64</v>
      </c>
      <c r="BJ81" s="2" t="n">
        <f aca="false">MAX(BI80+IF($A81=BJ$4,1,-1),BJ80-1,BI81-1)</f>
        <v>-65</v>
      </c>
      <c r="BK81" s="2" t="n">
        <f aca="false">MAX(BJ80+IF($A81=BK$4,1,-1),BK80-1,BJ81-1)</f>
        <v>-66</v>
      </c>
      <c r="BL81" s="2" t="n">
        <f aca="false">MAX(BK80+IF($A81=BL$4,1,-1),BL80-1,BK81-1)</f>
        <v>-64</v>
      </c>
      <c r="BM81" s="2" t="n">
        <f aca="false">MAX(BL80+IF($A81=BM$4,1,-1),BM80-1,BL81-1)</f>
        <v>-64</v>
      </c>
      <c r="BN81" s="2" t="n">
        <f aca="false">MAX(BM80+IF($A81=BN$4,1,-1),BN80-1,BM81-1)</f>
        <v>-64</v>
      </c>
      <c r="BO81" s="2" t="n">
        <f aca="false">MAX(BN80+IF($A81=BO$4,1,-1),BO80-1,BN81-1)</f>
        <v>-65</v>
      </c>
      <c r="BP81" s="2" t="n">
        <f aca="false">MAX(BO80+IF($A81=BP$4,1,-1),BP80-1,BO81-1)</f>
        <v>-66</v>
      </c>
      <c r="BQ81" s="2" t="n">
        <f aca="false">MAX(BP80+IF($A81=BQ$4,1,-1),BQ80-1,BP81-1)</f>
        <v>-67</v>
      </c>
      <c r="BR81" s="2" t="n">
        <f aca="false">MAX(BQ80+IF($A81=BR$4,1,-1),BR80-1,BQ81-1)</f>
        <v>-68</v>
      </c>
      <c r="BS81" s="2" t="n">
        <f aca="false">MAX(BR80+IF($A81=BS$4,1,-1),BS80-1,BR81-1)</f>
        <v>-68</v>
      </c>
      <c r="BT81" s="2" t="n">
        <f aca="false">MAX(BS80+IF($A81=BT$4,1,-1),BT80-1,BS81-1)</f>
        <v>-68</v>
      </c>
      <c r="BU81" s="2" t="n">
        <f aca="false">MAX(BT80+IF($A81=BU$4,1,-1),BU80-1,BT81-1)</f>
        <v>-68</v>
      </c>
      <c r="BV81" s="2" t="n">
        <f aca="false">MAX(BU80+IF($A81=BV$4,1,-1),BV80-1,BU81-1)</f>
        <v>-68</v>
      </c>
      <c r="BW81" s="2" t="n">
        <f aca="false">MAX(BV80+IF($A81=BW$4,1,-1),BW80-1,BV81-1)</f>
        <v>-68</v>
      </c>
      <c r="BX81" s="2" t="n">
        <f aca="false">MAX(BW80+IF($A81=BX$4,1,-1),BX80-1,BW81-1)</f>
        <v>-68</v>
      </c>
      <c r="BY81" s="2" t="n">
        <f aca="false">MAX(BX80+IF($A81=BY$4,1,-1),BY80-1,BX81-1)</f>
        <v>-68</v>
      </c>
      <c r="BZ81" s="2" t="n">
        <f aca="false">MAX(BY80+IF($A81=BZ$4,1,-1),BZ80-1,BY81-1)</f>
        <v>-68</v>
      </c>
      <c r="CA81" s="2" t="n">
        <f aca="false">MAX(BZ80+IF($A81=CA$4,1,-1),CA80-1,BZ81-1)</f>
        <v>-68</v>
      </c>
      <c r="CB81" s="2" t="n">
        <f aca="false">MAX(CA80+IF($A81=CB$4,1,-1),CB80-1,CA81-1)</f>
        <v>-69</v>
      </c>
      <c r="CC81" s="2" t="n">
        <f aca="false">MAX(CB80+IF($A81=CC$4,1,-1),CC80-1,CB81-1)</f>
        <v>-70</v>
      </c>
      <c r="CD81" s="2" t="n">
        <f aca="false">MAX(CC80+IF($A81=CD$4,1,-1),CD80-1,CC81-1)</f>
        <v>-71</v>
      </c>
      <c r="CE81" s="2" t="n">
        <f aca="false">MAX(CD80+IF($A81=CE$4,1,-1),CE80-1,CD81-1)</f>
        <v>-72</v>
      </c>
      <c r="CF81" s="2" t="n">
        <f aca="false">MAX(CE80+IF($A81=CF$4,1,-1),CF80-1,CE81-1)</f>
        <v>-73</v>
      </c>
      <c r="CG81" s="2" t="n">
        <f aca="false">MAX(CF80+IF($A81=CG$4,1,-1),CG80-1,CF81-1)</f>
        <v>-74</v>
      </c>
      <c r="CH81" s="2" t="n">
        <f aca="false">MAX(CG80+IF($A81=CH$4,1,-1),CH80-1,CG81-1)</f>
        <v>-75</v>
      </c>
      <c r="CI81" s="2" t="n">
        <f aca="false">MAX(CH80+IF($A81=CI$4,1,-1),CI80-1,CH81-1)</f>
        <v>-76</v>
      </c>
      <c r="CJ81" s="2" t="n">
        <f aca="false">MAX(CI80+IF($A81=CJ$4,1,-1),CJ80-1,CI81-1)</f>
        <v>-77</v>
      </c>
      <c r="CK81" s="2" t="n">
        <f aca="false">MAX(CJ80+IF($A81=CK$4,1,-1),CK80-1,CJ81-1)</f>
        <v>-78</v>
      </c>
      <c r="CL81" s="2" t="n">
        <f aca="false">MAX(CK80+IF($A81=CL$4,1,-1),CL80-1,CK81-1)</f>
        <v>-79</v>
      </c>
      <c r="CM81" s="2" t="n">
        <f aca="false">MAX(CL80+IF($A81=CM$4,1,-1),CM80-1,CL81-1)</f>
        <v>-80</v>
      </c>
      <c r="CN81" s="2" t="n">
        <f aca="false">MAX(CM80+IF($A81=CN$4,1,-1),CN80-1,CM81-1)</f>
        <v>-81</v>
      </c>
      <c r="CO81" s="2" t="n">
        <f aca="false">MAX(CN80+IF($A81=CO$4,1,-1),CO80-1,CN81-1)</f>
        <v>-82</v>
      </c>
      <c r="CP81" s="2" t="n">
        <f aca="false">MAX(CO80+IF($A81=CP$4,1,-1),CP80-1,CO81-1)</f>
        <v>-83</v>
      </c>
      <c r="CQ81" s="2" t="n">
        <f aca="false">MAX(CP80+IF($A81=CQ$4,1,-1),CQ80-1,CP81-1)</f>
        <v>-84</v>
      </c>
    </row>
    <row r="82" customFormat="false" ht="15" hidden="false" customHeight="false" outlineLevel="0" collapsed="false">
      <c r="A82" s="4" t="s">
        <v>156</v>
      </c>
      <c r="B82" s="12" t="n">
        <v>-77</v>
      </c>
      <c r="C82" s="2" t="n">
        <f aca="false">MAX(B81+IF($A82=C$4,1,-1),C81-1,B82-1)</f>
        <v>-77</v>
      </c>
      <c r="D82" s="2" t="n">
        <f aca="false">MAX(C81+IF($A82=D$4,1,-1),D81-1,C82-1)</f>
        <v>-75</v>
      </c>
      <c r="E82" s="2" t="n">
        <f aca="false">MAX(D81+IF($A82=E$4,1,-1),E81-1,D82-1)</f>
        <v>-73</v>
      </c>
      <c r="F82" s="2" t="n">
        <f aca="false">MAX(E81+IF($A82=F$4,1,-1),F81-1,E82-1)</f>
        <v>-71</v>
      </c>
      <c r="G82" s="2" t="n">
        <f aca="false">MAX(F81+IF($A82=G$4,1,-1),G81-1,F82-1)</f>
        <v>-71</v>
      </c>
      <c r="H82" s="2" t="n">
        <f aca="false">MAX(G81+IF($A82=H$4,1,-1),H81-1,G82-1)</f>
        <v>-71</v>
      </c>
      <c r="I82" s="2" t="n">
        <f aca="false">MAX(H81+IF($A82=I$4,1,-1),I81-1,H82-1)</f>
        <v>-71</v>
      </c>
      <c r="J82" s="2" t="n">
        <f aca="false">MAX(I81+IF($A82=J$4,1,-1),J81-1,I82-1)</f>
        <v>-71</v>
      </c>
      <c r="K82" s="2" t="n">
        <f aca="false">MAX(J81+IF($A82=K$4,1,-1),K81-1,J82-1)</f>
        <v>-69</v>
      </c>
      <c r="L82" s="2" t="n">
        <f aca="false">MAX(K81+IF($A82=L$4,1,-1),L81-1,K82-1)</f>
        <v>-69</v>
      </c>
      <c r="M82" s="2" t="n">
        <f aca="false">MAX(L81+IF($A82=M$4,1,-1),M81-1,L82-1)</f>
        <v>-69</v>
      </c>
      <c r="N82" s="2" t="n">
        <f aca="false">MAX(M81+IF($A82=N$4,1,-1),N81-1,M82-1)</f>
        <v>-67</v>
      </c>
      <c r="O82" s="2" t="n">
        <f aca="false">MAX(N81+IF($A82=O$4,1,-1),O81-1,N82-1)</f>
        <v>-66</v>
      </c>
      <c r="P82" s="2" t="n">
        <f aca="false">MAX(O81+IF($A82=P$4,1,-1),P81-1,O82-1)</f>
        <v>-66</v>
      </c>
      <c r="Q82" s="2" t="n">
        <f aca="false">MAX(P81+IF($A82=Q$4,1,-1),Q81-1,P82-1)</f>
        <v>-66</v>
      </c>
      <c r="R82" s="2" t="n">
        <f aca="false">MAX(Q81+IF($A82=R$4,1,-1),R81-1,Q82-1)</f>
        <v>-66</v>
      </c>
      <c r="S82" s="2" t="n">
        <f aca="false">MAX(R81+IF($A82=S$4,1,-1),S81-1,R82-1)</f>
        <v>-66</v>
      </c>
      <c r="T82" s="2" t="n">
        <f aca="false">MAX(S81+IF($A82=T$4,1,-1),T81-1,S82-1)</f>
        <v>-66</v>
      </c>
      <c r="U82" s="2" t="n">
        <f aca="false">MAX(T81+IF($A82=U$4,1,-1),U81-1,T82-1)</f>
        <v>-64</v>
      </c>
      <c r="V82" s="2" t="n">
        <f aca="false">MAX(U81+IF($A82=V$4,1,-1),V81-1,U82-1)</f>
        <v>-64</v>
      </c>
      <c r="W82" s="2" t="n">
        <f aca="false">MAX(V81+IF($A82=W$4,1,-1),W81-1,V82-1)</f>
        <v>-64</v>
      </c>
      <c r="X82" s="2" t="n">
        <f aca="false">MAX(W81+IF($A82=X$4,1,-1),X81-1,W82-1)</f>
        <v>-64</v>
      </c>
      <c r="Y82" s="2" t="n">
        <f aca="false">MAX(X81+IF($A82=Y$4,1,-1),Y81-1,X82-1)</f>
        <v>-64</v>
      </c>
      <c r="Z82" s="2" t="n">
        <f aca="false">MAX(Y81+IF($A82=Z$4,1,-1),Z81-1,Y82-1)</f>
        <v>-64</v>
      </c>
      <c r="AA82" s="2" t="n">
        <f aca="false">MAX(Z81+IF($A82=AA$4,1,-1),AA81-1,Z82-1)</f>
        <v>-64</v>
      </c>
      <c r="AB82" s="2" t="n">
        <f aca="false">MAX(AA81+IF($A82=AB$4,1,-1),AB81-1,AA82-1)</f>
        <v>-65</v>
      </c>
      <c r="AC82" s="2" t="n">
        <f aca="false">MAX(AB81+IF($A82=AC$4,1,-1),AC81-1,AB82-1)</f>
        <v>-65</v>
      </c>
      <c r="AD82" s="2" t="n">
        <f aca="false">MAX(AC81+IF($A82=AD$4,1,-1),AD81-1,AC82-1)</f>
        <v>-65</v>
      </c>
      <c r="AE82" s="2" t="n">
        <f aca="false">MAX(AD81+IF($A82=AE$4,1,-1),AE81-1,AD82-1)</f>
        <v>-65</v>
      </c>
      <c r="AF82" s="2" t="n">
        <f aca="false">MAX(AE81+IF($A82=AF$4,1,-1),AF81-1,AE82-1)</f>
        <v>-65</v>
      </c>
      <c r="AG82" s="2" t="n">
        <f aca="false">MAX(AF81+IF($A82=AG$4,1,-1),AG81-1,AF82-1)</f>
        <v>-65</v>
      </c>
      <c r="AH82" s="2" t="n">
        <f aca="false">MAX(AG81+IF($A82=AH$4,1,-1),AH81-1,AG82-1)</f>
        <v>-65</v>
      </c>
      <c r="AI82" s="2" t="n">
        <f aca="false">MAX(AH81+IF($A82=AI$4,1,-1),AI81-1,AH82-1)</f>
        <v>-65</v>
      </c>
      <c r="AJ82" s="2" t="n">
        <f aca="false">MAX(AI81+IF($A82=AJ$4,1,-1),AJ81-1,AI82-1)</f>
        <v>-65</v>
      </c>
      <c r="AK82" s="2" t="n">
        <f aca="false">MAX(AJ81+IF($A82=AK$4,1,-1),AK81-1,AJ82-1)</f>
        <v>-65</v>
      </c>
      <c r="AL82" s="2" t="n">
        <f aca="false">MAX(AK81+IF($A82=AL$4,1,-1),AL81-1,AK82-1)</f>
        <v>-65</v>
      </c>
      <c r="AM82" s="2" t="n">
        <f aca="false">MAX(AL81+IF($A82=AM$4,1,-1),AM81-1,AL82-1)</f>
        <v>-65</v>
      </c>
      <c r="AN82" s="2" t="n">
        <f aca="false">MAX(AM81+IF($A82=AN$4,1,-1),AN81-1,AM82-1)</f>
        <v>-65</v>
      </c>
      <c r="AO82" s="2" t="n">
        <f aca="false">MAX(AN81+IF($A82=AO$4,1,-1),AO81-1,AN82-1)</f>
        <v>-65</v>
      </c>
      <c r="AP82" s="2" t="n">
        <f aca="false">MAX(AO81+IF($A82=AP$4,1,-1),AP81-1,AO82-1)</f>
        <v>-65</v>
      </c>
      <c r="AQ82" s="2" t="n">
        <f aca="false">MAX(AP81+IF($A82=AQ$4,1,-1),AQ81-1,AP82-1)</f>
        <v>-65</v>
      </c>
      <c r="AR82" s="2" t="n">
        <f aca="false">MAX(AQ81+IF($A82=AR$4,1,-1),AR81-1,AQ82-1)</f>
        <v>-65</v>
      </c>
      <c r="AS82" s="2" t="n">
        <f aca="false">MAX(AR81+IF($A82=AS$4,1,-1),AS81-1,AR82-1)</f>
        <v>-65</v>
      </c>
      <c r="AT82" s="2" t="n">
        <f aca="false">MAX(AS81+IF($A82=AT$4,1,-1),AT81-1,AS82-1)</f>
        <v>-65</v>
      </c>
      <c r="AU82" s="2" t="n">
        <f aca="false">MAX(AT81+IF($A82=AU$4,1,-1),AU81-1,AT82-1)</f>
        <v>-66</v>
      </c>
      <c r="AV82" s="2" t="n">
        <f aca="false">MAX(AU81+IF($A82=AV$4,1,-1),AV81-1,AU82-1)</f>
        <v>-67</v>
      </c>
      <c r="AW82" s="2" t="n">
        <f aca="false">MAX(AV81+IF($A82=AW$4,1,-1),AW81-1,AV82-1)</f>
        <v>-67</v>
      </c>
      <c r="AX82" s="2" t="n">
        <f aca="false">MAX(AW81+IF($A82=AX$4,1,-1),AX81-1,AW82-1)</f>
        <v>-67</v>
      </c>
      <c r="AY82" s="2" t="n">
        <f aca="false">MAX(AX81+IF($A82=AY$4,1,-1),AY81-1,AX82-1)</f>
        <v>-67</v>
      </c>
      <c r="AZ82" s="2" t="n">
        <f aca="false">MAX(AY81+IF($A82=AZ$4,1,-1),AZ81-1,AY82-1)</f>
        <v>-67</v>
      </c>
      <c r="BA82" s="2" t="n">
        <f aca="false">MAX(AZ81+IF($A82=BA$4,1,-1),BA81-1,AZ82-1)</f>
        <v>-67</v>
      </c>
      <c r="BB82" s="2" t="n">
        <f aca="false">MAX(BA81+IF($A82=BB$4,1,-1),BB81-1,BA82-1)</f>
        <v>-67</v>
      </c>
      <c r="BC82" s="2" t="n">
        <f aca="false">MAX(BB81+IF($A82=BC$4,1,-1),BC81-1,BB82-1)</f>
        <v>-67</v>
      </c>
      <c r="BD82" s="2" t="n">
        <f aca="false">MAX(BC81+IF($A82=BD$4,1,-1),BD81-1,BC82-1)</f>
        <v>-67</v>
      </c>
      <c r="BE82" s="2" t="n">
        <f aca="false">MAX(BD81+IF($A82=BE$4,1,-1),BE81-1,BD82-1)</f>
        <v>-67</v>
      </c>
      <c r="BF82" s="2" t="n">
        <f aca="false">MAX(BE81+IF($A82=BF$4,1,-1),BF81-1,BE82-1)</f>
        <v>-67</v>
      </c>
      <c r="BG82" s="2" t="n">
        <f aca="false">MAX(BF81+IF($A82=BG$4,1,-1),BG81-1,BF82-1)</f>
        <v>-67</v>
      </c>
      <c r="BH82" s="2" t="n">
        <f aca="false">MAX(BG81+IF($A82=BH$4,1,-1),BH81-1,BG82-1)</f>
        <v>-67</v>
      </c>
      <c r="BI82" s="2" t="n">
        <f aca="false">MAX(BH81+IF($A82=BI$4,1,-1),BI81-1,BH82-1)</f>
        <v>-65</v>
      </c>
      <c r="BJ82" s="2" t="n">
        <f aca="false">MAX(BI81+IF($A82=BJ$4,1,-1),BJ81-1,BI82-1)</f>
        <v>-65</v>
      </c>
      <c r="BK82" s="2" t="n">
        <f aca="false">MAX(BJ81+IF($A82=BK$4,1,-1),BK81-1,BJ82-1)</f>
        <v>-66</v>
      </c>
      <c r="BL82" s="2" t="n">
        <f aca="false">MAX(BK81+IF($A82=BL$4,1,-1),BL81-1,BK82-1)</f>
        <v>-65</v>
      </c>
      <c r="BM82" s="2" t="n">
        <f aca="false">MAX(BL81+IF($A82=BM$4,1,-1),BM81-1,BL82-1)</f>
        <v>-65</v>
      </c>
      <c r="BN82" s="2" t="n">
        <f aca="false">MAX(BM81+IF($A82=BN$4,1,-1),BN81-1,BM82-1)</f>
        <v>-65</v>
      </c>
      <c r="BO82" s="2" t="n">
        <f aca="false">MAX(BN81+IF($A82=BO$4,1,-1),BO81-1,BN82-1)</f>
        <v>-65</v>
      </c>
      <c r="BP82" s="2" t="n">
        <f aca="false">MAX(BO81+IF($A82=BP$4,1,-1),BP81-1,BO82-1)</f>
        <v>-66</v>
      </c>
      <c r="BQ82" s="2" t="n">
        <f aca="false">MAX(BP81+IF($A82=BQ$4,1,-1),BQ81-1,BP82-1)</f>
        <v>-67</v>
      </c>
      <c r="BR82" s="2" t="n">
        <f aca="false">MAX(BQ81+IF($A82=BR$4,1,-1),BR81-1,BQ82-1)</f>
        <v>-68</v>
      </c>
      <c r="BS82" s="2" t="n">
        <f aca="false">MAX(BR81+IF($A82=BS$4,1,-1),BS81-1,BR82-1)</f>
        <v>-69</v>
      </c>
      <c r="BT82" s="2" t="n">
        <f aca="false">MAX(BS81+IF($A82=BT$4,1,-1),BT81-1,BS82-1)</f>
        <v>-69</v>
      </c>
      <c r="BU82" s="2" t="n">
        <f aca="false">MAX(BT81+IF($A82=BU$4,1,-1),BU81-1,BT82-1)</f>
        <v>-69</v>
      </c>
      <c r="BV82" s="2" t="n">
        <f aca="false">MAX(BU81+IF($A82=BV$4,1,-1),BV81-1,BU82-1)</f>
        <v>-69</v>
      </c>
      <c r="BW82" s="2" t="n">
        <f aca="false">MAX(BV81+IF($A82=BW$4,1,-1),BW81-1,BV82-1)</f>
        <v>-69</v>
      </c>
      <c r="BX82" s="2" t="n">
        <f aca="false">MAX(BW81+IF($A82=BX$4,1,-1),BX81-1,BW82-1)</f>
        <v>-69</v>
      </c>
      <c r="BY82" s="2" t="n">
        <f aca="false">MAX(BX81+IF($A82=BY$4,1,-1),BY81-1,BX82-1)</f>
        <v>-69</v>
      </c>
      <c r="BZ82" s="2" t="n">
        <f aca="false">MAX(BY81+IF($A82=BZ$4,1,-1),BZ81-1,BY82-1)</f>
        <v>-69</v>
      </c>
      <c r="CA82" s="2" t="n">
        <f aca="false">MAX(BZ81+IF($A82=CA$4,1,-1),CA81-1,BZ82-1)</f>
        <v>-69</v>
      </c>
      <c r="CB82" s="2" t="n">
        <f aca="false">MAX(CA81+IF($A82=CB$4,1,-1),CB81-1,CA82-1)</f>
        <v>-69</v>
      </c>
      <c r="CC82" s="2" t="n">
        <f aca="false">MAX(CB81+IF($A82=CC$4,1,-1),CC81-1,CB82-1)</f>
        <v>-70</v>
      </c>
      <c r="CD82" s="2" t="n">
        <f aca="false">MAX(CC81+IF($A82=CD$4,1,-1),CD81-1,CC82-1)</f>
        <v>-71</v>
      </c>
      <c r="CE82" s="2" t="n">
        <f aca="false">MAX(CD81+IF($A82=CE$4,1,-1),CE81-1,CD82-1)</f>
        <v>-72</v>
      </c>
      <c r="CF82" s="2" t="n">
        <f aca="false">MAX(CE81+IF($A82=CF$4,1,-1),CF81-1,CE82-1)</f>
        <v>-73</v>
      </c>
      <c r="CG82" s="2" t="n">
        <f aca="false">MAX(CF81+IF($A82=CG$4,1,-1),CG81-1,CF82-1)</f>
        <v>-74</v>
      </c>
      <c r="CH82" s="2" t="n">
        <f aca="false">MAX(CG81+IF($A82=CH$4,1,-1),CH81-1,CG82-1)</f>
        <v>-75</v>
      </c>
      <c r="CI82" s="2" t="n">
        <f aca="false">MAX(CH81+IF($A82=CI$4,1,-1),CI81-1,CH82-1)</f>
        <v>-76</v>
      </c>
      <c r="CJ82" s="2" t="n">
        <f aca="false">MAX(CI81+IF($A82=CJ$4,1,-1),CJ81-1,CI82-1)</f>
        <v>-77</v>
      </c>
      <c r="CK82" s="2" t="n">
        <f aca="false">MAX(CJ81+IF($A82=CK$4,1,-1),CK81-1,CJ82-1)</f>
        <v>-78</v>
      </c>
      <c r="CL82" s="2" t="n">
        <f aca="false">MAX(CK81+IF($A82=CL$4,1,-1),CL81-1,CK82-1)</f>
        <v>-79</v>
      </c>
      <c r="CM82" s="2" t="n">
        <f aca="false">MAX(CL81+IF($A82=CM$4,1,-1),CM81-1,CL82-1)</f>
        <v>-80</v>
      </c>
      <c r="CN82" s="2" t="n">
        <f aca="false">MAX(CM81+IF($A82=CN$4,1,-1),CN81-1,CM82-1)</f>
        <v>-81</v>
      </c>
      <c r="CO82" s="2" t="n">
        <f aca="false">MAX(CN81+IF($A82=CO$4,1,-1),CO81-1,CN82-1)</f>
        <v>-82</v>
      </c>
      <c r="CP82" s="2" t="n">
        <f aca="false">MAX(CO81+IF($A82=CP$4,1,-1),CP81-1,CO82-1)</f>
        <v>-83</v>
      </c>
      <c r="CQ82" s="2" t="n">
        <f aca="false">MAX(CP81+IF($A82=CQ$4,1,-1),CQ81-1,CP82-1)</f>
        <v>-84</v>
      </c>
    </row>
    <row r="83" customFormat="false" ht="15" hidden="false" customHeight="false" outlineLevel="0" collapsed="false">
      <c r="A83" s="4" t="s">
        <v>182</v>
      </c>
      <c r="B83" s="12" t="n">
        <v>-78</v>
      </c>
      <c r="C83" s="2" t="n">
        <f aca="false">MAX(B82+IF($A83=C$4,1,-1),C82-1,B83-1)</f>
        <v>-78</v>
      </c>
      <c r="D83" s="2" t="n">
        <f aca="false">MAX(C82+IF($A83=D$4,1,-1),D82-1,C83-1)</f>
        <v>-76</v>
      </c>
      <c r="E83" s="2" t="n">
        <f aca="false">MAX(D82+IF($A83=E$4,1,-1),E82-1,D83-1)</f>
        <v>-74</v>
      </c>
      <c r="F83" s="2" t="n">
        <f aca="false">MAX(E82+IF($A83=F$4,1,-1),F82-1,E83-1)</f>
        <v>-72</v>
      </c>
      <c r="G83" s="2" t="n">
        <f aca="false">MAX(F82+IF($A83=G$4,1,-1),G82-1,F83-1)</f>
        <v>-72</v>
      </c>
      <c r="H83" s="2" t="n">
        <f aca="false">MAX(G82+IF($A83=H$4,1,-1),H82-1,G83-1)</f>
        <v>-72</v>
      </c>
      <c r="I83" s="2" t="n">
        <f aca="false">MAX(H82+IF($A83=I$4,1,-1),I82-1,H83-1)</f>
        <v>-72</v>
      </c>
      <c r="J83" s="2" t="n">
        <f aca="false">MAX(I82+IF($A83=J$4,1,-1),J82-1,I83-1)</f>
        <v>-72</v>
      </c>
      <c r="K83" s="2" t="n">
        <f aca="false">MAX(J82+IF($A83=K$4,1,-1),K82-1,J83-1)</f>
        <v>-70</v>
      </c>
      <c r="L83" s="2" t="n">
        <f aca="false">MAX(K82+IF($A83=L$4,1,-1),L82-1,K83-1)</f>
        <v>-70</v>
      </c>
      <c r="M83" s="2" t="n">
        <f aca="false">MAX(L82+IF($A83=M$4,1,-1),M82-1,L83-1)</f>
        <v>-70</v>
      </c>
      <c r="N83" s="2" t="n">
        <f aca="false">MAX(M82+IF($A83=N$4,1,-1),N82-1,M83-1)</f>
        <v>-68</v>
      </c>
      <c r="O83" s="2" t="n">
        <f aca="false">MAX(N82+IF($A83=O$4,1,-1),O82-1,N83-1)</f>
        <v>-67</v>
      </c>
      <c r="P83" s="2" t="n">
        <f aca="false">MAX(O82+IF($A83=P$4,1,-1),P82-1,O83-1)</f>
        <v>-67</v>
      </c>
      <c r="Q83" s="2" t="n">
        <f aca="false">MAX(P82+IF($A83=Q$4,1,-1),Q82-1,P83-1)</f>
        <v>-67</v>
      </c>
      <c r="R83" s="2" t="n">
        <f aca="false">MAX(Q82+IF($A83=R$4,1,-1),R82-1,Q83-1)</f>
        <v>-67</v>
      </c>
      <c r="S83" s="2" t="n">
        <f aca="false">MAX(R82+IF($A83=S$4,1,-1),S82-1,R83-1)</f>
        <v>-67</v>
      </c>
      <c r="T83" s="2" t="n">
        <f aca="false">MAX(S82+IF($A83=T$4,1,-1),T82-1,S83-1)</f>
        <v>-67</v>
      </c>
      <c r="U83" s="2" t="n">
        <f aca="false">MAX(T82+IF($A83=U$4,1,-1),U82-1,T83-1)</f>
        <v>-65</v>
      </c>
      <c r="V83" s="2" t="n">
        <f aca="false">MAX(U82+IF($A83=V$4,1,-1),V82-1,U83-1)</f>
        <v>-65</v>
      </c>
      <c r="W83" s="2" t="n">
        <f aca="false">MAX(V82+IF($A83=W$4,1,-1),W82-1,V83-1)</f>
        <v>-65</v>
      </c>
      <c r="X83" s="2" t="n">
        <f aca="false">MAX(W82+IF($A83=X$4,1,-1),X82-1,W83-1)</f>
        <v>-65</v>
      </c>
      <c r="Y83" s="2" t="n">
        <f aca="false">MAX(X82+IF($A83=Y$4,1,-1),Y82-1,X83-1)</f>
        <v>-65</v>
      </c>
      <c r="Z83" s="2" t="n">
        <f aca="false">MAX(Y82+IF($A83=Z$4,1,-1),Z82-1,Y83-1)</f>
        <v>-65</v>
      </c>
      <c r="AA83" s="2" t="n">
        <f aca="false">MAX(Z82+IF($A83=AA$4,1,-1),AA82-1,Z83-1)</f>
        <v>-65</v>
      </c>
      <c r="AB83" s="2" t="n">
        <f aca="false">MAX(AA82+IF($A83=AB$4,1,-1),AB82-1,AA83-1)</f>
        <v>-65</v>
      </c>
      <c r="AC83" s="2" t="n">
        <f aca="false">MAX(AB82+IF($A83=AC$4,1,-1),AC82-1,AB83-1)</f>
        <v>-66</v>
      </c>
      <c r="AD83" s="2" t="n">
        <f aca="false">MAX(AC82+IF($A83=AD$4,1,-1),AD82-1,AC83-1)</f>
        <v>-66</v>
      </c>
      <c r="AE83" s="2" t="n">
        <f aca="false">MAX(AD82+IF($A83=AE$4,1,-1),AE82-1,AD83-1)</f>
        <v>-66</v>
      </c>
      <c r="AF83" s="2" t="n">
        <f aca="false">MAX(AE82+IF($A83=AF$4,1,-1),AF82-1,AE83-1)</f>
        <v>-66</v>
      </c>
      <c r="AG83" s="2" t="n">
        <f aca="false">MAX(AF82+IF($A83=AG$4,1,-1),AG82-1,AF83-1)</f>
        <v>-66</v>
      </c>
      <c r="AH83" s="2" t="n">
        <f aca="false">MAX(AG82+IF($A83=AH$4,1,-1),AH82-1,AG83-1)</f>
        <v>-66</v>
      </c>
      <c r="AI83" s="2" t="n">
        <f aca="false">MAX(AH82+IF($A83=AI$4,1,-1),AI82-1,AH83-1)</f>
        <v>-66</v>
      </c>
      <c r="AJ83" s="2" t="n">
        <f aca="false">MAX(AI82+IF($A83=AJ$4,1,-1),AJ82-1,AI83-1)</f>
        <v>-66</v>
      </c>
      <c r="AK83" s="2" t="n">
        <f aca="false">MAX(AJ82+IF($A83=AK$4,1,-1),AK82-1,AJ83-1)</f>
        <v>-66</v>
      </c>
      <c r="AL83" s="2" t="n">
        <f aca="false">MAX(AK82+IF($A83=AL$4,1,-1),AL82-1,AK83-1)</f>
        <v>-66</v>
      </c>
      <c r="AM83" s="2" t="n">
        <f aca="false">MAX(AL82+IF($A83=AM$4,1,-1),AM82-1,AL83-1)</f>
        <v>-66</v>
      </c>
      <c r="AN83" s="2" t="n">
        <f aca="false">MAX(AM82+IF($A83=AN$4,1,-1),AN82-1,AM83-1)</f>
        <v>-66</v>
      </c>
      <c r="AO83" s="2" t="n">
        <f aca="false">MAX(AN82+IF($A83=AO$4,1,-1),AO82-1,AN83-1)</f>
        <v>-66</v>
      </c>
      <c r="AP83" s="2" t="n">
        <f aca="false">MAX(AO82+IF($A83=AP$4,1,-1),AP82-1,AO83-1)</f>
        <v>-66</v>
      </c>
      <c r="AQ83" s="2" t="n">
        <f aca="false">MAX(AP82+IF($A83=AQ$4,1,-1),AQ82-1,AP83-1)</f>
        <v>-66</v>
      </c>
      <c r="AR83" s="2" t="n">
        <f aca="false">MAX(AQ82+IF($A83=AR$4,1,-1),AR82-1,AQ83-1)</f>
        <v>-66</v>
      </c>
      <c r="AS83" s="2" t="n">
        <f aca="false">MAX(AR82+IF($A83=AS$4,1,-1),AS82-1,AR83-1)</f>
        <v>-66</v>
      </c>
      <c r="AT83" s="2" t="n">
        <f aca="false">MAX(AS82+IF($A83=AT$4,1,-1),AT82-1,AS83-1)</f>
        <v>-66</v>
      </c>
      <c r="AU83" s="2" t="n">
        <f aca="false">MAX(AT82+IF($A83=AU$4,1,-1),AU82-1,AT83-1)</f>
        <v>-66</v>
      </c>
      <c r="AV83" s="2" t="n">
        <f aca="false">MAX(AU82+IF($A83=AV$4,1,-1),AV82-1,AU83-1)</f>
        <v>-67</v>
      </c>
      <c r="AW83" s="2" t="n">
        <f aca="false">MAX(AV82+IF($A83=AW$4,1,-1),AW82-1,AV83-1)</f>
        <v>-68</v>
      </c>
      <c r="AX83" s="2" t="n">
        <f aca="false">MAX(AW82+IF($A83=AX$4,1,-1),AX82-1,AW83-1)</f>
        <v>-68</v>
      </c>
      <c r="AY83" s="2" t="n">
        <f aca="false">MAX(AX82+IF($A83=AY$4,1,-1),AY82-1,AX83-1)</f>
        <v>-68</v>
      </c>
      <c r="AZ83" s="2" t="n">
        <f aca="false">MAX(AY82+IF($A83=AZ$4,1,-1),AZ82-1,AY83-1)</f>
        <v>-68</v>
      </c>
      <c r="BA83" s="2" t="n">
        <f aca="false">MAX(AZ82+IF($A83=BA$4,1,-1),BA82-1,AZ83-1)</f>
        <v>-68</v>
      </c>
      <c r="BB83" s="2" t="n">
        <f aca="false">MAX(BA82+IF($A83=BB$4,1,-1),BB82-1,BA83-1)</f>
        <v>-68</v>
      </c>
      <c r="BC83" s="2" t="n">
        <f aca="false">MAX(BB82+IF($A83=BC$4,1,-1),BC82-1,BB83-1)</f>
        <v>-68</v>
      </c>
      <c r="BD83" s="2" t="n">
        <f aca="false">MAX(BC82+IF($A83=BD$4,1,-1),BD82-1,BC83-1)</f>
        <v>-68</v>
      </c>
      <c r="BE83" s="2" t="n">
        <f aca="false">MAX(BD82+IF($A83=BE$4,1,-1),BE82-1,BD83-1)</f>
        <v>-68</v>
      </c>
      <c r="BF83" s="2" t="n">
        <f aca="false">MAX(BE82+IF($A83=BF$4,1,-1),BF82-1,BE83-1)</f>
        <v>-68</v>
      </c>
      <c r="BG83" s="2" t="n">
        <f aca="false">MAX(BF82+IF($A83=BG$4,1,-1),BG82-1,BF83-1)</f>
        <v>-68</v>
      </c>
      <c r="BH83" s="2" t="n">
        <f aca="false">MAX(BG82+IF($A83=BH$4,1,-1),BH82-1,BG83-1)</f>
        <v>-68</v>
      </c>
      <c r="BI83" s="2" t="n">
        <f aca="false">MAX(BH82+IF($A83=BI$4,1,-1),BI82-1,BH83-1)</f>
        <v>-66</v>
      </c>
      <c r="BJ83" s="2" t="n">
        <f aca="false">MAX(BI82+IF($A83=BJ$4,1,-1),BJ82-1,BI83-1)</f>
        <v>-66</v>
      </c>
      <c r="BK83" s="2" t="n">
        <f aca="false">MAX(BJ82+IF($A83=BK$4,1,-1),BK82-1,BJ83-1)</f>
        <v>-66</v>
      </c>
      <c r="BL83" s="2" t="n">
        <f aca="false">MAX(BK82+IF($A83=BL$4,1,-1),BL82-1,BK83-1)</f>
        <v>-66</v>
      </c>
      <c r="BM83" s="2" t="n">
        <f aca="false">MAX(BL82+IF($A83=BM$4,1,-1),BM82-1,BL83-1)</f>
        <v>-66</v>
      </c>
      <c r="BN83" s="2" t="n">
        <f aca="false">MAX(BM82+IF($A83=BN$4,1,-1),BN82-1,BM83-1)</f>
        <v>-66</v>
      </c>
      <c r="BO83" s="2" t="n">
        <f aca="false">MAX(BN82+IF($A83=BO$4,1,-1),BO82-1,BN83-1)</f>
        <v>-66</v>
      </c>
      <c r="BP83" s="2" t="n">
        <f aca="false">MAX(BO82+IF($A83=BP$4,1,-1),BP82-1,BO83-1)</f>
        <v>-66</v>
      </c>
      <c r="BQ83" s="2" t="n">
        <f aca="false">MAX(BP82+IF($A83=BQ$4,1,-1),BQ82-1,BP83-1)</f>
        <v>-67</v>
      </c>
      <c r="BR83" s="2" t="n">
        <f aca="false">MAX(BQ82+IF($A83=BR$4,1,-1),BR82-1,BQ83-1)</f>
        <v>-68</v>
      </c>
      <c r="BS83" s="2" t="n">
        <f aca="false">MAX(BR82+IF($A83=BS$4,1,-1),BS82-1,BR83-1)</f>
        <v>-69</v>
      </c>
      <c r="BT83" s="2" t="n">
        <f aca="false">MAX(BS82+IF($A83=BT$4,1,-1),BT82-1,BS83-1)</f>
        <v>-70</v>
      </c>
      <c r="BU83" s="2" t="n">
        <f aca="false">MAX(BT82+IF($A83=BU$4,1,-1),BU82-1,BT83-1)</f>
        <v>-70</v>
      </c>
      <c r="BV83" s="2" t="n">
        <f aca="false">MAX(BU82+IF($A83=BV$4,1,-1),BV82-1,BU83-1)</f>
        <v>-70</v>
      </c>
      <c r="BW83" s="2" t="n">
        <f aca="false">MAX(BV82+IF($A83=BW$4,1,-1),BW82-1,BV83-1)</f>
        <v>-70</v>
      </c>
      <c r="BX83" s="2" t="n">
        <f aca="false">MAX(BW82+IF($A83=BX$4,1,-1),BX82-1,BW83-1)</f>
        <v>-70</v>
      </c>
      <c r="BY83" s="2" t="n">
        <f aca="false">MAX(BX82+IF($A83=BY$4,1,-1),BY82-1,BX83-1)</f>
        <v>-70</v>
      </c>
      <c r="BZ83" s="2" t="n">
        <f aca="false">MAX(BY82+IF($A83=BZ$4,1,-1),BZ82-1,BY83-1)</f>
        <v>-70</v>
      </c>
      <c r="CA83" s="2" t="n">
        <f aca="false">MAX(BZ82+IF($A83=CA$4,1,-1),CA82-1,BZ83-1)</f>
        <v>-70</v>
      </c>
      <c r="CB83" s="2" t="n">
        <f aca="false">MAX(CA82+IF($A83=CB$4,1,-1),CB82-1,CA83-1)</f>
        <v>-70</v>
      </c>
      <c r="CC83" s="2" t="n">
        <f aca="false">MAX(CB82+IF($A83=CC$4,1,-1),CC82-1,CB83-1)</f>
        <v>-70</v>
      </c>
      <c r="CD83" s="2" t="n">
        <f aca="false">MAX(CC82+IF($A83=CD$4,1,-1),CD82-1,CC83-1)</f>
        <v>-71</v>
      </c>
      <c r="CE83" s="2" t="n">
        <f aca="false">MAX(CD82+IF($A83=CE$4,1,-1),CE82-1,CD83-1)</f>
        <v>-72</v>
      </c>
      <c r="CF83" s="2" t="n">
        <f aca="false">MAX(CE82+IF($A83=CF$4,1,-1),CF82-1,CE83-1)</f>
        <v>-73</v>
      </c>
      <c r="CG83" s="2" t="n">
        <f aca="false">MAX(CF82+IF($A83=CG$4,1,-1),CG82-1,CF83-1)</f>
        <v>-74</v>
      </c>
      <c r="CH83" s="2" t="n">
        <f aca="false">MAX(CG82+IF($A83=CH$4,1,-1),CH82-1,CG83-1)</f>
        <v>-75</v>
      </c>
      <c r="CI83" s="2" t="n">
        <f aca="false">MAX(CH82+IF($A83=CI$4,1,-1),CI82-1,CH83-1)</f>
        <v>-76</v>
      </c>
      <c r="CJ83" s="2" t="n">
        <f aca="false">MAX(CI82+IF($A83=CJ$4,1,-1),CJ82-1,CI83-1)</f>
        <v>-77</v>
      </c>
      <c r="CK83" s="2" t="n">
        <f aca="false">MAX(CJ82+IF($A83=CK$4,1,-1),CK82-1,CJ83-1)</f>
        <v>-78</v>
      </c>
      <c r="CL83" s="2" t="n">
        <f aca="false">MAX(CK82+IF($A83=CL$4,1,-1),CL82-1,CK83-1)</f>
        <v>-79</v>
      </c>
      <c r="CM83" s="2" t="n">
        <f aca="false">MAX(CL82+IF($A83=CM$4,1,-1),CM82-1,CL83-1)</f>
        <v>-80</v>
      </c>
      <c r="CN83" s="2" t="n">
        <f aca="false">MAX(CM82+IF($A83=CN$4,1,-1),CN82-1,CM83-1)</f>
        <v>-81</v>
      </c>
      <c r="CO83" s="2" t="n">
        <f aca="false">MAX(CN82+IF($A83=CO$4,1,-1),CO82-1,CN83-1)</f>
        <v>-82</v>
      </c>
      <c r="CP83" s="2" t="n">
        <f aca="false">MAX(CO82+IF($A83=CP$4,1,-1),CP82-1,CO83-1)</f>
        <v>-83</v>
      </c>
      <c r="CQ83" s="2" t="n">
        <f aca="false">MAX(CP82+IF($A83=CQ$4,1,-1),CQ82-1,CP83-1)</f>
        <v>-84</v>
      </c>
    </row>
    <row r="84" customFormat="false" ht="15" hidden="false" customHeight="false" outlineLevel="0" collapsed="false">
      <c r="A84" s="4" t="s">
        <v>192</v>
      </c>
      <c r="B84" s="12" t="n">
        <v>-79</v>
      </c>
      <c r="C84" s="2" t="n">
        <f aca="false">MAX(B83+IF($A84=C$4,1,-1),C83-1,B84-1)</f>
        <v>-79</v>
      </c>
      <c r="D84" s="2" t="n">
        <f aca="false">MAX(C83+IF($A84=D$4,1,-1),D83-1,C84-1)</f>
        <v>-77</v>
      </c>
      <c r="E84" s="2" t="n">
        <f aca="false">MAX(D83+IF($A84=E$4,1,-1),E83-1,D84-1)</f>
        <v>-75</v>
      </c>
      <c r="F84" s="2" t="n">
        <f aca="false">MAX(E83+IF($A84=F$4,1,-1),F83-1,E84-1)</f>
        <v>-73</v>
      </c>
      <c r="G84" s="2" t="n">
        <f aca="false">MAX(F83+IF($A84=G$4,1,-1),G83-1,F84-1)</f>
        <v>-73</v>
      </c>
      <c r="H84" s="2" t="n">
        <f aca="false">MAX(G83+IF($A84=H$4,1,-1),H83-1,G84-1)</f>
        <v>-73</v>
      </c>
      <c r="I84" s="2" t="n">
        <f aca="false">MAX(H83+IF($A84=I$4,1,-1),I83-1,H84-1)</f>
        <v>-73</v>
      </c>
      <c r="J84" s="2" t="n">
        <f aca="false">MAX(I83+IF($A84=J$4,1,-1),J83-1,I84-1)</f>
        <v>-73</v>
      </c>
      <c r="K84" s="2" t="n">
        <f aca="false">MAX(J83+IF($A84=K$4,1,-1),K83-1,J84-1)</f>
        <v>-71</v>
      </c>
      <c r="L84" s="2" t="n">
        <f aca="false">MAX(K83+IF($A84=L$4,1,-1),L83-1,K84-1)</f>
        <v>-71</v>
      </c>
      <c r="M84" s="2" t="n">
        <f aca="false">MAX(L83+IF($A84=M$4,1,-1),M83-1,L84-1)</f>
        <v>-71</v>
      </c>
      <c r="N84" s="2" t="n">
        <f aca="false">MAX(M83+IF($A84=N$4,1,-1),N83-1,M84-1)</f>
        <v>-69</v>
      </c>
      <c r="O84" s="2" t="n">
        <f aca="false">MAX(N83+IF($A84=O$4,1,-1),O83-1,N84-1)</f>
        <v>-68</v>
      </c>
      <c r="P84" s="2" t="n">
        <f aca="false">MAX(O83+IF($A84=P$4,1,-1),P83-1,O84-1)</f>
        <v>-68</v>
      </c>
      <c r="Q84" s="2" t="n">
        <f aca="false">MAX(P83+IF($A84=Q$4,1,-1),Q83-1,P84-1)</f>
        <v>-68</v>
      </c>
      <c r="R84" s="2" t="n">
        <f aca="false">MAX(Q83+IF($A84=R$4,1,-1),R83-1,Q84-1)</f>
        <v>-68</v>
      </c>
      <c r="S84" s="2" t="n">
        <f aca="false">MAX(R83+IF($A84=S$4,1,-1),S83-1,R84-1)</f>
        <v>-68</v>
      </c>
      <c r="T84" s="2" t="n">
        <f aca="false">MAX(S83+IF($A84=T$4,1,-1),T83-1,S84-1)</f>
        <v>-68</v>
      </c>
      <c r="U84" s="2" t="n">
        <f aca="false">MAX(T83+IF($A84=U$4,1,-1),U83-1,T84-1)</f>
        <v>-66</v>
      </c>
      <c r="V84" s="2" t="n">
        <f aca="false">MAX(U83+IF($A84=V$4,1,-1),V83-1,U84-1)</f>
        <v>-66</v>
      </c>
      <c r="W84" s="2" t="n">
        <f aca="false">MAX(V83+IF($A84=W$4,1,-1),W83-1,V84-1)</f>
        <v>-66</v>
      </c>
      <c r="X84" s="2" t="n">
        <f aca="false">MAX(W83+IF($A84=X$4,1,-1),X83-1,W84-1)</f>
        <v>-66</v>
      </c>
      <c r="Y84" s="2" t="n">
        <f aca="false">MAX(X83+IF($A84=Y$4,1,-1),Y83-1,X84-1)</f>
        <v>-66</v>
      </c>
      <c r="Z84" s="2" t="n">
        <f aca="false">MAX(Y83+IF($A84=Z$4,1,-1),Z83-1,Y84-1)</f>
        <v>-66</v>
      </c>
      <c r="AA84" s="2" t="n">
        <f aca="false">MAX(Z83+IF($A84=AA$4,1,-1),AA83-1,Z84-1)</f>
        <v>-66</v>
      </c>
      <c r="AB84" s="2" t="n">
        <f aca="false">MAX(AA83+IF($A84=AB$4,1,-1),AB83-1,AA84-1)</f>
        <v>-66</v>
      </c>
      <c r="AC84" s="2" t="n">
        <f aca="false">MAX(AB83+IF($A84=AC$4,1,-1),AC83-1,AB84-1)</f>
        <v>-66</v>
      </c>
      <c r="AD84" s="2" t="n">
        <f aca="false">MAX(AC83+IF($A84=AD$4,1,-1),AD83-1,AC84-1)</f>
        <v>-67</v>
      </c>
      <c r="AE84" s="2" t="n">
        <f aca="false">MAX(AD83+IF($A84=AE$4,1,-1),AE83-1,AD84-1)</f>
        <v>-67</v>
      </c>
      <c r="AF84" s="2" t="n">
        <f aca="false">MAX(AE83+IF($A84=AF$4,1,-1),AF83-1,AE84-1)</f>
        <v>-67</v>
      </c>
      <c r="AG84" s="2" t="n">
        <f aca="false">MAX(AF83+IF($A84=AG$4,1,-1),AG83-1,AF84-1)</f>
        <v>-67</v>
      </c>
      <c r="AH84" s="2" t="n">
        <f aca="false">MAX(AG83+IF($A84=AH$4,1,-1),AH83-1,AG84-1)</f>
        <v>-67</v>
      </c>
      <c r="AI84" s="2" t="n">
        <f aca="false">MAX(AH83+IF($A84=AI$4,1,-1),AI83-1,AH84-1)</f>
        <v>-67</v>
      </c>
      <c r="AJ84" s="2" t="n">
        <f aca="false">MAX(AI83+IF($A84=AJ$4,1,-1),AJ83-1,AI84-1)</f>
        <v>-67</v>
      </c>
      <c r="AK84" s="2" t="n">
        <f aca="false">MAX(AJ83+IF($A84=AK$4,1,-1),AK83-1,AJ84-1)</f>
        <v>-67</v>
      </c>
      <c r="AL84" s="2" t="n">
        <f aca="false">MAX(AK83+IF($A84=AL$4,1,-1),AL83-1,AK84-1)</f>
        <v>-67</v>
      </c>
      <c r="AM84" s="2" t="n">
        <f aca="false">MAX(AL83+IF($A84=AM$4,1,-1),AM83-1,AL84-1)</f>
        <v>-67</v>
      </c>
      <c r="AN84" s="2" t="n">
        <f aca="false">MAX(AM83+IF($A84=AN$4,1,-1),AN83-1,AM84-1)</f>
        <v>-67</v>
      </c>
      <c r="AO84" s="2" t="n">
        <f aca="false">MAX(AN83+IF($A84=AO$4,1,-1),AO83-1,AN84-1)</f>
        <v>-67</v>
      </c>
      <c r="AP84" s="2" t="n">
        <f aca="false">MAX(AO83+IF($A84=AP$4,1,-1),AP83-1,AO84-1)</f>
        <v>-67</v>
      </c>
      <c r="AQ84" s="2" t="n">
        <f aca="false">MAX(AP83+IF($A84=AQ$4,1,-1),AQ83-1,AP84-1)</f>
        <v>-67</v>
      </c>
      <c r="AR84" s="2" t="n">
        <f aca="false">MAX(AQ83+IF($A84=AR$4,1,-1),AR83-1,AQ84-1)</f>
        <v>-67</v>
      </c>
      <c r="AS84" s="2" t="n">
        <f aca="false">MAX(AR83+IF($A84=AS$4,1,-1),AS83-1,AR84-1)</f>
        <v>-67</v>
      </c>
      <c r="AT84" s="2" t="n">
        <f aca="false">MAX(AS83+IF($A84=AT$4,1,-1),AT83-1,AS84-1)</f>
        <v>-67</v>
      </c>
      <c r="AU84" s="2" t="n">
        <f aca="false">MAX(AT83+IF($A84=AU$4,1,-1),AU83-1,AT84-1)</f>
        <v>-67</v>
      </c>
      <c r="AV84" s="2" t="n">
        <f aca="false">MAX(AU83+IF($A84=AV$4,1,-1),AV83-1,AU84-1)</f>
        <v>-67</v>
      </c>
      <c r="AW84" s="2" t="n">
        <f aca="false">MAX(AV83+IF($A84=AW$4,1,-1),AW83-1,AV84-1)</f>
        <v>-68</v>
      </c>
      <c r="AX84" s="2" t="n">
        <f aca="false">MAX(AW83+IF($A84=AX$4,1,-1),AX83-1,AW84-1)</f>
        <v>-69</v>
      </c>
      <c r="AY84" s="2" t="n">
        <f aca="false">MAX(AX83+IF($A84=AY$4,1,-1),AY83-1,AX84-1)</f>
        <v>-69</v>
      </c>
      <c r="AZ84" s="2" t="n">
        <f aca="false">MAX(AY83+IF($A84=AZ$4,1,-1),AZ83-1,AY84-1)</f>
        <v>-69</v>
      </c>
      <c r="BA84" s="2" t="n">
        <f aca="false">MAX(AZ83+IF($A84=BA$4,1,-1),BA83-1,AZ84-1)</f>
        <v>-69</v>
      </c>
      <c r="BB84" s="2" t="n">
        <f aca="false">MAX(BA83+IF($A84=BB$4,1,-1),BB83-1,BA84-1)</f>
        <v>-69</v>
      </c>
      <c r="BC84" s="2" t="n">
        <f aca="false">MAX(BB83+IF($A84=BC$4,1,-1),BC83-1,BB84-1)</f>
        <v>-69</v>
      </c>
      <c r="BD84" s="2" t="n">
        <f aca="false">MAX(BC83+IF($A84=BD$4,1,-1),BD83-1,BC84-1)</f>
        <v>-69</v>
      </c>
      <c r="BE84" s="2" t="n">
        <f aca="false">MAX(BD83+IF($A84=BE$4,1,-1),BE83-1,BD84-1)</f>
        <v>-69</v>
      </c>
      <c r="BF84" s="2" t="n">
        <f aca="false">MAX(BE83+IF($A84=BF$4,1,-1),BF83-1,BE84-1)</f>
        <v>-69</v>
      </c>
      <c r="BG84" s="2" t="n">
        <f aca="false">MAX(BF83+IF($A84=BG$4,1,-1),BG83-1,BF84-1)</f>
        <v>-69</v>
      </c>
      <c r="BH84" s="2" t="n">
        <f aca="false">MAX(BG83+IF($A84=BH$4,1,-1),BH83-1,BG84-1)</f>
        <v>-69</v>
      </c>
      <c r="BI84" s="2" t="n">
        <f aca="false">MAX(BH83+IF($A84=BI$4,1,-1),BI83-1,BH84-1)</f>
        <v>-67</v>
      </c>
      <c r="BJ84" s="2" t="n">
        <f aca="false">MAX(BI83+IF($A84=BJ$4,1,-1),BJ83-1,BI84-1)</f>
        <v>-67</v>
      </c>
      <c r="BK84" s="2" t="n">
        <f aca="false">MAX(BJ83+IF($A84=BK$4,1,-1),BK83-1,BJ84-1)</f>
        <v>-67</v>
      </c>
      <c r="BL84" s="2" t="n">
        <f aca="false">MAX(BK83+IF($A84=BL$4,1,-1),BL83-1,BK84-1)</f>
        <v>-67</v>
      </c>
      <c r="BM84" s="2" t="n">
        <f aca="false">MAX(BL83+IF($A84=BM$4,1,-1),BM83-1,BL84-1)</f>
        <v>-67</v>
      </c>
      <c r="BN84" s="2" t="n">
        <f aca="false">MAX(BM83+IF($A84=BN$4,1,-1),BN83-1,BM84-1)</f>
        <v>-67</v>
      </c>
      <c r="BO84" s="2" t="n">
        <f aca="false">MAX(BN83+IF($A84=BO$4,1,-1),BO83-1,BN84-1)</f>
        <v>-67</v>
      </c>
      <c r="BP84" s="2" t="n">
        <f aca="false">MAX(BO83+IF($A84=BP$4,1,-1),BP83-1,BO84-1)</f>
        <v>-67</v>
      </c>
      <c r="BQ84" s="2" t="n">
        <f aca="false">MAX(BP83+IF($A84=BQ$4,1,-1),BQ83-1,BP84-1)</f>
        <v>-67</v>
      </c>
      <c r="BR84" s="2" t="n">
        <f aca="false">MAX(BQ83+IF($A84=BR$4,1,-1),BR83-1,BQ84-1)</f>
        <v>-68</v>
      </c>
      <c r="BS84" s="2" t="n">
        <f aca="false">MAX(BR83+IF($A84=BS$4,1,-1),BS83-1,BR84-1)</f>
        <v>-69</v>
      </c>
      <c r="BT84" s="2" t="n">
        <f aca="false">MAX(BS83+IF($A84=BT$4,1,-1),BT83-1,BS84-1)</f>
        <v>-70</v>
      </c>
      <c r="BU84" s="2" t="n">
        <f aca="false">MAX(BT83+IF($A84=BU$4,1,-1),BU83-1,BT84-1)</f>
        <v>-71</v>
      </c>
      <c r="BV84" s="2" t="n">
        <f aca="false">MAX(BU83+IF($A84=BV$4,1,-1),BV83-1,BU84-1)</f>
        <v>-71</v>
      </c>
      <c r="BW84" s="2" t="n">
        <f aca="false">MAX(BV83+IF($A84=BW$4,1,-1),BW83-1,BV84-1)</f>
        <v>-71</v>
      </c>
      <c r="BX84" s="2" t="n">
        <f aca="false">MAX(BW83+IF($A84=BX$4,1,-1),BX83-1,BW84-1)</f>
        <v>-71</v>
      </c>
      <c r="BY84" s="2" t="n">
        <f aca="false">MAX(BX83+IF($A84=BY$4,1,-1),BY83-1,BX84-1)</f>
        <v>-71</v>
      </c>
      <c r="BZ84" s="2" t="n">
        <f aca="false">MAX(BY83+IF($A84=BZ$4,1,-1),BZ83-1,BY84-1)</f>
        <v>-71</v>
      </c>
      <c r="CA84" s="2" t="n">
        <f aca="false">MAX(BZ83+IF($A84=CA$4,1,-1),CA83-1,BZ84-1)</f>
        <v>-71</v>
      </c>
      <c r="CB84" s="2" t="n">
        <f aca="false">MAX(CA83+IF($A84=CB$4,1,-1),CB83-1,CA84-1)</f>
        <v>-71</v>
      </c>
      <c r="CC84" s="2" t="n">
        <f aca="false">MAX(CB83+IF($A84=CC$4,1,-1),CC83-1,CB84-1)</f>
        <v>-71</v>
      </c>
      <c r="CD84" s="2" t="n">
        <f aca="false">MAX(CC83+IF($A84=CD$4,1,-1),CD83-1,CC84-1)</f>
        <v>-71</v>
      </c>
      <c r="CE84" s="2" t="n">
        <f aca="false">MAX(CD83+IF($A84=CE$4,1,-1),CE83-1,CD84-1)</f>
        <v>-72</v>
      </c>
      <c r="CF84" s="2" t="n">
        <f aca="false">MAX(CE83+IF($A84=CF$4,1,-1),CF83-1,CE84-1)</f>
        <v>-73</v>
      </c>
      <c r="CG84" s="2" t="n">
        <f aca="false">MAX(CF83+IF($A84=CG$4,1,-1),CG83-1,CF84-1)</f>
        <v>-74</v>
      </c>
      <c r="CH84" s="2" t="n">
        <f aca="false">MAX(CG83+IF($A84=CH$4,1,-1),CH83-1,CG84-1)</f>
        <v>-75</v>
      </c>
      <c r="CI84" s="2" t="n">
        <f aca="false">MAX(CH83+IF($A84=CI$4,1,-1),CI83-1,CH84-1)</f>
        <v>-76</v>
      </c>
      <c r="CJ84" s="2" t="n">
        <f aca="false">MAX(CI83+IF($A84=CJ$4,1,-1),CJ83-1,CI84-1)</f>
        <v>-77</v>
      </c>
      <c r="CK84" s="2" t="n">
        <f aca="false">MAX(CJ83+IF($A84=CK$4,1,-1),CK83-1,CJ84-1)</f>
        <v>-78</v>
      </c>
      <c r="CL84" s="2" t="n">
        <f aca="false">MAX(CK83+IF($A84=CL$4,1,-1),CL83-1,CK84-1)</f>
        <v>-79</v>
      </c>
      <c r="CM84" s="2" t="n">
        <f aca="false">MAX(CL83+IF($A84=CM$4,1,-1),CM83-1,CL84-1)</f>
        <v>-80</v>
      </c>
      <c r="CN84" s="2" t="n">
        <f aca="false">MAX(CM83+IF($A84=CN$4,1,-1),CN83-1,CM84-1)</f>
        <v>-81</v>
      </c>
      <c r="CO84" s="2" t="n">
        <f aca="false">MAX(CN83+IF($A84=CO$4,1,-1),CO83-1,CN84-1)</f>
        <v>-82</v>
      </c>
      <c r="CP84" s="2" t="n">
        <f aca="false">MAX(CO83+IF($A84=CP$4,1,-1),CP83-1,CO84-1)</f>
        <v>-83</v>
      </c>
      <c r="CQ84" s="2" t="n">
        <f aca="false">MAX(CP83+IF($A84=CQ$4,1,-1),CQ83-1,CP84-1)</f>
        <v>-84</v>
      </c>
    </row>
    <row r="85" customFormat="false" ht="15" hidden="false" customHeight="false" outlineLevel="0" collapsed="false">
      <c r="A85" s="4" t="s">
        <v>193</v>
      </c>
      <c r="B85" s="12" t="n">
        <v>-80</v>
      </c>
      <c r="C85" s="2" t="n">
        <f aca="false">MAX(B84+IF($A85=C$4,1,-1),C84-1,B85-1)</f>
        <v>-80</v>
      </c>
      <c r="D85" s="2" t="n">
        <f aca="false">MAX(C84+IF($A85=D$4,1,-1),D84-1,C85-1)</f>
        <v>-78</v>
      </c>
      <c r="E85" s="2" t="n">
        <f aca="false">MAX(D84+IF($A85=E$4,1,-1),E84-1,D85-1)</f>
        <v>-76</v>
      </c>
      <c r="F85" s="2" t="n">
        <f aca="false">MAX(E84+IF($A85=F$4,1,-1),F84-1,E85-1)</f>
        <v>-74</v>
      </c>
      <c r="G85" s="2" t="n">
        <f aca="false">MAX(F84+IF($A85=G$4,1,-1),G84-1,F85-1)</f>
        <v>-74</v>
      </c>
      <c r="H85" s="2" t="n">
        <f aca="false">MAX(G84+IF($A85=H$4,1,-1),H84-1,G85-1)</f>
        <v>-74</v>
      </c>
      <c r="I85" s="2" t="n">
        <f aca="false">MAX(H84+IF($A85=I$4,1,-1),I84-1,H85-1)</f>
        <v>-74</v>
      </c>
      <c r="J85" s="2" t="n">
        <f aca="false">MAX(I84+IF($A85=J$4,1,-1),J84-1,I85-1)</f>
        <v>-74</v>
      </c>
      <c r="K85" s="2" t="n">
        <f aca="false">MAX(J84+IF($A85=K$4,1,-1),K84-1,J85-1)</f>
        <v>-72</v>
      </c>
      <c r="L85" s="2" t="n">
        <f aca="false">MAX(K84+IF($A85=L$4,1,-1),L84-1,K85-1)</f>
        <v>-72</v>
      </c>
      <c r="M85" s="2" t="n">
        <f aca="false">MAX(L84+IF($A85=M$4,1,-1),M84-1,L85-1)</f>
        <v>-72</v>
      </c>
      <c r="N85" s="2" t="n">
        <f aca="false">MAX(M84+IF($A85=N$4,1,-1),N84-1,M85-1)</f>
        <v>-70</v>
      </c>
      <c r="O85" s="2" t="n">
        <f aca="false">MAX(N84+IF($A85=O$4,1,-1),O84-1,N85-1)</f>
        <v>-69</v>
      </c>
      <c r="P85" s="2" t="n">
        <f aca="false">MAX(O84+IF($A85=P$4,1,-1),P84-1,O85-1)</f>
        <v>-69</v>
      </c>
      <c r="Q85" s="2" t="n">
        <f aca="false">MAX(P84+IF($A85=Q$4,1,-1),Q84-1,P85-1)</f>
        <v>-69</v>
      </c>
      <c r="R85" s="2" t="n">
        <f aca="false">MAX(Q84+IF($A85=R$4,1,-1),R84-1,Q85-1)</f>
        <v>-69</v>
      </c>
      <c r="S85" s="2" t="n">
        <f aca="false">MAX(R84+IF($A85=S$4,1,-1),S84-1,R85-1)</f>
        <v>-69</v>
      </c>
      <c r="T85" s="2" t="n">
        <f aca="false">MAX(S84+IF($A85=T$4,1,-1),T84-1,S85-1)</f>
        <v>-69</v>
      </c>
      <c r="U85" s="2" t="n">
        <f aca="false">MAX(T84+IF($A85=U$4,1,-1),U84-1,T85-1)</f>
        <v>-67</v>
      </c>
      <c r="V85" s="2" t="n">
        <f aca="false">MAX(U84+IF($A85=V$4,1,-1),V84-1,U85-1)</f>
        <v>-67</v>
      </c>
      <c r="W85" s="2" t="n">
        <f aca="false">MAX(V84+IF($A85=W$4,1,-1),W84-1,V85-1)</f>
        <v>-67</v>
      </c>
      <c r="X85" s="2" t="n">
        <f aca="false">MAX(W84+IF($A85=X$4,1,-1),X84-1,W85-1)</f>
        <v>-67</v>
      </c>
      <c r="Y85" s="2" t="n">
        <f aca="false">MAX(X84+IF($A85=Y$4,1,-1),Y84-1,X85-1)</f>
        <v>-67</v>
      </c>
      <c r="Z85" s="2" t="n">
        <f aca="false">MAX(Y84+IF($A85=Z$4,1,-1),Z84-1,Y85-1)</f>
        <v>-67</v>
      </c>
      <c r="AA85" s="2" t="n">
        <f aca="false">MAX(Z84+IF($A85=AA$4,1,-1),AA84-1,Z85-1)</f>
        <v>-67</v>
      </c>
      <c r="AB85" s="2" t="n">
        <f aca="false">MAX(AA84+IF($A85=AB$4,1,-1),AB84-1,AA85-1)</f>
        <v>-67</v>
      </c>
      <c r="AC85" s="2" t="n">
        <f aca="false">MAX(AB84+IF($A85=AC$4,1,-1),AC84-1,AB85-1)</f>
        <v>-67</v>
      </c>
      <c r="AD85" s="2" t="n">
        <f aca="false">MAX(AC84+IF($A85=AD$4,1,-1),AD84-1,AC85-1)</f>
        <v>-67</v>
      </c>
      <c r="AE85" s="2" t="n">
        <f aca="false">MAX(AD84+IF($A85=AE$4,1,-1),AE84-1,AD85-1)</f>
        <v>-68</v>
      </c>
      <c r="AF85" s="2" t="n">
        <f aca="false">MAX(AE84+IF($A85=AF$4,1,-1),AF84-1,AE85-1)</f>
        <v>-68</v>
      </c>
      <c r="AG85" s="2" t="n">
        <f aca="false">MAX(AF84+IF($A85=AG$4,1,-1),AG84-1,AF85-1)</f>
        <v>-68</v>
      </c>
      <c r="AH85" s="2" t="n">
        <f aca="false">MAX(AG84+IF($A85=AH$4,1,-1),AH84-1,AG85-1)</f>
        <v>-68</v>
      </c>
      <c r="AI85" s="2" t="n">
        <f aca="false">MAX(AH84+IF($A85=AI$4,1,-1),AI84-1,AH85-1)</f>
        <v>-68</v>
      </c>
      <c r="AJ85" s="2" t="n">
        <f aca="false">MAX(AI84+IF($A85=AJ$4,1,-1),AJ84-1,AI85-1)</f>
        <v>-68</v>
      </c>
      <c r="AK85" s="2" t="n">
        <f aca="false">MAX(AJ84+IF($A85=AK$4,1,-1),AK84-1,AJ85-1)</f>
        <v>-68</v>
      </c>
      <c r="AL85" s="2" t="n">
        <f aca="false">MAX(AK84+IF($A85=AL$4,1,-1),AL84-1,AK85-1)</f>
        <v>-68</v>
      </c>
      <c r="AM85" s="2" t="n">
        <f aca="false">MAX(AL84+IF($A85=AM$4,1,-1),AM84-1,AL85-1)</f>
        <v>-68</v>
      </c>
      <c r="AN85" s="2" t="n">
        <f aca="false">MAX(AM84+IF($A85=AN$4,1,-1),AN84-1,AM85-1)</f>
        <v>-68</v>
      </c>
      <c r="AO85" s="2" t="n">
        <f aca="false">MAX(AN84+IF($A85=AO$4,1,-1),AO84-1,AN85-1)</f>
        <v>-68</v>
      </c>
      <c r="AP85" s="2" t="n">
        <f aca="false">MAX(AO84+IF($A85=AP$4,1,-1),AP84-1,AO85-1)</f>
        <v>-68</v>
      </c>
      <c r="AQ85" s="2" t="n">
        <f aca="false">MAX(AP84+IF($A85=AQ$4,1,-1),AQ84-1,AP85-1)</f>
        <v>-68</v>
      </c>
      <c r="AR85" s="2" t="n">
        <f aca="false">MAX(AQ84+IF($A85=AR$4,1,-1),AR84-1,AQ85-1)</f>
        <v>-68</v>
      </c>
      <c r="AS85" s="2" t="n">
        <f aca="false">MAX(AR84+IF($A85=AS$4,1,-1),AS84-1,AR85-1)</f>
        <v>-68</v>
      </c>
      <c r="AT85" s="2" t="n">
        <f aca="false">MAX(AS84+IF($A85=AT$4,1,-1),AT84-1,AS85-1)</f>
        <v>-68</v>
      </c>
      <c r="AU85" s="2" t="n">
        <f aca="false">MAX(AT84+IF($A85=AU$4,1,-1),AU84-1,AT85-1)</f>
        <v>-68</v>
      </c>
      <c r="AV85" s="2" t="n">
        <f aca="false">MAX(AU84+IF($A85=AV$4,1,-1),AV84-1,AU85-1)</f>
        <v>-68</v>
      </c>
      <c r="AW85" s="2" t="n">
        <f aca="false">MAX(AV84+IF($A85=AW$4,1,-1),AW84-1,AV85-1)</f>
        <v>-68</v>
      </c>
      <c r="AX85" s="2" t="n">
        <f aca="false">MAX(AW84+IF($A85=AX$4,1,-1),AX84-1,AW85-1)</f>
        <v>-69</v>
      </c>
      <c r="AY85" s="2" t="n">
        <f aca="false">MAX(AX84+IF($A85=AY$4,1,-1),AY84-1,AX85-1)</f>
        <v>-70</v>
      </c>
      <c r="AZ85" s="2" t="n">
        <f aca="false">MAX(AY84+IF($A85=AZ$4,1,-1),AZ84-1,AY85-1)</f>
        <v>-70</v>
      </c>
      <c r="BA85" s="2" t="n">
        <f aca="false">MAX(AZ84+IF($A85=BA$4,1,-1),BA84-1,AZ85-1)</f>
        <v>-70</v>
      </c>
      <c r="BB85" s="2" t="n">
        <f aca="false">MAX(BA84+IF($A85=BB$4,1,-1),BB84-1,BA85-1)</f>
        <v>-70</v>
      </c>
      <c r="BC85" s="2" t="n">
        <f aca="false">MAX(BB84+IF($A85=BC$4,1,-1),BC84-1,BB85-1)</f>
        <v>-70</v>
      </c>
      <c r="BD85" s="2" t="n">
        <f aca="false">MAX(BC84+IF($A85=BD$4,1,-1),BD84-1,BC85-1)</f>
        <v>-70</v>
      </c>
      <c r="BE85" s="2" t="n">
        <f aca="false">MAX(BD84+IF($A85=BE$4,1,-1),BE84-1,BD85-1)</f>
        <v>-70</v>
      </c>
      <c r="BF85" s="2" t="n">
        <f aca="false">MAX(BE84+IF($A85=BF$4,1,-1),BF84-1,BE85-1)</f>
        <v>-70</v>
      </c>
      <c r="BG85" s="2" t="n">
        <f aca="false">MAX(BF84+IF($A85=BG$4,1,-1),BG84-1,BF85-1)</f>
        <v>-70</v>
      </c>
      <c r="BH85" s="2" t="n">
        <f aca="false">MAX(BG84+IF($A85=BH$4,1,-1),BH84-1,BG85-1)</f>
        <v>-70</v>
      </c>
      <c r="BI85" s="2" t="n">
        <f aca="false">MAX(BH84+IF($A85=BI$4,1,-1),BI84-1,BH85-1)</f>
        <v>-68</v>
      </c>
      <c r="BJ85" s="2" t="n">
        <f aca="false">MAX(BI84+IF($A85=BJ$4,1,-1),BJ84-1,BI85-1)</f>
        <v>-68</v>
      </c>
      <c r="BK85" s="2" t="n">
        <f aca="false">MAX(BJ84+IF($A85=BK$4,1,-1),BK84-1,BJ85-1)</f>
        <v>-68</v>
      </c>
      <c r="BL85" s="2" t="n">
        <f aca="false">MAX(BK84+IF($A85=BL$4,1,-1),BL84-1,BK85-1)</f>
        <v>-68</v>
      </c>
      <c r="BM85" s="2" t="n">
        <f aca="false">MAX(BL84+IF($A85=BM$4,1,-1),BM84-1,BL85-1)</f>
        <v>-68</v>
      </c>
      <c r="BN85" s="2" t="n">
        <f aca="false">MAX(BM84+IF($A85=BN$4,1,-1),BN84-1,BM85-1)</f>
        <v>-68</v>
      </c>
      <c r="BO85" s="2" t="n">
        <f aca="false">MAX(BN84+IF($A85=BO$4,1,-1),BO84-1,BN85-1)</f>
        <v>-68</v>
      </c>
      <c r="BP85" s="2" t="n">
        <f aca="false">MAX(BO84+IF($A85=BP$4,1,-1),BP84-1,BO85-1)</f>
        <v>-68</v>
      </c>
      <c r="BQ85" s="2" t="n">
        <f aca="false">MAX(BP84+IF($A85=BQ$4,1,-1),BQ84-1,BP85-1)</f>
        <v>-68</v>
      </c>
      <c r="BR85" s="2" t="n">
        <f aca="false">MAX(BQ84+IF($A85=BR$4,1,-1),BR84-1,BQ85-1)</f>
        <v>-68</v>
      </c>
      <c r="BS85" s="2" t="n">
        <f aca="false">MAX(BR84+IF($A85=BS$4,1,-1),BS84-1,BR85-1)</f>
        <v>-69</v>
      </c>
      <c r="BT85" s="2" t="n">
        <f aca="false">MAX(BS84+IF($A85=BT$4,1,-1),BT84-1,BS85-1)</f>
        <v>-70</v>
      </c>
      <c r="BU85" s="2" t="n">
        <f aca="false">MAX(BT84+IF($A85=BU$4,1,-1),BU84-1,BT85-1)</f>
        <v>-71</v>
      </c>
      <c r="BV85" s="2" t="n">
        <f aca="false">MAX(BU84+IF($A85=BV$4,1,-1),BV84-1,BU85-1)</f>
        <v>-72</v>
      </c>
      <c r="BW85" s="2" t="n">
        <f aca="false">MAX(BV84+IF($A85=BW$4,1,-1),BW84-1,BV85-1)</f>
        <v>-72</v>
      </c>
      <c r="BX85" s="2" t="n">
        <f aca="false">MAX(BW84+IF($A85=BX$4,1,-1),BX84-1,BW85-1)</f>
        <v>-72</v>
      </c>
      <c r="BY85" s="2" t="n">
        <f aca="false">MAX(BX84+IF($A85=BY$4,1,-1),BY84-1,BX85-1)</f>
        <v>-72</v>
      </c>
      <c r="BZ85" s="2" t="n">
        <f aca="false">MAX(BY84+IF($A85=BZ$4,1,-1),BZ84-1,BY85-1)</f>
        <v>-72</v>
      </c>
      <c r="CA85" s="2" t="n">
        <f aca="false">MAX(BZ84+IF($A85=CA$4,1,-1),CA84-1,BZ85-1)</f>
        <v>-72</v>
      </c>
      <c r="CB85" s="2" t="n">
        <f aca="false">MAX(CA84+IF($A85=CB$4,1,-1),CB84-1,CA85-1)</f>
        <v>-72</v>
      </c>
      <c r="CC85" s="2" t="n">
        <f aca="false">MAX(CB84+IF($A85=CC$4,1,-1),CC84-1,CB85-1)</f>
        <v>-72</v>
      </c>
      <c r="CD85" s="2" t="n">
        <f aca="false">MAX(CC84+IF($A85=CD$4,1,-1),CD84-1,CC85-1)</f>
        <v>-72</v>
      </c>
      <c r="CE85" s="2" t="n">
        <f aca="false">MAX(CD84+IF($A85=CE$4,1,-1),CE84-1,CD85-1)</f>
        <v>-72</v>
      </c>
      <c r="CF85" s="2" t="n">
        <f aca="false">MAX(CE84+IF($A85=CF$4,1,-1),CF84-1,CE85-1)</f>
        <v>-73</v>
      </c>
      <c r="CG85" s="2" t="n">
        <f aca="false">MAX(CF84+IF($A85=CG$4,1,-1),CG84-1,CF85-1)</f>
        <v>-74</v>
      </c>
      <c r="CH85" s="2" t="n">
        <f aca="false">MAX(CG84+IF($A85=CH$4,1,-1),CH84-1,CG85-1)</f>
        <v>-75</v>
      </c>
      <c r="CI85" s="2" t="n">
        <f aca="false">MAX(CH84+IF($A85=CI$4,1,-1),CI84-1,CH85-1)</f>
        <v>-76</v>
      </c>
      <c r="CJ85" s="2" t="n">
        <f aca="false">MAX(CI84+IF($A85=CJ$4,1,-1),CJ84-1,CI85-1)</f>
        <v>-77</v>
      </c>
      <c r="CK85" s="2" t="n">
        <f aca="false">MAX(CJ84+IF($A85=CK$4,1,-1),CK84-1,CJ85-1)</f>
        <v>-78</v>
      </c>
      <c r="CL85" s="2" t="n">
        <f aca="false">MAX(CK84+IF($A85=CL$4,1,-1),CL84-1,CK85-1)</f>
        <v>-79</v>
      </c>
      <c r="CM85" s="2" t="n">
        <f aca="false">MAX(CL84+IF($A85=CM$4,1,-1),CM84-1,CL85-1)</f>
        <v>-80</v>
      </c>
      <c r="CN85" s="2" t="n">
        <f aca="false">MAX(CM84+IF($A85=CN$4,1,-1),CN84-1,CM85-1)</f>
        <v>-81</v>
      </c>
      <c r="CO85" s="2" t="n">
        <f aca="false">MAX(CN84+IF($A85=CO$4,1,-1),CO84-1,CN85-1)</f>
        <v>-82</v>
      </c>
      <c r="CP85" s="2" t="n">
        <f aca="false">MAX(CO84+IF($A85=CP$4,1,-1),CP84-1,CO85-1)</f>
        <v>-83</v>
      </c>
      <c r="CQ85" s="2" t="n">
        <f aca="false">MAX(CP84+IF($A85=CQ$4,1,-1),CQ84-1,CP85-1)</f>
        <v>-84</v>
      </c>
    </row>
    <row r="86" customFormat="false" ht="15" hidden="false" customHeight="false" outlineLevel="0" collapsed="false">
      <c r="A86" s="4" t="s">
        <v>194</v>
      </c>
      <c r="B86" s="12" t="n">
        <v>-81</v>
      </c>
      <c r="C86" s="2" t="n">
        <f aca="false">MAX(B85+IF($A86=C$4,1,-1),C85-1,B86-1)</f>
        <v>-81</v>
      </c>
      <c r="D86" s="2" t="n">
        <f aca="false">MAX(C85+IF($A86=D$4,1,-1),D85-1,C86-1)</f>
        <v>-79</v>
      </c>
      <c r="E86" s="2" t="n">
        <f aca="false">MAX(D85+IF($A86=E$4,1,-1),E85-1,D86-1)</f>
        <v>-77</v>
      </c>
      <c r="F86" s="2" t="n">
        <f aca="false">MAX(E85+IF($A86=F$4,1,-1),F85-1,E86-1)</f>
        <v>-75</v>
      </c>
      <c r="G86" s="2" t="n">
        <f aca="false">MAX(F85+IF($A86=G$4,1,-1),G85-1,F86-1)</f>
        <v>-75</v>
      </c>
      <c r="H86" s="2" t="n">
        <f aca="false">MAX(G85+IF($A86=H$4,1,-1),H85-1,G86-1)</f>
        <v>-75</v>
      </c>
      <c r="I86" s="2" t="n">
        <f aca="false">MAX(H85+IF($A86=I$4,1,-1),I85-1,H86-1)</f>
        <v>-75</v>
      </c>
      <c r="J86" s="2" t="n">
        <f aca="false">MAX(I85+IF($A86=J$4,1,-1),J85-1,I86-1)</f>
        <v>-75</v>
      </c>
      <c r="K86" s="2" t="n">
        <f aca="false">MAX(J85+IF($A86=K$4,1,-1),K85-1,J86-1)</f>
        <v>-73</v>
      </c>
      <c r="L86" s="2" t="n">
        <f aca="false">MAX(K85+IF($A86=L$4,1,-1),L85-1,K86-1)</f>
        <v>-73</v>
      </c>
      <c r="M86" s="2" t="n">
        <f aca="false">MAX(L85+IF($A86=M$4,1,-1),M85-1,L86-1)</f>
        <v>-73</v>
      </c>
      <c r="N86" s="2" t="n">
        <f aca="false">MAX(M85+IF($A86=N$4,1,-1),N85-1,M86-1)</f>
        <v>-71</v>
      </c>
      <c r="O86" s="2" t="n">
        <f aca="false">MAX(N85+IF($A86=O$4,1,-1),O85-1,N86-1)</f>
        <v>-70</v>
      </c>
      <c r="P86" s="2" t="n">
        <f aca="false">MAX(O85+IF($A86=P$4,1,-1),P85-1,O86-1)</f>
        <v>-70</v>
      </c>
      <c r="Q86" s="2" t="n">
        <f aca="false">MAX(P85+IF($A86=Q$4,1,-1),Q85-1,P86-1)</f>
        <v>-70</v>
      </c>
      <c r="R86" s="2" t="n">
        <f aca="false">MAX(Q85+IF($A86=R$4,1,-1),R85-1,Q86-1)</f>
        <v>-70</v>
      </c>
      <c r="S86" s="2" t="n">
        <f aca="false">MAX(R85+IF($A86=S$4,1,-1),S85-1,R86-1)</f>
        <v>-70</v>
      </c>
      <c r="T86" s="2" t="n">
        <f aca="false">MAX(S85+IF($A86=T$4,1,-1),T85-1,S86-1)</f>
        <v>-70</v>
      </c>
      <c r="U86" s="2" t="n">
        <f aca="false">MAX(T85+IF($A86=U$4,1,-1),U85-1,T86-1)</f>
        <v>-68</v>
      </c>
      <c r="V86" s="2" t="n">
        <f aca="false">MAX(U85+IF($A86=V$4,1,-1),V85-1,U86-1)</f>
        <v>-68</v>
      </c>
      <c r="W86" s="2" t="n">
        <f aca="false">MAX(V85+IF($A86=W$4,1,-1),W85-1,V86-1)</f>
        <v>-68</v>
      </c>
      <c r="X86" s="2" t="n">
        <f aca="false">MAX(W85+IF($A86=X$4,1,-1),X85-1,W86-1)</f>
        <v>-68</v>
      </c>
      <c r="Y86" s="2" t="n">
        <f aca="false">MAX(X85+IF($A86=Y$4,1,-1),Y85-1,X86-1)</f>
        <v>-68</v>
      </c>
      <c r="Z86" s="2" t="n">
        <f aca="false">MAX(Y85+IF($A86=Z$4,1,-1),Z85-1,Y86-1)</f>
        <v>-68</v>
      </c>
      <c r="AA86" s="2" t="n">
        <f aca="false">MAX(Z85+IF($A86=AA$4,1,-1),AA85-1,Z86-1)</f>
        <v>-68</v>
      </c>
      <c r="AB86" s="2" t="n">
        <f aca="false">MAX(AA85+IF($A86=AB$4,1,-1),AB85-1,AA86-1)</f>
        <v>-68</v>
      </c>
      <c r="AC86" s="2" t="n">
        <f aca="false">MAX(AB85+IF($A86=AC$4,1,-1),AC85-1,AB86-1)</f>
        <v>-68</v>
      </c>
      <c r="AD86" s="2" t="n">
        <f aca="false">MAX(AC85+IF($A86=AD$4,1,-1),AD85-1,AC86-1)</f>
        <v>-68</v>
      </c>
      <c r="AE86" s="2" t="n">
        <f aca="false">MAX(AD85+IF($A86=AE$4,1,-1),AE85-1,AD86-1)</f>
        <v>-68</v>
      </c>
      <c r="AF86" s="2" t="n">
        <f aca="false">MAX(AE85+IF($A86=AF$4,1,-1),AF85-1,AE86-1)</f>
        <v>-69</v>
      </c>
      <c r="AG86" s="2" t="n">
        <f aca="false">MAX(AF85+IF($A86=AG$4,1,-1),AG85-1,AF86-1)</f>
        <v>-69</v>
      </c>
      <c r="AH86" s="2" t="n">
        <f aca="false">MAX(AG85+IF($A86=AH$4,1,-1),AH85-1,AG86-1)</f>
        <v>-69</v>
      </c>
      <c r="AI86" s="2" t="n">
        <f aca="false">MAX(AH85+IF($A86=AI$4,1,-1),AI85-1,AH86-1)</f>
        <v>-69</v>
      </c>
      <c r="AJ86" s="2" t="n">
        <f aca="false">MAX(AI85+IF($A86=AJ$4,1,-1),AJ85-1,AI86-1)</f>
        <v>-69</v>
      </c>
      <c r="AK86" s="2" t="n">
        <f aca="false">MAX(AJ85+IF($A86=AK$4,1,-1),AK85-1,AJ86-1)</f>
        <v>-69</v>
      </c>
      <c r="AL86" s="2" t="n">
        <f aca="false">MAX(AK85+IF($A86=AL$4,1,-1),AL85-1,AK86-1)</f>
        <v>-69</v>
      </c>
      <c r="AM86" s="2" t="n">
        <f aca="false">MAX(AL85+IF($A86=AM$4,1,-1),AM85-1,AL86-1)</f>
        <v>-69</v>
      </c>
      <c r="AN86" s="2" t="n">
        <f aca="false">MAX(AM85+IF($A86=AN$4,1,-1),AN85-1,AM86-1)</f>
        <v>-69</v>
      </c>
      <c r="AO86" s="2" t="n">
        <f aca="false">MAX(AN85+IF($A86=AO$4,1,-1),AO85-1,AN86-1)</f>
        <v>-69</v>
      </c>
      <c r="AP86" s="2" t="n">
        <f aca="false">MAX(AO85+IF($A86=AP$4,1,-1),AP85-1,AO86-1)</f>
        <v>-69</v>
      </c>
      <c r="AQ86" s="2" t="n">
        <f aca="false">MAX(AP85+IF($A86=AQ$4,1,-1),AQ85-1,AP86-1)</f>
        <v>-69</v>
      </c>
      <c r="AR86" s="2" t="n">
        <f aca="false">MAX(AQ85+IF($A86=AR$4,1,-1),AR85-1,AQ86-1)</f>
        <v>-69</v>
      </c>
      <c r="AS86" s="2" t="n">
        <f aca="false">MAX(AR85+IF($A86=AS$4,1,-1),AS85-1,AR86-1)</f>
        <v>-69</v>
      </c>
      <c r="AT86" s="2" t="n">
        <f aca="false">MAX(AS85+IF($A86=AT$4,1,-1),AT85-1,AS86-1)</f>
        <v>-69</v>
      </c>
      <c r="AU86" s="2" t="n">
        <f aca="false">MAX(AT85+IF($A86=AU$4,1,-1),AU85-1,AT86-1)</f>
        <v>-69</v>
      </c>
      <c r="AV86" s="2" t="n">
        <f aca="false">MAX(AU85+IF($A86=AV$4,1,-1),AV85-1,AU86-1)</f>
        <v>-69</v>
      </c>
      <c r="AW86" s="2" t="n">
        <f aca="false">MAX(AV85+IF($A86=AW$4,1,-1),AW85-1,AV86-1)</f>
        <v>-69</v>
      </c>
      <c r="AX86" s="2" t="n">
        <f aca="false">MAX(AW85+IF($A86=AX$4,1,-1),AX85-1,AW86-1)</f>
        <v>-69</v>
      </c>
      <c r="AY86" s="2" t="n">
        <f aca="false">MAX(AX85+IF($A86=AY$4,1,-1),AY85-1,AX86-1)</f>
        <v>-70</v>
      </c>
      <c r="AZ86" s="2" t="n">
        <f aca="false">MAX(AY85+IF($A86=AZ$4,1,-1),AZ85-1,AY86-1)</f>
        <v>-71</v>
      </c>
      <c r="BA86" s="2" t="n">
        <f aca="false">MAX(AZ85+IF($A86=BA$4,1,-1),BA85-1,AZ86-1)</f>
        <v>-71</v>
      </c>
      <c r="BB86" s="2" t="n">
        <f aca="false">MAX(BA85+IF($A86=BB$4,1,-1),BB85-1,BA86-1)</f>
        <v>-71</v>
      </c>
      <c r="BC86" s="2" t="n">
        <f aca="false">MAX(BB85+IF($A86=BC$4,1,-1),BC85-1,BB86-1)</f>
        <v>-71</v>
      </c>
      <c r="BD86" s="2" t="n">
        <f aca="false">MAX(BC85+IF($A86=BD$4,1,-1),BD85-1,BC86-1)</f>
        <v>-71</v>
      </c>
      <c r="BE86" s="2" t="n">
        <f aca="false">MAX(BD85+IF($A86=BE$4,1,-1),BE85-1,BD86-1)</f>
        <v>-71</v>
      </c>
      <c r="BF86" s="2" t="n">
        <f aca="false">MAX(BE85+IF($A86=BF$4,1,-1),BF85-1,BE86-1)</f>
        <v>-71</v>
      </c>
      <c r="BG86" s="2" t="n">
        <f aca="false">MAX(BF85+IF($A86=BG$4,1,-1),BG85-1,BF86-1)</f>
        <v>-71</v>
      </c>
      <c r="BH86" s="2" t="n">
        <f aca="false">MAX(BG85+IF($A86=BH$4,1,-1),BH85-1,BG86-1)</f>
        <v>-71</v>
      </c>
      <c r="BI86" s="2" t="n">
        <f aca="false">MAX(BH85+IF($A86=BI$4,1,-1),BI85-1,BH86-1)</f>
        <v>-69</v>
      </c>
      <c r="BJ86" s="2" t="n">
        <f aca="false">MAX(BI85+IF($A86=BJ$4,1,-1),BJ85-1,BI86-1)</f>
        <v>-69</v>
      </c>
      <c r="BK86" s="2" t="n">
        <f aca="false">MAX(BJ85+IF($A86=BK$4,1,-1),BK85-1,BJ86-1)</f>
        <v>-69</v>
      </c>
      <c r="BL86" s="2" t="n">
        <f aca="false">MAX(BK85+IF($A86=BL$4,1,-1),BL85-1,BK86-1)</f>
        <v>-69</v>
      </c>
      <c r="BM86" s="2" t="n">
        <f aca="false">MAX(BL85+IF($A86=BM$4,1,-1),BM85-1,BL86-1)</f>
        <v>-69</v>
      </c>
      <c r="BN86" s="2" t="n">
        <f aca="false">MAX(BM85+IF($A86=BN$4,1,-1),BN85-1,BM86-1)</f>
        <v>-69</v>
      </c>
      <c r="BO86" s="2" t="n">
        <f aca="false">MAX(BN85+IF($A86=BO$4,1,-1),BO85-1,BN86-1)</f>
        <v>-69</v>
      </c>
      <c r="BP86" s="2" t="n">
        <f aca="false">MAX(BO85+IF($A86=BP$4,1,-1),BP85-1,BO86-1)</f>
        <v>-69</v>
      </c>
      <c r="BQ86" s="2" t="n">
        <f aca="false">MAX(BP85+IF($A86=BQ$4,1,-1),BQ85-1,BP86-1)</f>
        <v>-69</v>
      </c>
      <c r="BR86" s="2" t="n">
        <f aca="false">MAX(BQ85+IF($A86=BR$4,1,-1),BR85-1,BQ86-1)</f>
        <v>-69</v>
      </c>
      <c r="BS86" s="2" t="n">
        <f aca="false">MAX(BR85+IF($A86=BS$4,1,-1),BS85-1,BR86-1)</f>
        <v>-69</v>
      </c>
      <c r="BT86" s="2" t="n">
        <f aca="false">MAX(BS85+IF($A86=BT$4,1,-1),BT85-1,BS86-1)</f>
        <v>-70</v>
      </c>
      <c r="BU86" s="2" t="n">
        <f aca="false">MAX(BT85+IF($A86=BU$4,1,-1),BU85-1,BT86-1)</f>
        <v>-71</v>
      </c>
      <c r="BV86" s="2" t="n">
        <f aca="false">MAX(BU85+IF($A86=BV$4,1,-1),BV85-1,BU86-1)</f>
        <v>-72</v>
      </c>
      <c r="BW86" s="2" t="n">
        <f aca="false">MAX(BV85+IF($A86=BW$4,1,-1),BW85-1,BV86-1)</f>
        <v>-73</v>
      </c>
      <c r="BX86" s="2" t="n">
        <f aca="false">MAX(BW85+IF($A86=BX$4,1,-1),BX85-1,BW86-1)</f>
        <v>-73</v>
      </c>
      <c r="BY86" s="2" t="n">
        <f aca="false">MAX(BX85+IF($A86=BY$4,1,-1),BY85-1,BX86-1)</f>
        <v>-73</v>
      </c>
      <c r="BZ86" s="2" t="n">
        <f aca="false">MAX(BY85+IF($A86=BZ$4,1,-1),BZ85-1,BY86-1)</f>
        <v>-73</v>
      </c>
      <c r="CA86" s="2" t="n">
        <f aca="false">MAX(BZ85+IF($A86=CA$4,1,-1),CA85-1,BZ86-1)</f>
        <v>-73</v>
      </c>
      <c r="CB86" s="2" t="n">
        <f aca="false">MAX(CA85+IF($A86=CB$4,1,-1),CB85-1,CA86-1)</f>
        <v>-73</v>
      </c>
      <c r="CC86" s="2" t="n">
        <f aca="false">MAX(CB85+IF($A86=CC$4,1,-1),CC85-1,CB86-1)</f>
        <v>-73</v>
      </c>
      <c r="CD86" s="2" t="n">
        <f aca="false">MAX(CC85+IF($A86=CD$4,1,-1),CD85-1,CC86-1)</f>
        <v>-73</v>
      </c>
      <c r="CE86" s="2" t="n">
        <f aca="false">MAX(CD85+IF($A86=CE$4,1,-1),CE85-1,CD86-1)</f>
        <v>-73</v>
      </c>
      <c r="CF86" s="2" t="n">
        <f aca="false">MAX(CE85+IF($A86=CF$4,1,-1),CF85-1,CE86-1)</f>
        <v>-73</v>
      </c>
      <c r="CG86" s="2" t="n">
        <f aca="false">MAX(CF85+IF($A86=CG$4,1,-1),CG85-1,CF86-1)</f>
        <v>-74</v>
      </c>
      <c r="CH86" s="2" t="n">
        <f aca="false">MAX(CG85+IF($A86=CH$4,1,-1),CH85-1,CG86-1)</f>
        <v>-75</v>
      </c>
      <c r="CI86" s="2" t="n">
        <f aca="false">MAX(CH85+IF($A86=CI$4,1,-1),CI85-1,CH86-1)</f>
        <v>-76</v>
      </c>
      <c r="CJ86" s="2" t="n">
        <f aca="false">MAX(CI85+IF($A86=CJ$4,1,-1),CJ85-1,CI86-1)</f>
        <v>-77</v>
      </c>
      <c r="CK86" s="2" t="n">
        <f aca="false">MAX(CJ85+IF($A86=CK$4,1,-1),CK85-1,CJ86-1)</f>
        <v>-78</v>
      </c>
      <c r="CL86" s="2" t="n">
        <f aca="false">MAX(CK85+IF($A86=CL$4,1,-1),CL85-1,CK86-1)</f>
        <v>-79</v>
      </c>
      <c r="CM86" s="2" t="n">
        <f aca="false">MAX(CL85+IF($A86=CM$4,1,-1),CM85-1,CL86-1)</f>
        <v>-80</v>
      </c>
      <c r="CN86" s="2" t="n">
        <f aca="false">MAX(CM85+IF($A86=CN$4,1,-1),CN85-1,CM86-1)</f>
        <v>-81</v>
      </c>
      <c r="CO86" s="2" t="n">
        <f aca="false">MAX(CN85+IF($A86=CO$4,1,-1),CO85-1,CN86-1)</f>
        <v>-82</v>
      </c>
      <c r="CP86" s="2" t="n">
        <f aca="false">MAX(CO85+IF($A86=CP$4,1,-1),CP85-1,CO86-1)</f>
        <v>-83</v>
      </c>
      <c r="CQ86" s="2" t="n">
        <f aca="false">MAX(CP85+IF($A86=CQ$4,1,-1),CQ85-1,CP86-1)</f>
        <v>-84</v>
      </c>
    </row>
    <row r="87" customFormat="false" ht="15" hidden="false" customHeight="false" outlineLevel="0" collapsed="false">
      <c r="A87" s="4" t="s">
        <v>195</v>
      </c>
      <c r="B87" s="12" t="n">
        <v>-82</v>
      </c>
      <c r="C87" s="2" t="n">
        <f aca="false">MAX(B86+IF($A87=C$4,1,-1),C86-1,B87-1)</f>
        <v>-82</v>
      </c>
      <c r="D87" s="2" t="n">
        <f aca="false">MAX(C86+IF($A87=D$4,1,-1),D86-1,C87-1)</f>
        <v>-80</v>
      </c>
      <c r="E87" s="2" t="n">
        <f aca="false">MAX(D86+IF($A87=E$4,1,-1),E86-1,D87-1)</f>
        <v>-78</v>
      </c>
      <c r="F87" s="2" t="n">
        <f aca="false">MAX(E86+IF($A87=F$4,1,-1),F86-1,E87-1)</f>
        <v>-76</v>
      </c>
      <c r="G87" s="2" t="n">
        <f aca="false">MAX(F86+IF($A87=G$4,1,-1),G86-1,F87-1)</f>
        <v>-76</v>
      </c>
      <c r="H87" s="2" t="n">
        <f aca="false">MAX(G86+IF($A87=H$4,1,-1),H86-1,G87-1)</f>
        <v>-76</v>
      </c>
      <c r="I87" s="2" t="n">
        <f aca="false">MAX(H86+IF($A87=I$4,1,-1),I86-1,H87-1)</f>
        <v>-76</v>
      </c>
      <c r="J87" s="2" t="n">
        <f aca="false">MAX(I86+IF($A87=J$4,1,-1),J86-1,I87-1)</f>
        <v>-76</v>
      </c>
      <c r="K87" s="2" t="n">
        <f aca="false">MAX(J86+IF($A87=K$4,1,-1),K86-1,J87-1)</f>
        <v>-74</v>
      </c>
      <c r="L87" s="2" t="n">
        <f aca="false">MAX(K86+IF($A87=L$4,1,-1),L86-1,K87-1)</f>
        <v>-74</v>
      </c>
      <c r="M87" s="2" t="n">
        <f aca="false">MAX(L86+IF($A87=M$4,1,-1),M86-1,L87-1)</f>
        <v>-74</v>
      </c>
      <c r="N87" s="2" t="n">
        <f aca="false">MAX(M86+IF($A87=N$4,1,-1),N86-1,M87-1)</f>
        <v>-72</v>
      </c>
      <c r="O87" s="2" t="n">
        <f aca="false">MAX(N86+IF($A87=O$4,1,-1),O86-1,N87-1)</f>
        <v>-71</v>
      </c>
      <c r="P87" s="2" t="n">
        <f aca="false">MAX(O86+IF($A87=P$4,1,-1),P86-1,O87-1)</f>
        <v>-71</v>
      </c>
      <c r="Q87" s="2" t="n">
        <f aca="false">MAX(P86+IF($A87=Q$4,1,-1),Q86-1,P87-1)</f>
        <v>-71</v>
      </c>
      <c r="R87" s="2" t="n">
        <f aca="false">MAX(Q86+IF($A87=R$4,1,-1),R86-1,Q87-1)</f>
        <v>-71</v>
      </c>
      <c r="S87" s="2" t="n">
        <f aca="false">MAX(R86+IF($A87=S$4,1,-1),S86-1,R87-1)</f>
        <v>-71</v>
      </c>
      <c r="T87" s="2" t="n">
        <f aca="false">MAX(S86+IF($A87=T$4,1,-1),T86-1,S87-1)</f>
        <v>-71</v>
      </c>
      <c r="U87" s="2" t="n">
        <f aca="false">MAX(T86+IF($A87=U$4,1,-1),U86-1,T87-1)</f>
        <v>-69</v>
      </c>
      <c r="V87" s="2" t="n">
        <f aca="false">MAX(U86+IF($A87=V$4,1,-1),V86-1,U87-1)</f>
        <v>-69</v>
      </c>
      <c r="W87" s="2" t="n">
        <f aca="false">MAX(V86+IF($A87=W$4,1,-1),W86-1,V87-1)</f>
        <v>-69</v>
      </c>
      <c r="X87" s="2" t="n">
        <f aca="false">MAX(W86+IF($A87=X$4,1,-1),X86-1,W87-1)</f>
        <v>-69</v>
      </c>
      <c r="Y87" s="2" t="n">
        <f aca="false">MAX(X86+IF($A87=Y$4,1,-1),Y86-1,X87-1)</f>
        <v>-69</v>
      </c>
      <c r="Z87" s="2" t="n">
        <f aca="false">MAX(Y86+IF($A87=Z$4,1,-1),Z86-1,Y87-1)</f>
        <v>-69</v>
      </c>
      <c r="AA87" s="2" t="n">
        <f aca="false">MAX(Z86+IF($A87=AA$4,1,-1),AA86-1,Z87-1)</f>
        <v>-69</v>
      </c>
      <c r="AB87" s="2" t="n">
        <f aca="false">MAX(AA86+IF($A87=AB$4,1,-1),AB86-1,AA87-1)</f>
        <v>-69</v>
      </c>
      <c r="AC87" s="2" t="n">
        <f aca="false">MAX(AB86+IF($A87=AC$4,1,-1),AC86-1,AB87-1)</f>
        <v>-69</v>
      </c>
      <c r="AD87" s="2" t="n">
        <f aca="false">MAX(AC86+IF($A87=AD$4,1,-1),AD86-1,AC87-1)</f>
        <v>-69</v>
      </c>
      <c r="AE87" s="2" t="n">
        <f aca="false">MAX(AD86+IF($A87=AE$4,1,-1),AE86-1,AD87-1)</f>
        <v>-69</v>
      </c>
      <c r="AF87" s="2" t="n">
        <f aca="false">MAX(AE86+IF($A87=AF$4,1,-1),AF86-1,AE87-1)</f>
        <v>-69</v>
      </c>
      <c r="AG87" s="2" t="n">
        <f aca="false">MAX(AF86+IF($A87=AG$4,1,-1),AG86-1,AF87-1)</f>
        <v>-70</v>
      </c>
      <c r="AH87" s="2" t="n">
        <f aca="false">MAX(AG86+IF($A87=AH$4,1,-1),AH86-1,AG87-1)</f>
        <v>-70</v>
      </c>
      <c r="AI87" s="2" t="n">
        <f aca="false">MAX(AH86+IF($A87=AI$4,1,-1),AI86-1,AH87-1)</f>
        <v>-70</v>
      </c>
      <c r="AJ87" s="2" t="n">
        <f aca="false">MAX(AI86+IF($A87=AJ$4,1,-1),AJ86-1,AI87-1)</f>
        <v>-70</v>
      </c>
      <c r="AK87" s="2" t="n">
        <f aca="false">MAX(AJ86+IF($A87=AK$4,1,-1),AK86-1,AJ87-1)</f>
        <v>-70</v>
      </c>
      <c r="AL87" s="2" t="n">
        <f aca="false">MAX(AK86+IF($A87=AL$4,1,-1),AL86-1,AK87-1)</f>
        <v>-70</v>
      </c>
      <c r="AM87" s="2" t="n">
        <f aca="false">MAX(AL86+IF($A87=AM$4,1,-1),AM86-1,AL87-1)</f>
        <v>-70</v>
      </c>
      <c r="AN87" s="2" t="n">
        <f aca="false">MAX(AM86+IF($A87=AN$4,1,-1),AN86-1,AM87-1)</f>
        <v>-70</v>
      </c>
      <c r="AO87" s="2" t="n">
        <f aca="false">MAX(AN86+IF($A87=AO$4,1,-1),AO86-1,AN87-1)</f>
        <v>-70</v>
      </c>
      <c r="AP87" s="2" t="n">
        <f aca="false">MAX(AO86+IF($A87=AP$4,1,-1),AP86-1,AO87-1)</f>
        <v>-70</v>
      </c>
      <c r="AQ87" s="2" t="n">
        <f aca="false">MAX(AP86+IF($A87=AQ$4,1,-1),AQ86-1,AP87-1)</f>
        <v>-70</v>
      </c>
      <c r="AR87" s="2" t="n">
        <f aca="false">MAX(AQ86+IF($A87=AR$4,1,-1),AR86-1,AQ87-1)</f>
        <v>-70</v>
      </c>
      <c r="AS87" s="2" t="n">
        <f aca="false">MAX(AR86+IF($A87=AS$4,1,-1),AS86-1,AR87-1)</f>
        <v>-70</v>
      </c>
      <c r="AT87" s="2" t="n">
        <f aca="false">MAX(AS86+IF($A87=AT$4,1,-1),AT86-1,AS87-1)</f>
        <v>-70</v>
      </c>
      <c r="AU87" s="2" t="n">
        <f aca="false">MAX(AT86+IF($A87=AU$4,1,-1),AU86-1,AT87-1)</f>
        <v>-70</v>
      </c>
      <c r="AV87" s="2" t="n">
        <f aca="false">MAX(AU86+IF($A87=AV$4,1,-1),AV86-1,AU87-1)</f>
        <v>-70</v>
      </c>
      <c r="AW87" s="2" t="n">
        <f aca="false">MAX(AV86+IF($A87=AW$4,1,-1),AW86-1,AV87-1)</f>
        <v>-70</v>
      </c>
      <c r="AX87" s="2" t="n">
        <f aca="false">MAX(AW86+IF($A87=AX$4,1,-1),AX86-1,AW87-1)</f>
        <v>-70</v>
      </c>
      <c r="AY87" s="2" t="n">
        <f aca="false">MAX(AX86+IF($A87=AY$4,1,-1),AY86-1,AX87-1)</f>
        <v>-70</v>
      </c>
      <c r="AZ87" s="2" t="n">
        <f aca="false">MAX(AY86+IF($A87=AZ$4,1,-1),AZ86-1,AY87-1)</f>
        <v>-71</v>
      </c>
      <c r="BA87" s="2" t="n">
        <f aca="false">MAX(AZ86+IF($A87=BA$4,1,-1),BA86-1,AZ87-1)</f>
        <v>-72</v>
      </c>
      <c r="BB87" s="2" t="n">
        <f aca="false">MAX(BA86+IF($A87=BB$4,1,-1),BB86-1,BA87-1)</f>
        <v>-72</v>
      </c>
      <c r="BC87" s="2" t="n">
        <f aca="false">MAX(BB86+IF($A87=BC$4,1,-1),BC86-1,BB87-1)</f>
        <v>-72</v>
      </c>
      <c r="BD87" s="2" t="n">
        <f aca="false">MAX(BC86+IF($A87=BD$4,1,-1),BD86-1,BC87-1)</f>
        <v>-72</v>
      </c>
      <c r="BE87" s="2" t="n">
        <f aca="false">MAX(BD86+IF($A87=BE$4,1,-1),BE86-1,BD87-1)</f>
        <v>-72</v>
      </c>
      <c r="BF87" s="2" t="n">
        <f aca="false">MAX(BE86+IF($A87=BF$4,1,-1),BF86-1,BE87-1)</f>
        <v>-72</v>
      </c>
      <c r="BG87" s="2" t="n">
        <f aca="false">MAX(BF86+IF($A87=BG$4,1,-1),BG86-1,BF87-1)</f>
        <v>-72</v>
      </c>
      <c r="BH87" s="2" t="n">
        <f aca="false">MAX(BG86+IF($A87=BH$4,1,-1),BH86-1,BG87-1)</f>
        <v>-72</v>
      </c>
      <c r="BI87" s="2" t="n">
        <f aca="false">MAX(BH86+IF($A87=BI$4,1,-1),BI86-1,BH87-1)</f>
        <v>-70</v>
      </c>
      <c r="BJ87" s="2" t="n">
        <f aca="false">MAX(BI86+IF($A87=BJ$4,1,-1),BJ86-1,BI87-1)</f>
        <v>-70</v>
      </c>
      <c r="BK87" s="2" t="n">
        <f aca="false">MAX(BJ86+IF($A87=BK$4,1,-1),BK86-1,BJ87-1)</f>
        <v>-70</v>
      </c>
      <c r="BL87" s="2" t="n">
        <f aca="false">MAX(BK86+IF($A87=BL$4,1,-1),BL86-1,BK87-1)</f>
        <v>-70</v>
      </c>
      <c r="BM87" s="2" t="n">
        <f aca="false">MAX(BL86+IF($A87=BM$4,1,-1),BM86-1,BL87-1)</f>
        <v>-70</v>
      </c>
      <c r="BN87" s="2" t="n">
        <f aca="false">MAX(BM86+IF($A87=BN$4,1,-1),BN86-1,BM87-1)</f>
        <v>-70</v>
      </c>
      <c r="BO87" s="2" t="n">
        <f aca="false">MAX(BN86+IF($A87=BO$4,1,-1),BO86-1,BN87-1)</f>
        <v>-70</v>
      </c>
      <c r="BP87" s="2" t="n">
        <f aca="false">MAX(BO86+IF($A87=BP$4,1,-1),BP86-1,BO87-1)</f>
        <v>-70</v>
      </c>
      <c r="BQ87" s="2" t="n">
        <f aca="false">MAX(BP86+IF($A87=BQ$4,1,-1),BQ86-1,BP87-1)</f>
        <v>-70</v>
      </c>
      <c r="BR87" s="2" t="n">
        <f aca="false">MAX(BQ86+IF($A87=BR$4,1,-1),BR86-1,BQ87-1)</f>
        <v>-70</v>
      </c>
      <c r="BS87" s="2" t="n">
        <f aca="false">MAX(BR86+IF($A87=BS$4,1,-1),BS86-1,BR87-1)</f>
        <v>-70</v>
      </c>
      <c r="BT87" s="2" t="n">
        <f aca="false">MAX(BS86+IF($A87=BT$4,1,-1),BT86-1,BS87-1)</f>
        <v>-70</v>
      </c>
      <c r="BU87" s="2" t="n">
        <f aca="false">MAX(BT86+IF($A87=BU$4,1,-1),BU86-1,BT87-1)</f>
        <v>-71</v>
      </c>
      <c r="BV87" s="2" t="n">
        <f aca="false">MAX(BU86+IF($A87=BV$4,1,-1),BV86-1,BU87-1)</f>
        <v>-72</v>
      </c>
      <c r="BW87" s="2" t="n">
        <f aca="false">MAX(BV86+IF($A87=BW$4,1,-1),BW86-1,BV87-1)</f>
        <v>-73</v>
      </c>
      <c r="BX87" s="2" t="n">
        <f aca="false">MAX(BW86+IF($A87=BX$4,1,-1),BX86-1,BW87-1)</f>
        <v>-74</v>
      </c>
      <c r="BY87" s="2" t="n">
        <f aca="false">MAX(BX86+IF($A87=BY$4,1,-1),BY86-1,BX87-1)</f>
        <v>-74</v>
      </c>
      <c r="BZ87" s="2" t="n">
        <f aca="false">MAX(BY86+IF($A87=BZ$4,1,-1),BZ86-1,BY87-1)</f>
        <v>-74</v>
      </c>
      <c r="CA87" s="2" t="n">
        <f aca="false">MAX(BZ86+IF($A87=CA$4,1,-1),CA86-1,BZ87-1)</f>
        <v>-74</v>
      </c>
      <c r="CB87" s="2" t="n">
        <f aca="false">MAX(CA86+IF($A87=CB$4,1,-1),CB86-1,CA87-1)</f>
        <v>-74</v>
      </c>
      <c r="CC87" s="2" t="n">
        <f aca="false">MAX(CB86+IF($A87=CC$4,1,-1),CC86-1,CB87-1)</f>
        <v>-74</v>
      </c>
      <c r="CD87" s="2" t="n">
        <f aca="false">MAX(CC86+IF($A87=CD$4,1,-1),CD86-1,CC87-1)</f>
        <v>-74</v>
      </c>
      <c r="CE87" s="2" t="n">
        <f aca="false">MAX(CD86+IF($A87=CE$4,1,-1),CE86-1,CD87-1)</f>
        <v>-74</v>
      </c>
      <c r="CF87" s="2" t="n">
        <f aca="false">MAX(CE86+IF($A87=CF$4,1,-1),CF86-1,CE87-1)</f>
        <v>-74</v>
      </c>
      <c r="CG87" s="2" t="n">
        <f aca="false">MAX(CF86+IF($A87=CG$4,1,-1),CG86-1,CF87-1)</f>
        <v>-74</v>
      </c>
      <c r="CH87" s="2" t="n">
        <f aca="false">MAX(CG86+IF($A87=CH$4,1,-1),CH86-1,CG87-1)</f>
        <v>-75</v>
      </c>
      <c r="CI87" s="2" t="n">
        <f aca="false">MAX(CH86+IF($A87=CI$4,1,-1),CI86-1,CH87-1)</f>
        <v>-76</v>
      </c>
      <c r="CJ87" s="2" t="n">
        <f aca="false">MAX(CI86+IF($A87=CJ$4,1,-1),CJ86-1,CI87-1)</f>
        <v>-77</v>
      </c>
      <c r="CK87" s="2" t="n">
        <f aca="false">MAX(CJ86+IF($A87=CK$4,1,-1),CK86-1,CJ87-1)</f>
        <v>-78</v>
      </c>
      <c r="CL87" s="2" t="n">
        <f aca="false">MAX(CK86+IF($A87=CL$4,1,-1),CL86-1,CK87-1)</f>
        <v>-79</v>
      </c>
      <c r="CM87" s="2" t="n">
        <f aca="false">MAX(CL86+IF($A87=CM$4,1,-1),CM86-1,CL87-1)</f>
        <v>-80</v>
      </c>
      <c r="CN87" s="2" t="n">
        <f aca="false">MAX(CM86+IF($A87=CN$4,1,-1),CN86-1,CM87-1)</f>
        <v>-81</v>
      </c>
      <c r="CO87" s="2" t="n">
        <f aca="false">MAX(CN86+IF($A87=CO$4,1,-1),CO86-1,CN87-1)</f>
        <v>-82</v>
      </c>
      <c r="CP87" s="2" t="n">
        <f aca="false">MAX(CO86+IF($A87=CP$4,1,-1),CP86-1,CO87-1)</f>
        <v>-83</v>
      </c>
      <c r="CQ87" s="2" t="n">
        <f aca="false">MAX(CP86+IF($A87=CQ$4,1,-1),CQ86-1,CP87-1)</f>
        <v>-84</v>
      </c>
    </row>
    <row r="88" customFormat="false" ht="15" hidden="false" customHeight="false" outlineLevel="0" collapsed="false">
      <c r="A88" s="4" t="s">
        <v>89</v>
      </c>
      <c r="B88" s="12" t="n">
        <v>-83</v>
      </c>
      <c r="C88" s="2" t="n">
        <f aca="false">MAX(B87+IF($A88=C$4,1,-1),C87-1,B88-1)</f>
        <v>-83</v>
      </c>
      <c r="D88" s="2" t="n">
        <f aca="false">MAX(C87+IF($A88=D$4,1,-1),D87-1,C88-1)</f>
        <v>-81</v>
      </c>
      <c r="E88" s="2" t="n">
        <f aca="false">MAX(D87+IF($A88=E$4,1,-1),E87-1,D88-1)</f>
        <v>-79</v>
      </c>
      <c r="F88" s="2" t="n">
        <f aca="false">MAX(E87+IF($A88=F$4,1,-1),F87-1,E88-1)</f>
        <v>-77</v>
      </c>
      <c r="G88" s="2" t="n">
        <f aca="false">MAX(F87+IF($A88=G$4,1,-1),G87-1,F88-1)</f>
        <v>-77</v>
      </c>
      <c r="H88" s="2" t="n">
        <f aca="false">MAX(G87+IF($A88=H$4,1,-1),H87-1,G88-1)</f>
        <v>-77</v>
      </c>
      <c r="I88" s="2" t="n">
        <f aca="false">MAX(H87+IF($A88=I$4,1,-1),I87-1,H88-1)</f>
        <v>-77</v>
      </c>
      <c r="J88" s="2" t="n">
        <f aca="false">MAX(I87+IF($A88=J$4,1,-1),J87-1,I88-1)</f>
        <v>-77</v>
      </c>
      <c r="K88" s="2" t="n">
        <f aca="false">MAX(J87+IF($A88=K$4,1,-1),K87-1,J88-1)</f>
        <v>-75</v>
      </c>
      <c r="L88" s="2" t="n">
        <f aca="false">MAX(K87+IF($A88=L$4,1,-1),L87-1,K88-1)</f>
        <v>-75</v>
      </c>
      <c r="M88" s="2" t="n">
        <f aca="false">MAX(L87+IF($A88=M$4,1,-1),M87-1,L88-1)</f>
        <v>-75</v>
      </c>
      <c r="N88" s="2" t="n">
        <f aca="false">MAX(M87+IF($A88=N$4,1,-1),N87-1,M88-1)</f>
        <v>-73</v>
      </c>
      <c r="O88" s="2" t="n">
        <f aca="false">MAX(N87+IF($A88=O$4,1,-1),O87-1,N88-1)</f>
        <v>-71</v>
      </c>
      <c r="P88" s="2" t="n">
        <f aca="false">MAX(O87+IF($A88=P$4,1,-1),P87-1,O88-1)</f>
        <v>-72</v>
      </c>
      <c r="Q88" s="2" t="n">
        <f aca="false">MAX(P87+IF($A88=Q$4,1,-1),Q87-1,P88-1)</f>
        <v>-72</v>
      </c>
      <c r="R88" s="2" t="n">
        <f aca="false">MAX(Q87+IF($A88=R$4,1,-1),R87-1,Q88-1)</f>
        <v>-72</v>
      </c>
      <c r="S88" s="2" t="n">
        <f aca="false">MAX(R87+IF($A88=S$4,1,-1),S87-1,R88-1)</f>
        <v>-72</v>
      </c>
      <c r="T88" s="2" t="n">
        <f aca="false">MAX(S87+IF($A88=T$4,1,-1),T87-1,S88-1)</f>
        <v>-72</v>
      </c>
      <c r="U88" s="2" t="n">
        <f aca="false">MAX(T87+IF($A88=U$4,1,-1),U87-1,T88-1)</f>
        <v>-70</v>
      </c>
      <c r="V88" s="2" t="n">
        <f aca="false">MAX(U87+IF($A88=V$4,1,-1),V87-1,U88-1)</f>
        <v>-70</v>
      </c>
      <c r="W88" s="2" t="n">
        <f aca="false">MAX(V87+IF($A88=W$4,1,-1),W87-1,V88-1)</f>
        <v>-70</v>
      </c>
      <c r="X88" s="2" t="n">
        <f aca="false">MAX(W87+IF($A88=X$4,1,-1),X87-1,W88-1)</f>
        <v>-70</v>
      </c>
      <c r="Y88" s="2" t="n">
        <f aca="false">MAX(X87+IF($A88=Y$4,1,-1),Y87-1,X88-1)</f>
        <v>-70</v>
      </c>
      <c r="Z88" s="2" t="n">
        <f aca="false">MAX(Y87+IF($A88=Z$4,1,-1),Z87-1,Y88-1)</f>
        <v>-70</v>
      </c>
      <c r="AA88" s="2" t="n">
        <f aca="false">MAX(Z87+IF($A88=AA$4,1,-1),AA87-1,Z88-1)</f>
        <v>-70</v>
      </c>
      <c r="AB88" s="2" t="n">
        <f aca="false">MAX(AA87+IF($A88=AB$4,1,-1),AB87-1,AA88-1)</f>
        <v>-70</v>
      </c>
      <c r="AC88" s="2" t="n">
        <f aca="false">MAX(AB87+IF($A88=AC$4,1,-1),AC87-1,AB88-1)</f>
        <v>-70</v>
      </c>
      <c r="AD88" s="2" t="n">
        <f aca="false">MAX(AC87+IF($A88=AD$4,1,-1),AD87-1,AC88-1)</f>
        <v>-70</v>
      </c>
      <c r="AE88" s="2" t="n">
        <f aca="false">MAX(AD87+IF($A88=AE$4,1,-1),AE87-1,AD88-1)</f>
        <v>-70</v>
      </c>
      <c r="AF88" s="2" t="n">
        <f aca="false">MAX(AE87+IF($A88=AF$4,1,-1),AF87-1,AE88-1)</f>
        <v>-70</v>
      </c>
      <c r="AG88" s="2" t="n">
        <f aca="false">MAX(AF87+IF($A88=AG$4,1,-1),AG87-1,AF88-1)</f>
        <v>-70</v>
      </c>
      <c r="AH88" s="2" t="n">
        <f aca="false">MAX(AG87+IF($A88=AH$4,1,-1),AH87-1,AG88-1)</f>
        <v>-71</v>
      </c>
      <c r="AI88" s="2" t="n">
        <f aca="false">MAX(AH87+IF($A88=AI$4,1,-1),AI87-1,AH88-1)</f>
        <v>-71</v>
      </c>
      <c r="AJ88" s="2" t="n">
        <f aca="false">MAX(AI87+IF($A88=AJ$4,1,-1),AJ87-1,AI88-1)</f>
        <v>-71</v>
      </c>
      <c r="AK88" s="2" t="n">
        <f aca="false">MAX(AJ87+IF($A88=AK$4,1,-1),AK87-1,AJ88-1)</f>
        <v>-71</v>
      </c>
      <c r="AL88" s="2" t="n">
        <f aca="false">MAX(AK87+IF($A88=AL$4,1,-1),AL87-1,AK88-1)</f>
        <v>-71</v>
      </c>
      <c r="AM88" s="2" t="n">
        <f aca="false">MAX(AL87+IF($A88=AM$4,1,-1),AM87-1,AL88-1)</f>
        <v>-71</v>
      </c>
      <c r="AN88" s="2" t="n">
        <f aca="false">MAX(AM87+IF($A88=AN$4,1,-1),AN87-1,AM88-1)</f>
        <v>-71</v>
      </c>
      <c r="AO88" s="2" t="n">
        <f aca="false">MAX(AN87+IF($A88=AO$4,1,-1),AO87-1,AN88-1)</f>
        <v>-71</v>
      </c>
      <c r="AP88" s="2" t="n">
        <f aca="false">MAX(AO87+IF($A88=AP$4,1,-1),AP87-1,AO88-1)</f>
        <v>-71</v>
      </c>
      <c r="AQ88" s="2" t="n">
        <f aca="false">MAX(AP87+IF($A88=AQ$4,1,-1),AQ87-1,AP88-1)</f>
        <v>-71</v>
      </c>
      <c r="AR88" s="2" t="n">
        <f aca="false">MAX(AQ87+IF($A88=AR$4,1,-1),AR87-1,AQ88-1)</f>
        <v>-71</v>
      </c>
      <c r="AS88" s="2" t="n">
        <f aca="false">MAX(AR87+IF($A88=AS$4,1,-1),AS87-1,AR88-1)</f>
        <v>-71</v>
      </c>
      <c r="AT88" s="2" t="n">
        <f aca="false">MAX(AS87+IF($A88=AT$4,1,-1),AT87-1,AS88-1)</f>
        <v>-71</v>
      </c>
      <c r="AU88" s="2" t="n">
        <f aca="false">MAX(AT87+IF($A88=AU$4,1,-1),AU87-1,AT88-1)</f>
        <v>-71</v>
      </c>
      <c r="AV88" s="2" t="n">
        <f aca="false">MAX(AU87+IF($A88=AV$4,1,-1),AV87-1,AU88-1)</f>
        <v>-71</v>
      </c>
      <c r="AW88" s="2" t="n">
        <f aca="false">MAX(AV87+IF($A88=AW$4,1,-1),AW87-1,AV88-1)</f>
        <v>-71</v>
      </c>
      <c r="AX88" s="2" t="n">
        <f aca="false">MAX(AW87+IF($A88=AX$4,1,-1),AX87-1,AW88-1)</f>
        <v>-71</v>
      </c>
      <c r="AY88" s="2" t="n">
        <f aca="false">MAX(AX87+IF($A88=AY$4,1,-1),AY87-1,AX88-1)</f>
        <v>-71</v>
      </c>
      <c r="AZ88" s="2" t="n">
        <f aca="false">MAX(AY87+IF($A88=AZ$4,1,-1),AZ87-1,AY88-1)</f>
        <v>-71</v>
      </c>
      <c r="BA88" s="2" t="n">
        <f aca="false">MAX(AZ87+IF($A88=BA$4,1,-1),BA87-1,AZ88-1)</f>
        <v>-72</v>
      </c>
      <c r="BB88" s="2" t="n">
        <f aca="false">MAX(BA87+IF($A88=BB$4,1,-1),BB87-1,BA88-1)</f>
        <v>-73</v>
      </c>
      <c r="BC88" s="2" t="n">
        <f aca="false">MAX(BB87+IF($A88=BC$4,1,-1),BC87-1,BB88-1)</f>
        <v>-73</v>
      </c>
      <c r="BD88" s="2" t="n">
        <f aca="false">MAX(BC87+IF($A88=BD$4,1,-1),BD87-1,BC88-1)</f>
        <v>-73</v>
      </c>
      <c r="BE88" s="2" t="n">
        <f aca="false">MAX(BD87+IF($A88=BE$4,1,-1),BE87-1,BD88-1)</f>
        <v>-73</v>
      </c>
      <c r="BF88" s="2" t="n">
        <f aca="false">MAX(BE87+IF($A88=BF$4,1,-1),BF87-1,BE88-1)</f>
        <v>-73</v>
      </c>
      <c r="BG88" s="2" t="n">
        <f aca="false">MAX(BF87+IF($A88=BG$4,1,-1),BG87-1,BF88-1)</f>
        <v>-73</v>
      </c>
      <c r="BH88" s="2" t="n">
        <f aca="false">MAX(BG87+IF($A88=BH$4,1,-1),BH87-1,BG88-1)</f>
        <v>-73</v>
      </c>
      <c r="BI88" s="2" t="n">
        <f aca="false">MAX(BH87+IF($A88=BI$4,1,-1),BI87-1,BH88-1)</f>
        <v>-71</v>
      </c>
      <c r="BJ88" s="2" t="n">
        <f aca="false">MAX(BI87+IF($A88=BJ$4,1,-1),BJ87-1,BI88-1)</f>
        <v>-71</v>
      </c>
      <c r="BK88" s="2" t="n">
        <f aca="false">MAX(BJ87+IF($A88=BK$4,1,-1),BK87-1,BJ88-1)</f>
        <v>-71</v>
      </c>
      <c r="BL88" s="2" t="n">
        <f aca="false">MAX(BK87+IF($A88=BL$4,1,-1),BL87-1,BK88-1)</f>
        <v>-69</v>
      </c>
      <c r="BM88" s="2" t="n">
        <f aca="false">MAX(BL87+IF($A88=BM$4,1,-1),BM87-1,BL88-1)</f>
        <v>-70</v>
      </c>
      <c r="BN88" s="2" t="n">
        <f aca="false">MAX(BM87+IF($A88=BN$4,1,-1),BN87-1,BM88-1)</f>
        <v>-71</v>
      </c>
      <c r="BO88" s="2" t="n">
        <f aca="false">MAX(BN87+IF($A88=BO$4,1,-1),BO87-1,BN88-1)</f>
        <v>-71</v>
      </c>
      <c r="BP88" s="2" t="n">
        <f aca="false">MAX(BO87+IF($A88=BP$4,1,-1),BP87-1,BO88-1)</f>
        <v>-71</v>
      </c>
      <c r="BQ88" s="2" t="n">
        <f aca="false">MAX(BP87+IF($A88=BQ$4,1,-1),BQ87-1,BP88-1)</f>
        <v>-71</v>
      </c>
      <c r="BR88" s="2" t="n">
        <f aca="false">MAX(BQ87+IF($A88=BR$4,1,-1),BR87-1,BQ88-1)</f>
        <v>-71</v>
      </c>
      <c r="BS88" s="2" t="n">
        <f aca="false">MAX(BR87+IF($A88=BS$4,1,-1),BS87-1,BR88-1)</f>
        <v>-71</v>
      </c>
      <c r="BT88" s="2" t="n">
        <f aca="false">MAX(BS87+IF($A88=BT$4,1,-1),BT87-1,BS88-1)</f>
        <v>-71</v>
      </c>
      <c r="BU88" s="2" t="n">
        <f aca="false">MAX(BT87+IF($A88=BU$4,1,-1),BU87-1,BT88-1)</f>
        <v>-71</v>
      </c>
      <c r="BV88" s="2" t="n">
        <f aca="false">MAX(BU87+IF($A88=BV$4,1,-1),BV87-1,BU88-1)</f>
        <v>-72</v>
      </c>
      <c r="BW88" s="2" t="n">
        <f aca="false">MAX(BV87+IF($A88=BW$4,1,-1),BW87-1,BV88-1)</f>
        <v>-73</v>
      </c>
      <c r="BX88" s="2" t="n">
        <f aca="false">MAX(BW87+IF($A88=BX$4,1,-1),BX87-1,BW88-1)</f>
        <v>-74</v>
      </c>
      <c r="BY88" s="2" t="n">
        <f aca="false">MAX(BX87+IF($A88=BY$4,1,-1),BY87-1,BX88-1)</f>
        <v>-75</v>
      </c>
      <c r="BZ88" s="2" t="n">
        <f aca="false">MAX(BY87+IF($A88=BZ$4,1,-1),BZ87-1,BY88-1)</f>
        <v>-75</v>
      </c>
      <c r="CA88" s="2" t="n">
        <f aca="false">MAX(BZ87+IF($A88=CA$4,1,-1),CA87-1,BZ88-1)</f>
        <v>-75</v>
      </c>
      <c r="CB88" s="2" t="n">
        <f aca="false">MAX(CA87+IF($A88=CB$4,1,-1),CB87-1,CA88-1)</f>
        <v>-75</v>
      </c>
      <c r="CC88" s="2" t="n">
        <f aca="false">MAX(CB87+IF($A88=CC$4,1,-1),CC87-1,CB88-1)</f>
        <v>-75</v>
      </c>
      <c r="CD88" s="2" t="n">
        <f aca="false">MAX(CC87+IF($A88=CD$4,1,-1),CD87-1,CC88-1)</f>
        <v>-75</v>
      </c>
      <c r="CE88" s="2" t="n">
        <f aca="false">MAX(CD87+IF($A88=CE$4,1,-1),CE87-1,CD88-1)</f>
        <v>-75</v>
      </c>
      <c r="CF88" s="2" t="n">
        <f aca="false">MAX(CE87+IF($A88=CF$4,1,-1),CF87-1,CE88-1)</f>
        <v>-75</v>
      </c>
      <c r="CG88" s="2" t="n">
        <f aca="false">MAX(CF87+IF($A88=CG$4,1,-1),CG87-1,CF88-1)</f>
        <v>-75</v>
      </c>
      <c r="CH88" s="2" t="n">
        <f aca="false">MAX(CG87+IF($A88=CH$4,1,-1),CH87-1,CG88-1)</f>
        <v>-75</v>
      </c>
      <c r="CI88" s="2" t="n">
        <f aca="false">MAX(CH87+IF($A88=CI$4,1,-1),CI87-1,CH88-1)</f>
        <v>-76</v>
      </c>
      <c r="CJ88" s="2" t="n">
        <f aca="false">MAX(CI87+IF($A88=CJ$4,1,-1),CJ87-1,CI88-1)</f>
        <v>-77</v>
      </c>
      <c r="CK88" s="2" t="n">
        <f aca="false">MAX(CJ87+IF($A88=CK$4,1,-1),CK87-1,CJ88-1)</f>
        <v>-78</v>
      </c>
      <c r="CL88" s="2" t="n">
        <f aca="false">MAX(CK87+IF($A88=CL$4,1,-1),CL87-1,CK88-1)</f>
        <v>-79</v>
      </c>
      <c r="CM88" s="2" t="n">
        <f aca="false">MAX(CL87+IF($A88=CM$4,1,-1),CM87-1,CL88-1)</f>
        <v>-80</v>
      </c>
      <c r="CN88" s="2" t="n">
        <f aca="false">MAX(CM87+IF($A88=CN$4,1,-1),CN87-1,CM88-1)</f>
        <v>-81</v>
      </c>
      <c r="CO88" s="2" t="n">
        <f aca="false">MAX(CN87+IF($A88=CO$4,1,-1),CO87-1,CN88-1)</f>
        <v>-82</v>
      </c>
      <c r="CP88" s="2" t="n">
        <f aca="false">MAX(CO87+IF($A88=CP$4,1,-1),CP87-1,CO88-1)</f>
        <v>-83</v>
      </c>
      <c r="CQ88" s="2" t="n">
        <f aca="false">MAX(CP87+IF($A88=CQ$4,1,-1),CQ87-1,CP88-1)</f>
        <v>-84</v>
      </c>
    </row>
    <row r="89" customFormat="false" ht="15" hidden="false" customHeight="false" outlineLevel="0" collapsed="false">
      <c r="A89" s="4" t="s">
        <v>61</v>
      </c>
      <c r="B89" s="12" t="n">
        <v>-84</v>
      </c>
      <c r="C89" s="2" t="n">
        <f aca="false">MAX(B88+IF($A89=C$4,1,-1),C88-1,B89-1)</f>
        <v>-84</v>
      </c>
      <c r="D89" s="2" t="n">
        <f aca="false">MAX(C88+IF($A89=D$4,1,-1),D88-1,C89-1)</f>
        <v>-82</v>
      </c>
      <c r="E89" s="2" t="n">
        <f aca="false">MAX(D88+IF($A89=E$4,1,-1),E88-1,D89-1)</f>
        <v>-80</v>
      </c>
      <c r="F89" s="2" t="n">
        <f aca="false">MAX(E88+IF($A89=F$4,1,-1),F88-1,E89-1)</f>
        <v>-78</v>
      </c>
      <c r="G89" s="2" t="n">
        <f aca="false">MAX(F88+IF($A89=G$4,1,-1),G88-1,F89-1)</f>
        <v>-76</v>
      </c>
      <c r="H89" s="2" t="n">
        <f aca="false">MAX(G88+IF($A89=H$4,1,-1),H88-1,G89-1)</f>
        <v>-77</v>
      </c>
      <c r="I89" s="2" t="n">
        <f aca="false">MAX(H88+IF($A89=I$4,1,-1),I88-1,H89-1)</f>
        <v>-78</v>
      </c>
      <c r="J89" s="2" t="n">
        <f aca="false">MAX(I88+IF($A89=J$4,1,-1),J88-1,I89-1)</f>
        <v>-78</v>
      </c>
      <c r="K89" s="2" t="n">
        <f aca="false">MAX(J88+IF($A89=K$4,1,-1),K88-1,J89-1)</f>
        <v>-76</v>
      </c>
      <c r="L89" s="2" t="n">
        <f aca="false">MAX(K88+IF($A89=L$4,1,-1),L88-1,K89-1)</f>
        <v>-76</v>
      </c>
      <c r="M89" s="2" t="n">
        <f aca="false">MAX(L88+IF($A89=M$4,1,-1),M88-1,L89-1)</f>
        <v>-76</v>
      </c>
      <c r="N89" s="2" t="n">
        <f aca="false">MAX(M88+IF($A89=N$4,1,-1),N88-1,M89-1)</f>
        <v>-74</v>
      </c>
      <c r="O89" s="2" t="n">
        <f aca="false">MAX(N88+IF($A89=O$4,1,-1),O88-1,N89-1)</f>
        <v>-72</v>
      </c>
      <c r="P89" s="2" t="n">
        <f aca="false">MAX(O88+IF($A89=P$4,1,-1),P88-1,O89-1)</f>
        <v>-72</v>
      </c>
      <c r="Q89" s="2" t="n">
        <f aca="false">MAX(P88+IF($A89=Q$4,1,-1),Q88-1,P89-1)</f>
        <v>-73</v>
      </c>
      <c r="R89" s="2" t="n">
        <f aca="false">MAX(Q88+IF($A89=R$4,1,-1),R88-1,Q89-1)</f>
        <v>-73</v>
      </c>
      <c r="S89" s="2" t="n">
        <f aca="false">MAX(R88+IF($A89=S$4,1,-1),S88-1,R89-1)</f>
        <v>-73</v>
      </c>
      <c r="T89" s="2" t="n">
        <f aca="false">MAX(S88+IF($A89=T$4,1,-1),T88-1,S89-1)</f>
        <v>-73</v>
      </c>
      <c r="U89" s="2" t="n">
        <f aca="false">MAX(T88+IF($A89=U$4,1,-1),U88-1,T89-1)</f>
        <v>-71</v>
      </c>
      <c r="V89" s="2" t="n">
        <f aca="false">MAX(U88+IF($A89=V$4,1,-1),V88-1,U89-1)</f>
        <v>-71</v>
      </c>
      <c r="W89" s="2" t="n">
        <f aca="false">MAX(V88+IF($A89=W$4,1,-1),W88-1,V89-1)</f>
        <v>-71</v>
      </c>
      <c r="X89" s="2" t="n">
        <f aca="false">MAX(W88+IF($A89=X$4,1,-1),X88-1,W89-1)</f>
        <v>-71</v>
      </c>
      <c r="Y89" s="2" t="n">
        <f aca="false">MAX(X88+IF($A89=Y$4,1,-1),Y88-1,X89-1)</f>
        <v>-71</v>
      </c>
      <c r="Z89" s="2" t="n">
        <f aca="false">MAX(Y88+IF($A89=Z$4,1,-1),Z88-1,Y89-1)</f>
        <v>-71</v>
      </c>
      <c r="AA89" s="2" t="n">
        <f aca="false">MAX(Z88+IF($A89=AA$4,1,-1),AA88-1,Z89-1)</f>
        <v>-71</v>
      </c>
      <c r="AB89" s="2" t="n">
        <f aca="false">MAX(AA88+IF($A89=AB$4,1,-1),AB88-1,AA89-1)</f>
        <v>-71</v>
      </c>
      <c r="AC89" s="2" t="n">
        <f aca="false">MAX(AB88+IF($A89=AC$4,1,-1),AC88-1,AB89-1)</f>
        <v>-71</v>
      </c>
      <c r="AD89" s="2" t="n">
        <f aca="false">MAX(AC88+IF($A89=AD$4,1,-1),AD88-1,AC89-1)</f>
        <v>-69</v>
      </c>
      <c r="AE89" s="2" t="n">
        <f aca="false">MAX(AD88+IF($A89=AE$4,1,-1),AE88-1,AD89-1)</f>
        <v>-70</v>
      </c>
      <c r="AF89" s="2" t="n">
        <f aca="false">MAX(AE88+IF($A89=AF$4,1,-1),AF88-1,AE89-1)</f>
        <v>-71</v>
      </c>
      <c r="AG89" s="2" t="n">
        <f aca="false">MAX(AF88+IF($A89=AG$4,1,-1),AG88-1,AF89-1)</f>
        <v>-71</v>
      </c>
      <c r="AH89" s="2" t="n">
        <f aca="false">MAX(AG88+IF($A89=AH$4,1,-1),AH88-1,AG89-1)</f>
        <v>-71</v>
      </c>
      <c r="AI89" s="2" t="n">
        <f aca="false">MAX(AH88+IF($A89=AI$4,1,-1),AI88-1,AH89-1)</f>
        <v>-72</v>
      </c>
      <c r="AJ89" s="2" t="n">
        <f aca="false">MAX(AI88+IF($A89=AJ$4,1,-1),AJ88-1,AI89-1)</f>
        <v>-72</v>
      </c>
      <c r="AK89" s="2" t="n">
        <f aca="false">MAX(AJ88+IF($A89=AK$4,1,-1),AK88-1,AJ89-1)</f>
        <v>-72</v>
      </c>
      <c r="AL89" s="2" t="n">
        <f aca="false">MAX(AK88+IF($A89=AL$4,1,-1),AL88-1,AK89-1)</f>
        <v>-72</v>
      </c>
      <c r="AM89" s="2" t="n">
        <f aca="false">MAX(AL88+IF($A89=AM$4,1,-1),AM88-1,AL89-1)</f>
        <v>-72</v>
      </c>
      <c r="AN89" s="2" t="n">
        <f aca="false">MAX(AM88+IF($A89=AN$4,1,-1),AN88-1,AM89-1)</f>
        <v>-72</v>
      </c>
      <c r="AO89" s="2" t="n">
        <f aca="false">MAX(AN88+IF($A89=AO$4,1,-1),AO88-1,AN89-1)</f>
        <v>-72</v>
      </c>
      <c r="AP89" s="2" t="n">
        <f aca="false">MAX(AO88+IF($A89=AP$4,1,-1),AP88-1,AO89-1)</f>
        <v>-72</v>
      </c>
      <c r="AQ89" s="2" t="n">
        <f aca="false">MAX(AP88+IF($A89=AQ$4,1,-1),AQ88-1,AP89-1)</f>
        <v>-72</v>
      </c>
      <c r="AR89" s="2" t="n">
        <f aca="false">MAX(AQ88+IF($A89=AR$4,1,-1),AR88-1,AQ89-1)</f>
        <v>-72</v>
      </c>
      <c r="AS89" s="2" t="n">
        <f aca="false">MAX(AR88+IF($A89=AS$4,1,-1),AS88-1,AR89-1)</f>
        <v>-72</v>
      </c>
      <c r="AT89" s="2" t="n">
        <f aca="false">MAX(AS88+IF($A89=AT$4,1,-1),AT88-1,AS89-1)</f>
        <v>-70</v>
      </c>
      <c r="AU89" s="2" t="n">
        <f aca="false">MAX(AT88+IF($A89=AU$4,1,-1),AU88-1,AT89-1)</f>
        <v>-71</v>
      </c>
      <c r="AV89" s="2" t="n">
        <f aca="false">MAX(AU88+IF($A89=AV$4,1,-1),AV88-1,AU89-1)</f>
        <v>-72</v>
      </c>
      <c r="AW89" s="2" t="n">
        <f aca="false">MAX(AV88+IF($A89=AW$4,1,-1),AW88-1,AV89-1)</f>
        <v>-72</v>
      </c>
      <c r="AX89" s="2" t="n">
        <f aca="false">MAX(AW88+IF($A89=AX$4,1,-1),AX88-1,AW89-1)</f>
        <v>-72</v>
      </c>
      <c r="AY89" s="2" t="n">
        <f aca="false">MAX(AX88+IF($A89=AY$4,1,-1),AY88-1,AX89-1)</f>
        <v>-72</v>
      </c>
      <c r="AZ89" s="2" t="n">
        <f aca="false">MAX(AY88+IF($A89=AZ$4,1,-1),AZ88-1,AY89-1)</f>
        <v>-72</v>
      </c>
      <c r="BA89" s="2" t="n">
        <f aca="false">MAX(AZ88+IF($A89=BA$4,1,-1),BA88-1,AZ89-1)</f>
        <v>-72</v>
      </c>
      <c r="BB89" s="2" t="n">
        <f aca="false">MAX(BA88+IF($A89=BB$4,1,-1),BB88-1,BA89-1)</f>
        <v>-73</v>
      </c>
      <c r="BC89" s="2" t="n">
        <f aca="false">MAX(BB88+IF($A89=BC$4,1,-1),BC88-1,BB89-1)</f>
        <v>-74</v>
      </c>
      <c r="BD89" s="2" t="n">
        <f aca="false">MAX(BC88+IF($A89=BD$4,1,-1),BD88-1,BC89-1)</f>
        <v>-74</v>
      </c>
      <c r="BE89" s="2" t="n">
        <f aca="false">MAX(BD88+IF($A89=BE$4,1,-1),BE88-1,BD89-1)</f>
        <v>-72</v>
      </c>
      <c r="BF89" s="2" t="n">
        <f aca="false">MAX(BE88+IF($A89=BF$4,1,-1),BF88-1,BE89-1)</f>
        <v>-73</v>
      </c>
      <c r="BG89" s="2" t="n">
        <f aca="false">MAX(BF88+IF($A89=BG$4,1,-1),BG88-1,BF89-1)</f>
        <v>-74</v>
      </c>
      <c r="BH89" s="2" t="n">
        <f aca="false">MAX(BG88+IF($A89=BH$4,1,-1),BH88-1,BG89-1)</f>
        <v>-74</v>
      </c>
      <c r="BI89" s="2" t="n">
        <f aca="false">MAX(BH88+IF($A89=BI$4,1,-1),BI88-1,BH89-1)</f>
        <v>-72</v>
      </c>
      <c r="BJ89" s="2" t="n">
        <f aca="false">MAX(BI88+IF($A89=BJ$4,1,-1),BJ88-1,BI89-1)</f>
        <v>-72</v>
      </c>
      <c r="BK89" s="2" t="n">
        <f aca="false">MAX(BJ88+IF($A89=BK$4,1,-1),BK88-1,BJ89-1)</f>
        <v>-72</v>
      </c>
      <c r="BL89" s="2" t="n">
        <f aca="false">MAX(BK88+IF($A89=BL$4,1,-1),BL88-1,BK89-1)</f>
        <v>-70</v>
      </c>
      <c r="BM89" s="2" t="n">
        <f aca="false">MAX(BL88+IF($A89=BM$4,1,-1),BM88-1,BL89-1)</f>
        <v>-70</v>
      </c>
      <c r="BN89" s="2" t="n">
        <f aca="false">MAX(BM88+IF($A89=BN$4,1,-1),BN88-1,BM89-1)</f>
        <v>-71</v>
      </c>
      <c r="BO89" s="2" t="n">
        <f aca="false">MAX(BN88+IF($A89=BO$4,1,-1),BO88-1,BN89-1)</f>
        <v>-72</v>
      </c>
      <c r="BP89" s="2" t="n">
        <f aca="false">MAX(BO88+IF($A89=BP$4,1,-1),BP88-1,BO89-1)</f>
        <v>-70</v>
      </c>
      <c r="BQ89" s="2" t="n">
        <f aca="false">MAX(BP88+IF($A89=BQ$4,1,-1),BQ88-1,BP89-1)</f>
        <v>-71</v>
      </c>
      <c r="BR89" s="2" t="n">
        <f aca="false">MAX(BQ88+IF($A89=BR$4,1,-1),BR88-1,BQ89-1)</f>
        <v>-72</v>
      </c>
      <c r="BS89" s="2" t="n">
        <f aca="false">MAX(BR88+IF($A89=BS$4,1,-1),BS88-1,BR89-1)</f>
        <v>-72</v>
      </c>
      <c r="BT89" s="2" t="n">
        <f aca="false">MAX(BS88+IF($A89=BT$4,1,-1),BT88-1,BS89-1)</f>
        <v>-72</v>
      </c>
      <c r="BU89" s="2" t="n">
        <f aca="false">MAX(BT88+IF($A89=BU$4,1,-1),BU88-1,BT89-1)</f>
        <v>-72</v>
      </c>
      <c r="BV89" s="2" t="n">
        <f aca="false">MAX(BU88+IF($A89=BV$4,1,-1),BV88-1,BU89-1)</f>
        <v>-72</v>
      </c>
      <c r="BW89" s="2" t="n">
        <f aca="false">MAX(BV88+IF($A89=BW$4,1,-1),BW88-1,BV89-1)</f>
        <v>-73</v>
      </c>
      <c r="BX89" s="2" t="n">
        <f aca="false">MAX(BW88+IF($A89=BX$4,1,-1),BX88-1,BW89-1)</f>
        <v>-74</v>
      </c>
      <c r="BY89" s="2" t="n">
        <f aca="false">MAX(BX88+IF($A89=BY$4,1,-1),BY88-1,BX89-1)</f>
        <v>-75</v>
      </c>
      <c r="BZ89" s="2" t="n">
        <f aca="false">MAX(BY88+IF($A89=BZ$4,1,-1),BZ88-1,BY89-1)</f>
        <v>-76</v>
      </c>
      <c r="CA89" s="2" t="n">
        <f aca="false">MAX(BZ88+IF($A89=CA$4,1,-1),CA88-1,BZ89-1)</f>
        <v>-74</v>
      </c>
      <c r="CB89" s="2" t="n">
        <f aca="false">MAX(CA88+IF($A89=CB$4,1,-1),CB88-1,CA89-1)</f>
        <v>-75</v>
      </c>
      <c r="CC89" s="2" t="n">
        <f aca="false">MAX(CB88+IF($A89=CC$4,1,-1),CC88-1,CB89-1)</f>
        <v>-76</v>
      </c>
      <c r="CD89" s="2" t="n">
        <f aca="false">MAX(CC88+IF($A89=CD$4,1,-1),CD88-1,CC89-1)</f>
        <v>-76</v>
      </c>
      <c r="CE89" s="2" t="n">
        <f aca="false">MAX(CD88+IF($A89=CE$4,1,-1),CE88-1,CD89-1)</f>
        <v>-76</v>
      </c>
      <c r="CF89" s="2" t="n">
        <f aca="false">MAX(CE88+IF($A89=CF$4,1,-1),CF88-1,CE89-1)</f>
        <v>-76</v>
      </c>
      <c r="CG89" s="2" t="n">
        <f aca="false">MAX(CF88+IF($A89=CG$4,1,-1),CG88-1,CF89-1)</f>
        <v>-76</v>
      </c>
      <c r="CH89" s="2" t="n">
        <f aca="false">MAX(CG88+IF($A89=CH$4,1,-1),CH88-1,CG89-1)</f>
        <v>-76</v>
      </c>
      <c r="CI89" s="2" t="n">
        <f aca="false">MAX(CH88+IF($A89=CI$4,1,-1),CI88-1,CH89-1)</f>
        <v>-76</v>
      </c>
      <c r="CJ89" s="2" t="n">
        <f aca="false">MAX(CI88+IF($A89=CJ$4,1,-1),CJ88-1,CI89-1)</f>
        <v>-75</v>
      </c>
      <c r="CK89" s="2" t="n">
        <f aca="false">MAX(CJ88+IF($A89=CK$4,1,-1),CK88-1,CJ89-1)</f>
        <v>-76</v>
      </c>
      <c r="CL89" s="2" t="n">
        <f aca="false">MAX(CK88+IF($A89=CL$4,1,-1),CL88-1,CK89-1)</f>
        <v>-77</v>
      </c>
      <c r="CM89" s="2" t="n">
        <f aca="false">MAX(CL88+IF($A89=CM$4,1,-1),CM88-1,CL89-1)</f>
        <v>-78</v>
      </c>
      <c r="CN89" s="2" t="n">
        <f aca="false">MAX(CM88+IF($A89=CN$4,1,-1),CN88-1,CM89-1)</f>
        <v>-79</v>
      </c>
      <c r="CO89" s="2" t="n">
        <f aca="false">MAX(CN88+IF($A89=CO$4,1,-1),CO88-1,CN89-1)</f>
        <v>-80</v>
      </c>
      <c r="CP89" s="2" t="n">
        <f aca="false">MAX(CO88+IF($A89=CP$4,1,-1),CP88-1,CO89-1)</f>
        <v>-81</v>
      </c>
      <c r="CQ89" s="2" t="n">
        <f aca="false">MAX(CP88+IF($A89=CQ$4,1,-1),CQ88-1,CP89-1)</f>
        <v>-82</v>
      </c>
    </row>
    <row r="90" customFormat="false" ht="15" hidden="false" customHeight="false" outlineLevel="0" collapsed="false">
      <c r="A90" s="4" t="s">
        <v>196</v>
      </c>
      <c r="B90" s="12" t="n">
        <v>-85</v>
      </c>
      <c r="C90" s="2" t="n">
        <f aca="false">MAX(B89+IF($A90=C$4,1,-1),C89-1,B90-1)</f>
        <v>-85</v>
      </c>
      <c r="D90" s="2" t="n">
        <f aca="false">MAX(C89+IF($A90=D$4,1,-1),D89-1,C90-1)</f>
        <v>-83</v>
      </c>
      <c r="E90" s="2" t="n">
        <f aca="false">MAX(D89+IF($A90=E$4,1,-1),E89-1,D90-1)</f>
        <v>-81</v>
      </c>
      <c r="F90" s="2" t="n">
        <f aca="false">MAX(E89+IF($A90=F$4,1,-1),F89-1,E90-1)</f>
        <v>-79</v>
      </c>
      <c r="G90" s="2" t="n">
        <f aca="false">MAX(F89+IF($A90=G$4,1,-1),G89-1,F90-1)</f>
        <v>-77</v>
      </c>
      <c r="H90" s="2" t="n">
        <f aca="false">MAX(G89+IF($A90=H$4,1,-1),H89-1,G90-1)</f>
        <v>-77</v>
      </c>
      <c r="I90" s="2" t="n">
        <f aca="false">MAX(H89+IF($A90=I$4,1,-1),I89-1,H90-1)</f>
        <v>-78</v>
      </c>
      <c r="J90" s="2" t="n">
        <f aca="false">MAX(I89+IF($A90=J$4,1,-1),J89-1,I90-1)</f>
        <v>-79</v>
      </c>
      <c r="K90" s="2" t="n">
        <f aca="false">MAX(J89+IF($A90=K$4,1,-1),K89-1,J90-1)</f>
        <v>-77</v>
      </c>
      <c r="L90" s="2" t="n">
        <f aca="false">MAX(K89+IF($A90=L$4,1,-1),L89-1,K90-1)</f>
        <v>-77</v>
      </c>
      <c r="M90" s="2" t="n">
        <f aca="false">MAX(L89+IF($A90=M$4,1,-1),M89-1,L90-1)</f>
        <v>-77</v>
      </c>
      <c r="N90" s="2" t="n">
        <f aca="false">MAX(M89+IF($A90=N$4,1,-1),N89-1,M90-1)</f>
        <v>-75</v>
      </c>
      <c r="O90" s="2" t="n">
        <f aca="false">MAX(N89+IF($A90=O$4,1,-1),O89-1,N90-1)</f>
        <v>-73</v>
      </c>
      <c r="P90" s="2" t="n">
        <f aca="false">MAX(O89+IF($A90=P$4,1,-1),P89-1,O90-1)</f>
        <v>-73</v>
      </c>
      <c r="Q90" s="2" t="n">
        <f aca="false">MAX(P89+IF($A90=Q$4,1,-1),Q89-1,P90-1)</f>
        <v>-73</v>
      </c>
      <c r="R90" s="2" t="n">
        <f aca="false">MAX(Q89+IF($A90=R$4,1,-1),R89-1,Q90-1)</f>
        <v>-74</v>
      </c>
      <c r="S90" s="2" t="n">
        <f aca="false">MAX(R89+IF($A90=S$4,1,-1),S89-1,R90-1)</f>
        <v>-74</v>
      </c>
      <c r="T90" s="2" t="n">
        <f aca="false">MAX(S89+IF($A90=T$4,1,-1),T89-1,S90-1)</f>
        <v>-74</v>
      </c>
      <c r="U90" s="2" t="n">
        <f aca="false">MAX(T89+IF($A90=U$4,1,-1),U89-1,T90-1)</f>
        <v>-72</v>
      </c>
      <c r="V90" s="2" t="n">
        <f aca="false">MAX(U89+IF($A90=V$4,1,-1),V89-1,U90-1)</f>
        <v>-72</v>
      </c>
      <c r="W90" s="2" t="n">
        <f aca="false">MAX(V89+IF($A90=W$4,1,-1),W89-1,V90-1)</f>
        <v>-72</v>
      </c>
      <c r="X90" s="2" t="n">
        <f aca="false">MAX(W89+IF($A90=X$4,1,-1),X89-1,W90-1)</f>
        <v>-72</v>
      </c>
      <c r="Y90" s="2" t="n">
        <f aca="false">MAX(X89+IF($A90=Y$4,1,-1),Y89-1,X90-1)</f>
        <v>-72</v>
      </c>
      <c r="Z90" s="2" t="n">
        <f aca="false">MAX(Y89+IF($A90=Z$4,1,-1),Z89-1,Y90-1)</f>
        <v>-72</v>
      </c>
      <c r="AA90" s="2" t="n">
        <f aca="false">MAX(Z89+IF($A90=AA$4,1,-1),AA89-1,Z90-1)</f>
        <v>-72</v>
      </c>
      <c r="AB90" s="2" t="n">
        <f aca="false">MAX(AA89+IF($A90=AB$4,1,-1),AB89-1,AA90-1)</f>
        <v>-72</v>
      </c>
      <c r="AC90" s="2" t="n">
        <f aca="false">MAX(AB89+IF($A90=AC$4,1,-1),AC89-1,AB90-1)</f>
        <v>-72</v>
      </c>
      <c r="AD90" s="2" t="n">
        <f aca="false">MAX(AC89+IF($A90=AD$4,1,-1),AD89-1,AC90-1)</f>
        <v>-70</v>
      </c>
      <c r="AE90" s="2" t="n">
        <f aca="false">MAX(AD89+IF($A90=AE$4,1,-1),AE89-1,AD90-1)</f>
        <v>-70</v>
      </c>
      <c r="AF90" s="2" t="n">
        <f aca="false">MAX(AE89+IF($A90=AF$4,1,-1),AF89-1,AE90-1)</f>
        <v>-71</v>
      </c>
      <c r="AG90" s="2" t="n">
        <f aca="false">MAX(AF89+IF($A90=AG$4,1,-1),AG89-1,AF90-1)</f>
        <v>-72</v>
      </c>
      <c r="AH90" s="2" t="n">
        <f aca="false">MAX(AG89+IF($A90=AH$4,1,-1),AH89-1,AG90-1)</f>
        <v>-72</v>
      </c>
      <c r="AI90" s="2" t="n">
        <f aca="false">MAX(AH89+IF($A90=AI$4,1,-1),AI89-1,AH90-1)</f>
        <v>-72</v>
      </c>
      <c r="AJ90" s="2" t="n">
        <f aca="false">MAX(AI89+IF($A90=AJ$4,1,-1),AJ89-1,AI90-1)</f>
        <v>-73</v>
      </c>
      <c r="AK90" s="2" t="n">
        <f aca="false">MAX(AJ89+IF($A90=AK$4,1,-1),AK89-1,AJ90-1)</f>
        <v>-73</v>
      </c>
      <c r="AL90" s="2" t="n">
        <f aca="false">MAX(AK89+IF($A90=AL$4,1,-1),AL89-1,AK90-1)</f>
        <v>-73</v>
      </c>
      <c r="AM90" s="2" t="n">
        <f aca="false">MAX(AL89+IF($A90=AM$4,1,-1),AM89-1,AL90-1)</f>
        <v>-73</v>
      </c>
      <c r="AN90" s="2" t="n">
        <f aca="false">MAX(AM89+IF($A90=AN$4,1,-1),AN89-1,AM90-1)</f>
        <v>-73</v>
      </c>
      <c r="AO90" s="2" t="n">
        <f aca="false">MAX(AN89+IF($A90=AO$4,1,-1),AO89-1,AN90-1)</f>
        <v>-73</v>
      </c>
      <c r="AP90" s="2" t="n">
        <f aca="false">MAX(AO89+IF($A90=AP$4,1,-1),AP89-1,AO90-1)</f>
        <v>-73</v>
      </c>
      <c r="AQ90" s="2" t="n">
        <f aca="false">MAX(AP89+IF($A90=AQ$4,1,-1),AQ89-1,AP90-1)</f>
        <v>-73</v>
      </c>
      <c r="AR90" s="2" t="n">
        <f aca="false">MAX(AQ89+IF($A90=AR$4,1,-1),AR89-1,AQ90-1)</f>
        <v>-73</v>
      </c>
      <c r="AS90" s="2" t="n">
        <f aca="false">MAX(AR89+IF($A90=AS$4,1,-1),AS89-1,AR90-1)</f>
        <v>-73</v>
      </c>
      <c r="AT90" s="2" t="n">
        <f aca="false">MAX(AS89+IF($A90=AT$4,1,-1),AT89-1,AS90-1)</f>
        <v>-71</v>
      </c>
      <c r="AU90" s="2" t="n">
        <f aca="false">MAX(AT89+IF($A90=AU$4,1,-1),AU89-1,AT90-1)</f>
        <v>-71</v>
      </c>
      <c r="AV90" s="2" t="n">
        <f aca="false">MAX(AU89+IF($A90=AV$4,1,-1),AV89-1,AU90-1)</f>
        <v>-72</v>
      </c>
      <c r="AW90" s="2" t="n">
        <f aca="false">MAX(AV89+IF($A90=AW$4,1,-1),AW89-1,AV90-1)</f>
        <v>-73</v>
      </c>
      <c r="AX90" s="2" t="n">
        <f aca="false">MAX(AW89+IF($A90=AX$4,1,-1),AX89-1,AW90-1)</f>
        <v>-73</v>
      </c>
      <c r="AY90" s="2" t="n">
        <f aca="false">MAX(AX89+IF($A90=AY$4,1,-1),AY89-1,AX90-1)</f>
        <v>-73</v>
      </c>
      <c r="AZ90" s="2" t="n">
        <f aca="false">MAX(AY89+IF($A90=AZ$4,1,-1),AZ89-1,AY90-1)</f>
        <v>-73</v>
      </c>
      <c r="BA90" s="2" t="n">
        <f aca="false">MAX(AZ89+IF($A90=BA$4,1,-1),BA89-1,AZ90-1)</f>
        <v>-73</v>
      </c>
      <c r="BB90" s="2" t="n">
        <f aca="false">MAX(BA89+IF($A90=BB$4,1,-1),BB89-1,BA90-1)</f>
        <v>-73</v>
      </c>
      <c r="BC90" s="2" t="n">
        <f aca="false">MAX(BB89+IF($A90=BC$4,1,-1),BC89-1,BB90-1)</f>
        <v>-74</v>
      </c>
      <c r="BD90" s="2" t="n">
        <f aca="false">MAX(BC89+IF($A90=BD$4,1,-1),BD89-1,BC90-1)</f>
        <v>-75</v>
      </c>
      <c r="BE90" s="2" t="n">
        <f aca="false">MAX(BD89+IF($A90=BE$4,1,-1),BE89-1,BD90-1)</f>
        <v>-73</v>
      </c>
      <c r="BF90" s="2" t="n">
        <f aca="false">MAX(BE89+IF($A90=BF$4,1,-1),BF89-1,BE90-1)</f>
        <v>-73</v>
      </c>
      <c r="BG90" s="2" t="n">
        <f aca="false">MAX(BF89+IF($A90=BG$4,1,-1),BG89-1,BF90-1)</f>
        <v>-74</v>
      </c>
      <c r="BH90" s="2" t="n">
        <f aca="false">MAX(BG89+IF($A90=BH$4,1,-1),BH89-1,BG90-1)</f>
        <v>-75</v>
      </c>
      <c r="BI90" s="2" t="n">
        <f aca="false">MAX(BH89+IF($A90=BI$4,1,-1),BI89-1,BH90-1)</f>
        <v>-73</v>
      </c>
      <c r="BJ90" s="2" t="n">
        <f aca="false">MAX(BI89+IF($A90=BJ$4,1,-1),BJ89-1,BI90-1)</f>
        <v>-73</v>
      </c>
      <c r="BK90" s="2" t="n">
        <f aca="false">MAX(BJ89+IF($A90=BK$4,1,-1),BK89-1,BJ90-1)</f>
        <v>-73</v>
      </c>
      <c r="BL90" s="2" t="n">
        <f aca="false">MAX(BK89+IF($A90=BL$4,1,-1),BL89-1,BK90-1)</f>
        <v>-71</v>
      </c>
      <c r="BM90" s="2" t="n">
        <f aca="false">MAX(BL89+IF($A90=BM$4,1,-1),BM89-1,BL90-1)</f>
        <v>-71</v>
      </c>
      <c r="BN90" s="2" t="n">
        <f aca="false">MAX(BM89+IF($A90=BN$4,1,-1),BN89-1,BM90-1)</f>
        <v>-71</v>
      </c>
      <c r="BO90" s="2" t="n">
        <f aca="false">MAX(BN89+IF($A90=BO$4,1,-1),BO89-1,BN90-1)</f>
        <v>-72</v>
      </c>
      <c r="BP90" s="2" t="n">
        <f aca="false">MAX(BO89+IF($A90=BP$4,1,-1),BP89-1,BO90-1)</f>
        <v>-71</v>
      </c>
      <c r="BQ90" s="2" t="n">
        <f aca="false">MAX(BP89+IF($A90=BQ$4,1,-1),BQ89-1,BP90-1)</f>
        <v>-71</v>
      </c>
      <c r="BR90" s="2" t="n">
        <f aca="false">MAX(BQ89+IF($A90=BR$4,1,-1),BR89-1,BQ90-1)</f>
        <v>-72</v>
      </c>
      <c r="BS90" s="2" t="n">
        <f aca="false">MAX(BR89+IF($A90=BS$4,1,-1),BS89-1,BR90-1)</f>
        <v>-73</v>
      </c>
      <c r="BT90" s="2" t="n">
        <f aca="false">MAX(BS89+IF($A90=BT$4,1,-1),BT89-1,BS90-1)</f>
        <v>-73</v>
      </c>
      <c r="BU90" s="2" t="n">
        <f aca="false">MAX(BT89+IF($A90=BU$4,1,-1),BU89-1,BT90-1)</f>
        <v>-73</v>
      </c>
      <c r="BV90" s="2" t="n">
        <f aca="false">MAX(BU89+IF($A90=BV$4,1,-1),BV89-1,BU90-1)</f>
        <v>-73</v>
      </c>
      <c r="BW90" s="2" t="n">
        <f aca="false">MAX(BV89+IF($A90=BW$4,1,-1),BW89-1,BV90-1)</f>
        <v>-73</v>
      </c>
      <c r="BX90" s="2" t="n">
        <f aca="false">MAX(BW89+IF($A90=BX$4,1,-1),BX89-1,BW90-1)</f>
        <v>-74</v>
      </c>
      <c r="BY90" s="2" t="n">
        <f aca="false">MAX(BX89+IF($A90=BY$4,1,-1),BY89-1,BX90-1)</f>
        <v>-75</v>
      </c>
      <c r="BZ90" s="2" t="n">
        <f aca="false">MAX(BY89+IF($A90=BZ$4,1,-1),BZ89-1,BY90-1)</f>
        <v>-76</v>
      </c>
      <c r="CA90" s="2" t="n">
        <f aca="false">MAX(BZ89+IF($A90=CA$4,1,-1),CA89-1,BZ90-1)</f>
        <v>-75</v>
      </c>
      <c r="CB90" s="2" t="n">
        <f aca="false">MAX(CA89+IF($A90=CB$4,1,-1),CB89-1,CA90-1)</f>
        <v>-75</v>
      </c>
      <c r="CC90" s="2" t="n">
        <f aca="false">MAX(CB89+IF($A90=CC$4,1,-1),CC89-1,CB90-1)</f>
        <v>-76</v>
      </c>
      <c r="CD90" s="2" t="n">
        <f aca="false">MAX(CC89+IF($A90=CD$4,1,-1),CD89-1,CC90-1)</f>
        <v>-77</v>
      </c>
      <c r="CE90" s="2" t="n">
        <f aca="false">MAX(CD89+IF($A90=CE$4,1,-1),CE89-1,CD90-1)</f>
        <v>-77</v>
      </c>
      <c r="CF90" s="2" t="n">
        <f aca="false">MAX(CE89+IF($A90=CF$4,1,-1),CF89-1,CE90-1)</f>
        <v>-77</v>
      </c>
      <c r="CG90" s="2" t="n">
        <f aca="false">MAX(CF89+IF($A90=CG$4,1,-1),CG89-1,CF90-1)</f>
        <v>-77</v>
      </c>
      <c r="CH90" s="2" t="n">
        <f aca="false">MAX(CG89+IF($A90=CH$4,1,-1),CH89-1,CG90-1)</f>
        <v>-77</v>
      </c>
      <c r="CI90" s="2" t="n">
        <f aca="false">MAX(CH89+IF($A90=CI$4,1,-1),CI89-1,CH90-1)</f>
        <v>-77</v>
      </c>
      <c r="CJ90" s="2" t="n">
        <f aca="false">MAX(CI89+IF($A90=CJ$4,1,-1),CJ89-1,CI90-1)</f>
        <v>-76</v>
      </c>
      <c r="CK90" s="2" t="n">
        <f aca="false">MAX(CJ89+IF($A90=CK$4,1,-1),CK89-1,CJ90-1)</f>
        <v>-76</v>
      </c>
      <c r="CL90" s="2" t="n">
        <f aca="false">MAX(CK89+IF($A90=CL$4,1,-1),CL89-1,CK90-1)</f>
        <v>-77</v>
      </c>
      <c r="CM90" s="2" t="n">
        <f aca="false">MAX(CL89+IF($A90=CM$4,1,-1),CM89-1,CL90-1)</f>
        <v>-78</v>
      </c>
      <c r="CN90" s="2" t="n">
        <f aca="false">MAX(CM89+IF($A90=CN$4,1,-1),CN89-1,CM90-1)</f>
        <v>-79</v>
      </c>
      <c r="CO90" s="2" t="n">
        <f aca="false">MAX(CN89+IF($A90=CO$4,1,-1),CO89-1,CN90-1)</f>
        <v>-80</v>
      </c>
      <c r="CP90" s="2" t="n">
        <f aca="false">MAX(CO89+IF($A90=CP$4,1,-1),CP89-1,CO90-1)</f>
        <v>-81</v>
      </c>
      <c r="CQ90" s="2" t="n">
        <f aca="false">MAX(CP89+IF($A90=CQ$4,1,-1),CQ89-1,CP90-1)</f>
        <v>-82</v>
      </c>
    </row>
    <row r="91" customFormat="false" ht="15" hidden="false" customHeight="false" outlineLevel="0" collapsed="false">
      <c r="A91" s="4" t="s">
        <v>197</v>
      </c>
      <c r="B91" s="12" t="n">
        <v>-86</v>
      </c>
      <c r="C91" s="2" t="n">
        <f aca="false">MAX(B90+IF($A91=C$4,1,-1),C90-1,B91-1)</f>
        <v>-86</v>
      </c>
      <c r="D91" s="2" t="n">
        <f aca="false">MAX(C90+IF($A91=D$4,1,-1),D90-1,C91-1)</f>
        <v>-84</v>
      </c>
      <c r="E91" s="2" t="n">
        <f aca="false">MAX(D90+IF($A91=E$4,1,-1),E90-1,D91-1)</f>
        <v>-82</v>
      </c>
      <c r="F91" s="2" t="n">
        <f aca="false">MAX(E90+IF($A91=F$4,1,-1),F90-1,E91-1)</f>
        <v>-80</v>
      </c>
      <c r="G91" s="2" t="n">
        <f aca="false">MAX(F90+IF($A91=G$4,1,-1),G90-1,F91-1)</f>
        <v>-78</v>
      </c>
      <c r="H91" s="2" t="n">
        <f aca="false">MAX(G90+IF($A91=H$4,1,-1),H90-1,G91-1)</f>
        <v>-78</v>
      </c>
      <c r="I91" s="2" t="n">
        <f aca="false">MAX(H90+IF($A91=I$4,1,-1),I90-1,H91-1)</f>
        <v>-78</v>
      </c>
      <c r="J91" s="2" t="n">
        <f aca="false">MAX(I90+IF($A91=J$4,1,-1),J90-1,I91-1)</f>
        <v>-79</v>
      </c>
      <c r="K91" s="2" t="n">
        <f aca="false">MAX(J90+IF($A91=K$4,1,-1),K90-1,J91-1)</f>
        <v>-78</v>
      </c>
      <c r="L91" s="2" t="n">
        <f aca="false">MAX(K90+IF($A91=L$4,1,-1),L90-1,K91-1)</f>
        <v>-78</v>
      </c>
      <c r="M91" s="2" t="n">
        <f aca="false">MAX(L90+IF($A91=M$4,1,-1),M90-1,L91-1)</f>
        <v>-78</v>
      </c>
      <c r="N91" s="2" t="n">
        <f aca="false">MAX(M90+IF($A91=N$4,1,-1),N90-1,M91-1)</f>
        <v>-76</v>
      </c>
      <c r="O91" s="2" t="n">
        <f aca="false">MAX(N90+IF($A91=O$4,1,-1),O90-1,N91-1)</f>
        <v>-74</v>
      </c>
      <c r="P91" s="2" t="n">
        <f aca="false">MAX(O90+IF($A91=P$4,1,-1),P90-1,O91-1)</f>
        <v>-74</v>
      </c>
      <c r="Q91" s="2" t="n">
        <f aca="false">MAX(P90+IF($A91=Q$4,1,-1),Q90-1,P91-1)</f>
        <v>-74</v>
      </c>
      <c r="R91" s="2" t="n">
        <f aca="false">MAX(Q90+IF($A91=R$4,1,-1),R90-1,Q91-1)</f>
        <v>-74</v>
      </c>
      <c r="S91" s="2" t="n">
        <f aca="false">MAX(R90+IF($A91=S$4,1,-1),S90-1,R91-1)</f>
        <v>-75</v>
      </c>
      <c r="T91" s="2" t="n">
        <f aca="false">MAX(S90+IF($A91=T$4,1,-1),T90-1,S91-1)</f>
        <v>-75</v>
      </c>
      <c r="U91" s="2" t="n">
        <f aca="false">MAX(T90+IF($A91=U$4,1,-1),U90-1,T91-1)</f>
        <v>-73</v>
      </c>
      <c r="V91" s="2" t="n">
        <f aca="false">MAX(U90+IF($A91=V$4,1,-1),V90-1,U91-1)</f>
        <v>-73</v>
      </c>
      <c r="W91" s="2" t="n">
        <f aca="false">MAX(V90+IF($A91=W$4,1,-1),W90-1,V91-1)</f>
        <v>-73</v>
      </c>
      <c r="X91" s="2" t="n">
        <f aca="false">MAX(W90+IF($A91=X$4,1,-1),X90-1,W91-1)</f>
        <v>-73</v>
      </c>
      <c r="Y91" s="2" t="n">
        <f aca="false">MAX(X90+IF($A91=Y$4,1,-1),Y90-1,X91-1)</f>
        <v>-73</v>
      </c>
      <c r="Z91" s="2" t="n">
        <f aca="false">MAX(Y90+IF($A91=Z$4,1,-1),Z90-1,Y91-1)</f>
        <v>-73</v>
      </c>
      <c r="AA91" s="2" t="n">
        <f aca="false">MAX(Z90+IF($A91=AA$4,1,-1),AA90-1,Z91-1)</f>
        <v>-73</v>
      </c>
      <c r="AB91" s="2" t="n">
        <f aca="false">MAX(AA90+IF($A91=AB$4,1,-1),AB90-1,AA91-1)</f>
        <v>-73</v>
      </c>
      <c r="AC91" s="2" t="n">
        <f aca="false">MAX(AB90+IF($A91=AC$4,1,-1),AC90-1,AB91-1)</f>
        <v>-73</v>
      </c>
      <c r="AD91" s="2" t="n">
        <f aca="false">MAX(AC90+IF($A91=AD$4,1,-1),AD90-1,AC91-1)</f>
        <v>-71</v>
      </c>
      <c r="AE91" s="2" t="n">
        <f aca="false">MAX(AD90+IF($A91=AE$4,1,-1),AE90-1,AD91-1)</f>
        <v>-71</v>
      </c>
      <c r="AF91" s="2" t="n">
        <f aca="false">MAX(AE90+IF($A91=AF$4,1,-1),AF90-1,AE91-1)</f>
        <v>-71</v>
      </c>
      <c r="AG91" s="2" t="n">
        <f aca="false">MAX(AF90+IF($A91=AG$4,1,-1),AG90-1,AF91-1)</f>
        <v>-72</v>
      </c>
      <c r="AH91" s="2" t="n">
        <f aca="false">MAX(AG90+IF($A91=AH$4,1,-1),AH90-1,AG91-1)</f>
        <v>-73</v>
      </c>
      <c r="AI91" s="2" t="n">
        <f aca="false">MAX(AH90+IF($A91=AI$4,1,-1),AI90-1,AH91-1)</f>
        <v>-73</v>
      </c>
      <c r="AJ91" s="2" t="n">
        <f aca="false">MAX(AI90+IF($A91=AJ$4,1,-1),AJ90-1,AI91-1)</f>
        <v>-73</v>
      </c>
      <c r="AK91" s="2" t="n">
        <f aca="false">MAX(AJ90+IF($A91=AK$4,1,-1),AK90-1,AJ91-1)</f>
        <v>-74</v>
      </c>
      <c r="AL91" s="2" t="n">
        <f aca="false">MAX(AK90+IF($A91=AL$4,1,-1),AL90-1,AK91-1)</f>
        <v>-74</v>
      </c>
      <c r="AM91" s="2" t="n">
        <f aca="false">MAX(AL90+IF($A91=AM$4,1,-1),AM90-1,AL91-1)</f>
        <v>-74</v>
      </c>
      <c r="AN91" s="2" t="n">
        <f aca="false">MAX(AM90+IF($A91=AN$4,1,-1),AN90-1,AM91-1)</f>
        <v>-74</v>
      </c>
      <c r="AO91" s="2" t="n">
        <f aca="false">MAX(AN90+IF($A91=AO$4,1,-1),AO90-1,AN91-1)</f>
        <v>-74</v>
      </c>
      <c r="AP91" s="2" t="n">
        <f aca="false">MAX(AO90+IF($A91=AP$4,1,-1),AP90-1,AO91-1)</f>
        <v>-74</v>
      </c>
      <c r="AQ91" s="2" t="n">
        <f aca="false">MAX(AP90+IF($A91=AQ$4,1,-1),AQ90-1,AP91-1)</f>
        <v>-74</v>
      </c>
      <c r="AR91" s="2" t="n">
        <f aca="false">MAX(AQ90+IF($A91=AR$4,1,-1),AR90-1,AQ91-1)</f>
        <v>-74</v>
      </c>
      <c r="AS91" s="2" t="n">
        <f aca="false">MAX(AR90+IF($A91=AS$4,1,-1),AS90-1,AR91-1)</f>
        <v>-74</v>
      </c>
      <c r="AT91" s="2" t="n">
        <f aca="false">MAX(AS90+IF($A91=AT$4,1,-1),AT90-1,AS91-1)</f>
        <v>-72</v>
      </c>
      <c r="AU91" s="2" t="n">
        <f aca="false">MAX(AT90+IF($A91=AU$4,1,-1),AU90-1,AT91-1)</f>
        <v>-72</v>
      </c>
      <c r="AV91" s="2" t="n">
        <f aca="false">MAX(AU90+IF($A91=AV$4,1,-1),AV90-1,AU91-1)</f>
        <v>-72</v>
      </c>
      <c r="AW91" s="2" t="n">
        <f aca="false">MAX(AV90+IF($A91=AW$4,1,-1),AW90-1,AV91-1)</f>
        <v>-73</v>
      </c>
      <c r="AX91" s="2" t="n">
        <f aca="false">MAX(AW90+IF($A91=AX$4,1,-1),AX90-1,AW91-1)</f>
        <v>-74</v>
      </c>
      <c r="AY91" s="2" t="n">
        <f aca="false">MAX(AX90+IF($A91=AY$4,1,-1),AY90-1,AX91-1)</f>
        <v>-74</v>
      </c>
      <c r="AZ91" s="2" t="n">
        <f aca="false">MAX(AY90+IF($A91=AZ$4,1,-1),AZ90-1,AY91-1)</f>
        <v>-74</v>
      </c>
      <c r="BA91" s="2" t="n">
        <f aca="false">MAX(AZ90+IF($A91=BA$4,1,-1),BA90-1,AZ91-1)</f>
        <v>-74</v>
      </c>
      <c r="BB91" s="2" t="n">
        <f aca="false">MAX(BA90+IF($A91=BB$4,1,-1),BB90-1,BA91-1)</f>
        <v>-74</v>
      </c>
      <c r="BC91" s="2" t="n">
        <f aca="false">MAX(BB90+IF($A91=BC$4,1,-1),BC90-1,BB91-1)</f>
        <v>-74</v>
      </c>
      <c r="BD91" s="2" t="n">
        <f aca="false">MAX(BC90+IF($A91=BD$4,1,-1),BD90-1,BC91-1)</f>
        <v>-75</v>
      </c>
      <c r="BE91" s="2" t="n">
        <f aca="false">MAX(BD90+IF($A91=BE$4,1,-1),BE90-1,BD91-1)</f>
        <v>-74</v>
      </c>
      <c r="BF91" s="2" t="n">
        <f aca="false">MAX(BE90+IF($A91=BF$4,1,-1),BF90-1,BE91-1)</f>
        <v>-74</v>
      </c>
      <c r="BG91" s="2" t="n">
        <f aca="false">MAX(BF90+IF($A91=BG$4,1,-1),BG90-1,BF91-1)</f>
        <v>-74</v>
      </c>
      <c r="BH91" s="2" t="n">
        <f aca="false">MAX(BG90+IF($A91=BH$4,1,-1),BH90-1,BG91-1)</f>
        <v>-75</v>
      </c>
      <c r="BI91" s="2" t="n">
        <f aca="false">MAX(BH90+IF($A91=BI$4,1,-1),BI90-1,BH91-1)</f>
        <v>-74</v>
      </c>
      <c r="BJ91" s="2" t="n">
        <f aca="false">MAX(BI90+IF($A91=BJ$4,1,-1),BJ90-1,BI91-1)</f>
        <v>-74</v>
      </c>
      <c r="BK91" s="2" t="n">
        <f aca="false">MAX(BJ90+IF($A91=BK$4,1,-1),BK90-1,BJ91-1)</f>
        <v>-74</v>
      </c>
      <c r="BL91" s="2" t="n">
        <f aca="false">MAX(BK90+IF($A91=BL$4,1,-1),BL90-1,BK91-1)</f>
        <v>-72</v>
      </c>
      <c r="BM91" s="2" t="n">
        <f aca="false">MAX(BL90+IF($A91=BM$4,1,-1),BM90-1,BL91-1)</f>
        <v>-72</v>
      </c>
      <c r="BN91" s="2" t="n">
        <f aca="false">MAX(BM90+IF($A91=BN$4,1,-1),BN90-1,BM91-1)</f>
        <v>-72</v>
      </c>
      <c r="BO91" s="2" t="n">
        <f aca="false">MAX(BN90+IF($A91=BO$4,1,-1),BO90-1,BN91-1)</f>
        <v>-72</v>
      </c>
      <c r="BP91" s="2" t="n">
        <f aca="false">MAX(BO90+IF($A91=BP$4,1,-1),BP90-1,BO91-1)</f>
        <v>-72</v>
      </c>
      <c r="BQ91" s="2" t="n">
        <f aca="false">MAX(BP90+IF($A91=BQ$4,1,-1),BQ90-1,BP91-1)</f>
        <v>-72</v>
      </c>
      <c r="BR91" s="2" t="n">
        <f aca="false">MAX(BQ90+IF($A91=BR$4,1,-1),BR90-1,BQ91-1)</f>
        <v>-72</v>
      </c>
      <c r="BS91" s="2" t="n">
        <f aca="false">MAX(BR90+IF($A91=BS$4,1,-1),BS90-1,BR91-1)</f>
        <v>-73</v>
      </c>
      <c r="BT91" s="2" t="n">
        <f aca="false">MAX(BS90+IF($A91=BT$4,1,-1),BT90-1,BS91-1)</f>
        <v>-74</v>
      </c>
      <c r="BU91" s="2" t="n">
        <f aca="false">MAX(BT90+IF($A91=BU$4,1,-1),BU90-1,BT91-1)</f>
        <v>-74</v>
      </c>
      <c r="BV91" s="2" t="n">
        <f aca="false">MAX(BU90+IF($A91=BV$4,1,-1),BV90-1,BU91-1)</f>
        <v>-74</v>
      </c>
      <c r="BW91" s="2" t="n">
        <f aca="false">MAX(BV90+IF($A91=BW$4,1,-1),BW90-1,BV91-1)</f>
        <v>-74</v>
      </c>
      <c r="BX91" s="2" t="n">
        <f aca="false">MAX(BW90+IF($A91=BX$4,1,-1),BX90-1,BW91-1)</f>
        <v>-74</v>
      </c>
      <c r="BY91" s="2" t="n">
        <f aca="false">MAX(BX90+IF($A91=BY$4,1,-1),BY90-1,BX91-1)</f>
        <v>-75</v>
      </c>
      <c r="BZ91" s="2" t="n">
        <f aca="false">MAX(BY90+IF($A91=BZ$4,1,-1),BZ90-1,BY91-1)</f>
        <v>-76</v>
      </c>
      <c r="CA91" s="2" t="n">
        <f aca="false">MAX(BZ90+IF($A91=CA$4,1,-1),CA90-1,BZ91-1)</f>
        <v>-76</v>
      </c>
      <c r="CB91" s="2" t="n">
        <f aca="false">MAX(CA90+IF($A91=CB$4,1,-1),CB90-1,CA91-1)</f>
        <v>-76</v>
      </c>
      <c r="CC91" s="2" t="n">
        <f aca="false">MAX(CB90+IF($A91=CC$4,1,-1),CC90-1,CB91-1)</f>
        <v>-76</v>
      </c>
      <c r="CD91" s="2" t="n">
        <f aca="false">MAX(CC90+IF($A91=CD$4,1,-1),CD90-1,CC91-1)</f>
        <v>-77</v>
      </c>
      <c r="CE91" s="2" t="n">
        <f aca="false">MAX(CD90+IF($A91=CE$4,1,-1),CE90-1,CD91-1)</f>
        <v>-78</v>
      </c>
      <c r="CF91" s="2" t="n">
        <f aca="false">MAX(CE90+IF($A91=CF$4,1,-1),CF90-1,CE91-1)</f>
        <v>-78</v>
      </c>
      <c r="CG91" s="2" t="n">
        <f aca="false">MAX(CF90+IF($A91=CG$4,1,-1),CG90-1,CF91-1)</f>
        <v>-78</v>
      </c>
      <c r="CH91" s="2" t="n">
        <f aca="false">MAX(CG90+IF($A91=CH$4,1,-1),CH90-1,CG91-1)</f>
        <v>-78</v>
      </c>
      <c r="CI91" s="2" t="n">
        <f aca="false">MAX(CH90+IF($A91=CI$4,1,-1),CI90-1,CH91-1)</f>
        <v>-78</v>
      </c>
      <c r="CJ91" s="2" t="n">
        <f aca="false">MAX(CI90+IF($A91=CJ$4,1,-1),CJ90-1,CI91-1)</f>
        <v>-77</v>
      </c>
      <c r="CK91" s="2" t="n">
        <f aca="false">MAX(CJ90+IF($A91=CK$4,1,-1),CK90-1,CJ91-1)</f>
        <v>-77</v>
      </c>
      <c r="CL91" s="2" t="n">
        <f aca="false">MAX(CK90+IF($A91=CL$4,1,-1),CL90-1,CK91-1)</f>
        <v>-77</v>
      </c>
      <c r="CM91" s="2" t="n">
        <f aca="false">MAX(CL90+IF($A91=CM$4,1,-1),CM90-1,CL91-1)</f>
        <v>-78</v>
      </c>
      <c r="CN91" s="2" t="n">
        <f aca="false">MAX(CM90+IF($A91=CN$4,1,-1),CN90-1,CM91-1)</f>
        <v>-79</v>
      </c>
      <c r="CO91" s="2" t="n">
        <f aca="false">MAX(CN90+IF($A91=CO$4,1,-1),CO90-1,CN91-1)</f>
        <v>-80</v>
      </c>
      <c r="CP91" s="2" t="n">
        <f aca="false">MAX(CO90+IF($A91=CP$4,1,-1),CP90-1,CO91-1)</f>
        <v>-81</v>
      </c>
      <c r="CQ91" s="2" t="n">
        <f aca="false">MAX(CP90+IF($A91=CQ$4,1,-1),CQ90-1,CP91-1)</f>
        <v>-82</v>
      </c>
    </row>
    <row r="92" customFormat="false" ht="15" hidden="false" customHeight="false" outlineLevel="0" collapsed="false">
      <c r="A92" s="4" t="s">
        <v>198</v>
      </c>
      <c r="B92" s="12" t="n">
        <v>-87</v>
      </c>
      <c r="C92" s="2" t="n">
        <f aca="false">MAX(B91+IF($A92=C$4,1,-1),C91-1,B92-1)</f>
        <v>-87</v>
      </c>
      <c r="D92" s="2" t="n">
        <f aca="false">MAX(C91+IF($A92=D$4,1,-1),D91-1,C92-1)</f>
        <v>-85</v>
      </c>
      <c r="E92" s="2" t="n">
        <f aca="false">MAX(D91+IF($A92=E$4,1,-1),E91-1,D92-1)</f>
        <v>-83</v>
      </c>
      <c r="F92" s="2" t="n">
        <f aca="false">MAX(E91+IF($A92=F$4,1,-1),F91-1,E92-1)</f>
        <v>-81</v>
      </c>
      <c r="G92" s="2" t="n">
        <f aca="false">MAX(F91+IF($A92=G$4,1,-1),G91-1,F92-1)</f>
        <v>-79</v>
      </c>
      <c r="H92" s="2" t="n">
        <f aca="false">MAX(G91+IF($A92=H$4,1,-1),H91-1,G92-1)</f>
        <v>-79</v>
      </c>
      <c r="I92" s="2" t="n">
        <f aca="false">MAX(H91+IF($A92=I$4,1,-1),I91-1,H92-1)</f>
        <v>-79</v>
      </c>
      <c r="J92" s="2" t="n">
        <f aca="false">MAX(I91+IF($A92=J$4,1,-1),J91-1,I92-1)</f>
        <v>-79</v>
      </c>
      <c r="K92" s="2" t="n">
        <f aca="false">MAX(J91+IF($A92=K$4,1,-1),K91-1,J92-1)</f>
        <v>-79</v>
      </c>
      <c r="L92" s="2" t="n">
        <f aca="false">MAX(K91+IF($A92=L$4,1,-1),L91-1,K92-1)</f>
        <v>-79</v>
      </c>
      <c r="M92" s="2" t="n">
        <f aca="false">MAX(L91+IF($A92=M$4,1,-1),M91-1,L92-1)</f>
        <v>-79</v>
      </c>
      <c r="N92" s="2" t="n">
        <f aca="false">MAX(M91+IF($A92=N$4,1,-1),N91-1,M92-1)</f>
        <v>-77</v>
      </c>
      <c r="O92" s="2" t="n">
        <f aca="false">MAX(N91+IF($A92=O$4,1,-1),O91-1,N92-1)</f>
        <v>-75</v>
      </c>
      <c r="P92" s="2" t="n">
        <f aca="false">MAX(O91+IF($A92=P$4,1,-1),P91-1,O92-1)</f>
        <v>-75</v>
      </c>
      <c r="Q92" s="2" t="n">
        <f aca="false">MAX(P91+IF($A92=Q$4,1,-1),Q91-1,P92-1)</f>
        <v>-75</v>
      </c>
      <c r="R92" s="2" t="n">
        <f aca="false">MAX(Q91+IF($A92=R$4,1,-1),R91-1,Q92-1)</f>
        <v>-75</v>
      </c>
      <c r="S92" s="2" t="n">
        <f aca="false">MAX(R91+IF($A92=S$4,1,-1),S91-1,R92-1)</f>
        <v>-75</v>
      </c>
      <c r="T92" s="2" t="n">
        <f aca="false">MAX(S91+IF($A92=T$4,1,-1),T91-1,S92-1)</f>
        <v>-76</v>
      </c>
      <c r="U92" s="2" t="n">
        <f aca="false">MAX(T91+IF($A92=U$4,1,-1),U91-1,T92-1)</f>
        <v>-74</v>
      </c>
      <c r="V92" s="2" t="n">
        <f aca="false">MAX(U91+IF($A92=V$4,1,-1),V91-1,U92-1)</f>
        <v>-74</v>
      </c>
      <c r="W92" s="2" t="n">
        <f aca="false">MAX(V91+IF($A92=W$4,1,-1),W91-1,V92-1)</f>
        <v>-74</v>
      </c>
      <c r="X92" s="2" t="n">
        <f aca="false">MAX(W91+IF($A92=X$4,1,-1),X91-1,W92-1)</f>
        <v>-74</v>
      </c>
      <c r="Y92" s="2" t="n">
        <f aca="false">MAX(X91+IF($A92=Y$4,1,-1),Y91-1,X92-1)</f>
        <v>-74</v>
      </c>
      <c r="Z92" s="2" t="n">
        <f aca="false">MAX(Y91+IF($A92=Z$4,1,-1),Z91-1,Y92-1)</f>
        <v>-74</v>
      </c>
      <c r="AA92" s="2" t="n">
        <f aca="false">MAX(Z91+IF($A92=AA$4,1,-1),AA91-1,Z92-1)</f>
        <v>-74</v>
      </c>
      <c r="AB92" s="2" t="n">
        <f aca="false">MAX(AA91+IF($A92=AB$4,1,-1),AB91-1,AA92-1)</f>
        <v>-74</v>
      </c>
      <c r="AC92" s="2" t="n">
        <f aca="false">MAX(AB91+IF($A92=AC$4,1,-1),AC91-1,AB92-1)</f>
        <v>-74</v>
      </c>
      <c r="AD92" s="2" t="n">
        <f aca="false">MAX(AC91+IF($A92=AD$4,1,-1),AD91-1,AC92-1)</f>
        <v>-72</v>
      </c>
      <c r="AE92" s="2" t="n">
        <f aca="false">MAX(AD91+IF($A92=AE$4,1,-1),AE91-1,AD92-1)</f>
        <v>-72</v>
      </c>
      <c r="AF92" s="2" t="n">
        <f aca="false">MAX(AE91+IF($A92=AF$4,1,-1),AF91-1,AE92-1)</f>
        <v>-72</v>
      </c>
      <c r="AG92" s="2" t="n">
        <f aca="false">MAX(AF91+IF($A92=AG$4,1,-1),AG91-1,AF92-1)</f>
        <v>-72</v>
      </c>
      <c r="AH92" s="2" t="n">
        <f aca="false">MAX(AG91+IF($A92=AH$4,1,-1),AH91-1,AG92-1)</f>
        <v>-73</v>
      </c>
      <c r="AI92" s="2" t="n">
        <f aca="false">MAX(AH91+IF($A92=AI$4,1,-1),AI91-1,AH92-1)</f>
        <v>-74</v>
      </c>
      <c r="AJ92" s="2" t="n">
        <f aca="false">MAX(AI91+IF($A92=AJ$4,1,-1),AJ91-1,AI92-1)</f>
        <v>-74</v>
      </c>
      <c r="AK92" s="2" t="n">
        <f aca="false">MAX(AJ91+IF($A92=AK$4,1,-1),AK91-1,AJ92-1)</f>
        <v>-74</v>
      </c>
      <c r="AL92" s="2" t="n">
        <f aca="false">MAX(AK91+IF($A92=AL$4,1,-1),AL91-1,AK92-1)</f>
        <v>-75</v>
      </c>
      <c r="AM92" s="2" t="n">
        <f aca="false">MAX(AL91+IF($A92=AM$4,1,-1),AM91-1,AL92-1)</f>
        <v>-75</v>
      </c>
      <c r="AN92" s="2" t="n">
        <f aca="false">MAX(AM91+IF($A92=AN$4,1,-1),AN91-1,AM92-1)</f>
        <v>-75</v>
      </c>
      <c r="AO92" s="2" t="n">
        <f aca="false">MAX(AN91+IF($A92=AO$4,1,-1),AO91-1,AN92-1)</f>
        <v>-75</v>
      </c>
      <c r="AP92" s="2" t="n">
        <f aca="false">MAX(AO91+IF($A92=AP$4,1,-1),AP91-1,AO92-1)</f>
        <v>-75</v>
      </c>
      <c r="AQ92" s="2" t="n">
        <f aca="false">MAX(AP91+IF($A92=AQ$4,1,-1),AQ91-1,AP92-1)</f>
        <v>-75</v>
      </c>
      <c r="AR92" s="2" t="n">
        <f aca="false">MAX(AQ91+IF($A92=AR$4,1,-1),AR91-1,AQ92-1)</f>
        <v>-75</v>
      </c>
      <c r="AS92" s="2" t="n">
        <f aca="false">MAX(AR91+IF($A92=AS$4,1,-1),AS91-1,AR92-1)</f>
        <v>-75</v>
      </c>
      <c r="AT92" s="2" t="n">
        <f aca="false">MAX(AS91+IF($A92=AT$4,1,-1),AT91-1,AS92-1)</f>
        <v>-73</v>
      </c>
      <c r="AU92" s="2" t="n">
        <f aca="false">MAX(AT91+IF($A92=AU$4,1,-1),AU91-1,AT92-1)</f>
        <v>-73</v>
      </c>
      <c r="AV92" s="2" t="n">
        <f aca="false">MAX(AU91+IF($A92=AV$4,1,-1),AV91-1,AU92-1)</f>
        <v>-73</v>
      </c>
      <c r="AW92" s="2" t="n">
        <f aca="false">MAX(AV91+IF($A92=AW$4,1,-1),AW91-1,AV92-1)</f>
        <v>-73</v>
      </c>
      <c r="AX92" s="2" t="n">
        <f aca="false">MAX(AW91+IF($A92=AX$4,1,-1),AX91-1,AW92-1)</f>
        <v>-74</v>
      </c>
      <c r="AY92" s="2" t="n">
        <f aca="false">MAX(AX91+IF($A92=AY$4,1,-1),AY91-1,AX92-1)</f>
        <v>-75</v>
      </c>
      <c r="AZ92" s="2" t="n">
        <f aca="false">MAX(AY91+IF($A92=AZ$4,1,-1),AZ91-1,AY92-1)</f>
        <v>-75</v>
      </c>
      <c r="BA92" s="2" t="n">
        <f aca="false">MAX(AZ91+IF($A92=BA$4,1,-1),BA91-1,AZ92-1)</f>
        <v>-75</v>
      </c>
      <c r="BB92" s="2" t="n">
        <f aca="false">MAX(BA91+IF($A92=BB$4,1,-1),BB91-1,BA92-1)</f>
        <v>-75</v>
      </c>
      <c r="BC92" s="2" t="n">
        <f aca="false">MAX(BB91+IF($A92=BC$4,1,-1),BC91-1,BB92-1)</f>
        <v>-75</v>
      </c>
      <c r="BD92" s="2" t="n">
        <f aca="false">MAX(BC91+IF($A92=BD$4,1,-1),BD91-1,BC92-1)</f>
        <v>-75</v>
      </c>
      <c r="BE92" s="2" t="n">
        <f aca="false">MAX(BD91+IF($A92=BE$4,1,-1),BE91-1,BD92-1)</f>
        <v>-75</v>
      </c>
      <c r="BF92" s="2" t="n">
        <f aca="false">MAX(BE91+IF($A92=BF$4,1,-1),BF91-1,BE92-1)</f>
        <v>-75</v>
      </c>
      <c r="BG92" s="2" t="n">
        <f aca="false">MAX(BF91+IF($A92=BG$4,1,-1),BG91-1,BF92-1)</f>
        <v>-75</v>
      </c>
      <c r="BH92" s="2" t="n">
        <f aca="false">MAX(BG91+IF($A92=BH$4,1,-1),BH91-1,BG92-1)</f>
        <v>-75</v>
      </c>
      <c r="BI92" s="2" t="n">
        <f aca="false">MAX(BH91+IF($A92=BI$4,1,-1),BI91-1,BH92-1)</f>
        <v>-75</v>
      </c>
      <c r="BJ92" s="2" t="n">
        <f aca="false">MAX(BI91+IF($A92=BJ$4,1,-1),BJ91-1,BI92-1)</f>
        <v>-75</v>
      </c>
      <c r="BK92" s="2" t="n">
        <f aca="false">MAX(BJ91+IF($A92=BK$4,1,-1),BK91-1,BJ92-1)</f>
        <v>-75</v>
      </c>
      <c r="BL92" s="2" t="n">
        <f aca="false">MAX(BK91+IF($A92=BL$4,1,-1),BL91-1,BK92-1)</f>
        <v>-73</v>
      </c>
      <c r="BM92" s="2" t="n">
        <f aca="false">MAX(BL91+IF($A92=BM$4,1,-1),BM91-1,BL92-1)</f>
        <v>-73</v>
      </c>
      <c r="BN92" s="2" t="n">
        <f aca="false">MAX(BM91+IF($A92=BN$4,1,-1),BN91-1,BM92-1)</f>
        <v>-73</v>
      </c>
      <c r="BO92" s="2" t="n">
        <f aca="false">MAX(BN91+IF($A92=BO$4,1,-1),BO91-1,BN92-1)</f>
        <v>-73</v>
      </c>
      <c r="BP92" s="2" t="n">
        <f aca="false">MAX(BO91+IF($A92=BP$4,1,-1),BP91-1,BO92-1)</f>
        <v>-73</v>
      </c>
      <c r="BQ92" s="2" t="n">
        <f aca="false">MAX(BP91+IF($A92=BQ$4,1,-1),BQ91-1,BP92-1)</f>
        <v>-73</v>
      </c>
      <c r="BR92" s="2" t="n">
        <f aca="false">MAX(BQ91+IF($A92=BR$4,1,-1),BR91-1,BQ92-1)</f>
        <v>-73</v>
      </c>
      <c r="BS92" s="2" t="n">
        <f aca="false">MAX(BR91+IF($A92=BS$4,1,-1),BS91-1,BR92-1)</f>
        <v>-73</v>
      </c>
      <c r="BT92" s="2" t="n">
        <f aca="false">MAX(BS91+IF($A92=BT$4,1,-1),BT91-1,BS92-1)</f>
        <v>-74</v>
      </c>
      <c r="BU92" s="2" t="n">
        <f aca="false">MAX(BT91+IF($A92=BU$4,1,-1),BU91-1,BT92-1)</f>
        <v>-75</v>
      </c>
      <c r="BV92" s="2" t="n">
        <f aca="false">MAX(BU91+IF($A92=BV$4,1,-1),BV91-1,BU92-1)</f>
        <v>-75</v>
      </c>
      <c r="BW92" s="2" t="n">
        <f aca="false">MAX(BV91+IF($A92=BW$4,1,-1),BW91-1,BV92-1)</f>
        <v>-75</v>
      </c>
      <c r="BX92" s="2" t="n">
        <f aca="false">MAX(BW91+IF($A92=BX$4,1,-1),BX91-1,BW92-1)</f>
        <v>-75</v>
      </c>
      <c r="BY92" s="2" t="n">
        <f aca="false">MAX(BX91+IF($A92=BY$4,1,-1),BY91-1,BX92-1)</f>
        <v>-75</v>
      </c>
      <c r="BZ92" s="2" t="n">
        <f aca="false">MAX(BY91+IF($A92=BZ$4,1,-1),BZ91-1,BY92-1)</f>
        <v>-76</v>
      </c>
      <c r="CA92" s="2" t="n">
        <f aca="false">MAX(BZ91+IF($A92=CA$4,1,-1),CA91-1,BZ92-1)</f>
        <v>-77</v>
      </c>
      <c r="CB92" s="2" t="n">
        <f aca="false">MAX(CA91+IF($A92=CB$4,1,-1),CB91-1,CA92-1)</f>
        <v>-77</v>
      </c>
      <c r="CC92" s="2" t="n">
        <f aca="false">MAX(CB91+IF($A92=CC$4,1,-1),CC91-1,CB92-1)</f>
        <v>-77</v>
      </c>
      <c r="CD92" s="2" t="n">
        <f aca="false">MAX(CC91+IF($A92=CD$4,1,-1),CD91-1,CC92-1)</f>
        <v>-77</v>
      </c>
      <c r="CE92" s="2" t="n">
        <f aca="false">MAX(CD91+IF($A92=CE$4,1,-1),CE91-1,CD92-1)</f>
        <v>-78</v>
      </c>
      <c r="CF92" s="2" t="n">
        <f aca="false">MAX(CE91+IF($A92=CF$4,1,-1),CF91-1,CE92-1)</f>
        <v>-79</v>
      </c>
      <c r="CG92" s="2" t="n">
        <f aca="false">MAX(CF91+IF($A92=CG$4,1,-1),CG91-1,CF92-1)</f>
        <v>-79</v>
      </c>
      <c r="CH92" s="2" t="n">
        <f aca="false">MAX(CG91+IF($A92=CH$4,1,-1),CH91-1,CG92-1)</f>
        <v>-79</v>
      </c>
      <c r="CI92" s="2" t="n">
        <f aca="false">MAX(CH91+IF($A92=CI$4,1,-1),CI91-1,CH92-1)</f>
        <v>-79</v>
      </c>
      <c r="CJ92" s="2" t="n">
        <f aca="false">MAX(CI91+IF($A92=CJ$4,1,-1),CJ91-1,CI92-1)</f>
        <v>-78</v>
      </c>
      <c r="CK92" s="2" t="n">
        <f aca="false">MAX(CJ91+IF($A92=CK$4,1,-1),CK91-1,CJ92-1)</f>
        <v>-78</v>
      </c>
      <c r="CL92" s="2" t="n">
        <f aca="false">MAX(CK91+IF($A92=CL$4,1,-1),CL91-1,CK92-1)</f>
        <v>-78</v>
      </c>
      <c r="CM92" s="2" t="n">
        <f aca="false">MAX(CL91+IF($A92=CM$4,1,-1),CM91-1,CL92-1)</f>
        <v>-78</v>
      </c>
      <c r="CN92" s="2" t="n">
        <f aca="false">MAX(CM91+IF($A92=CN$4,1,-1),CN91-1,CM92-1)</f>
        <v>-79</v>
      </c>
      <c r="CO92" s="2" t="n">
        <f aca="false">MAX(CN91+IF($A92=CO$4,1,-1),CO91-1,CN92-1)</f>
        <v>-80</v>
      </c>
      <c r="CP92" s="2" t="n">
        <f aca="false">MAX(CO91+IF($A92=CP$4,1,-1),CP91-1,CO92-1)</f>
        <v>-81</v>
      </c>
      <c r="CQ92" s="2" t="n">
        <f aca="false">MAX(CP91+IF($A92=CQ$4,1,-1),CQ91-1,CP92-1)</f>
        <v>-82</v>
      </c>
    </row>
    <row r="93" customFormat="false" ht="15" hidden="false" customHeight="false" outlineLevel="0" collapsed="false">
      <c r="A93" s="4" t="s">
        <v>199</v>
      </c>
      <c r="B93" s="12" t="n">
        <v>-88</v>
      </c>
      <c r="C93" s="2" t="n">
        <f aca="false">MAX(B92+IF($A93=C$4,1,-1),C92-1,B93-1)</f>
        <v>-88</v>
      </c>
      <c r="D93" s="2" t="n">
        <f aca="false">MAX(C92+IF($A93=D$4,1,-1),D92-1,C93-1)</f>
        <v>-86</v>
      </c>
      <c r="E93" s="2" t="n">
        <f aca="false">MAX(D92+IF($A93=E$4,1,-1),E92-1,D93-1)</f>
        <v>-84</v>
      </c>
      <c r="F93" s="2" t="n">
        <f aca="false">MAX(E92+IF($A93=F$4,1,-1),F92-1,E93-1)</f>
        <v>-82</v>
      </c>
      <c r="G93" s="2" t="n">
        <f aca="false">MAX(F92+IF($A93=G$4,1,-1),G92-1,F93-1)</f>
        <v>-80</v>
      </c>
      <c r="H93" s="2" t="n">
        <f aca="false">MAX(G92+IF($A93=H$4,1,-1),H92-1,G93-1)</f>
        <v>-80</v>
      </c>
      <c r="I93" s="2" t="n">
        <f aca="false">MAX(H92+IF($A93=I$4,1,-1),I92-1,H93-1)</f>
        <v>-80</v>
      </c>
      <c r="J93" s="2" t="n">
        <f aca="false">MAX(I92+IF($A93=J$4,1,-1),J92-1,I93-1)</f>
        <v>-80</v>
      </c>
      <c r="K93" s="2" t="n">
        <f aca="false">MAX(J92+IF($A93=K$4,1,-1),K92-1,J93-1)</f>
        <v>-80</v>
      </c>
      <c r="L93" s="2" t="n">
        <f aca="false">MAX(K92+IF($A93=L$4,1,-1),L92-1,K93-1)</f>
        <v>-80</v>
      </c>
      <c r="M93" s="2" t="n">
        <f aca="false">MAX(L92+IF($A93=M$4,1,-1),M92-1,L93-1)</f>
        <v>-80</v>
      </c>
      <c r="N93" s="2" t="n">
        <f aca="false">MAX(M92+IF($A93=N$4,1,-1),N92-1,M93-1)</f>
        <v>-78</v>
      </c>
      <c r="O93" s="2" t="n">
        <f aca="false">MAX(N92+IF($A93=O$4,1,-1),O92-1,N93-1)</f>
        <v>-76</v>
      </c>
      <c r="P93" s="2" t="n">
        <f aca="false">MAX(O92+IF($A93=P$4,1,-1),P92-1,O93-1)</f>
        <v>-76</v>
      </c>
      <c r="Q93" s="2" t="n">
        <f aca="false">MAX(P92+IF($A93=Q$4,1,-1),Q92-1,P93-1)</f>
        <v>-76</v>
      </c>
      <c r="R93" s="2" t="n">
        <f aca="false">MAX(Q92+IF($A93=R$4,1,-1),R92-1,Q93-1)</f>
        <v>-76</v>
      </c>
      <c r="S93" s="2" t="n">
        <f aca="false">MAX(R92+IF($A93=S$4,1,-1),S92-1,R93-1)</f>
        <v>-76</v>
      </c>
      <c r="T93" s="2" t="n">
        <f aca="false">MAX(S92+IF($A93=T$4,1,-1),T92-1,S93-1)</f>
        <v>-76</v>
      </c>
      <c r="U93" s="2" t="n">
        <f aca="false">MAX(T92+IF($A93=U$4,1,-1),U92-1,T93-1)</f>
        <v>-75</v>
      </c>
      <c r="V93" s="2" t="n">
        <f aca="false">MAX(U92+IF($A93=V$4,1,-1),V92-1,U93-1)</f>
        <v>-75</v>
      </c>
      <c r="W93" s="2" t="n">
        <f aca="false">MAX(V92+IF($A93=W$4,1,-1),W92-1,V93-1)</f>
        <v>-75</v>
      </c>
      <c r="X93" s="2" t="n">
        <f aca="false">MAX(W92+IF($A93=X$4,1,-1),X92-1,W93-1)</f>
        <v>-75</v>
      </c>
      <c r="Y93" s="2" t="n">
        <f aca="false">MAX(X92+IF($A93=Y$4,1,-1),Y92-1,X93-1)</f>
        <v>-75</v>
      </c>
      <c r="Z93" s="2" t="n">
        <f aca="false">MAX(Y92+IF($A93=Z$4,1,-1),Z92-1,Y93-1)</f>
        <v>-75</v>
      </c>
      <c r="AA93" s="2" t="n">
        <f aca="false">MAX(Z92+IF($A93=AA$4,1,-1),AA92-1,Z93-1)</f>
        <v>-75</v>
      </c>
      <c r="AB93" s="2" t="n">
        <f aca="false">MAX(AA92+IF($A93=AB$4,1,-1),AB92-1,AA93-1)</f>
        <v>-75</v>
      </c>
      <c r="AC93" s="2" t="n">
        <f aca="false">MAX(AB92+IF($A93=AC$4,1,-1),AC92-1,AB93-1)</f>
        <v>-75</v>
      </c>
      <c r="AD93" s="2" t="n">
        <f aca="false">MAX(AC92+IF($A93=AD$4,1,-1),AD92-1,AC93-1)</f>
        <v>-73</v>
      </c>
      <c r="AE93" s="2" t="n">
        <f aca="false">MAX(AD92+IF($A93=AE$4,1,-1),AE92-1,AD93-1)</f>
        <v>-73</v>
      </c>
      <c r="AF93" s="2" t="n">
        <f aca="false">MAX(AE92+IF($A93=AF$4,1,-1),AF92-1,AE93-1)</f>
        <v>-73</v>
      </c>
      <c r="AG93" s="2" t="n">
        <f aca="false">MAX(AF92+IF($A93=AG$4,1,-1),AG92-1,AF93-1)</f>
        <v>-73</v>
      </c>
      <c r="AH93" s="2" t="n">
        <f aca="false">MAX(AG92+IF($A93=AH$4,1,-1),AH92-1,AG93-1)</f>
        <v>-73</v>
      </c>
      <c r="AI93" s="2" t="n">
        <f aca="false">MAX(AH92+IF($A93=AI$4,1,-1),AI92-1,AH93-1)</f>
        <v>-74</v>
      </c>
      <c r="AJ93" s="2" t="n">
        <f aca="false">MAX(AI92+IF($A93=AJ$4,1,-1),AJ92-1,AI93-1)</f>
        <v>-75</v>
      </c>
      <c r="AK93" s="2" t="n">
        <f aca="false">MAX(AJ92+IF($A93=AK$4,1,-1),AK92-1,AJ93-1)</f>
        <v>-75</v>
      </c>
      <c r="AL93" s="2" t="n">
        <f aca="false">MAX(AK92+IF($A93=AL$4,1,-1),AL92-1,AK93-1)</f>
        <v>-75</v>
      </c>
      <c r="AM93" s="2" t="n">
        <f aca="false">MAX(AL92+IF($A93=AM$4,1,-1),AM92-1,AL93-1)</f>
        <v>-76</v>
      </c>
      <c r="AN93" s="2" t="n">
        <f aca="false">MAX(AM92+IF($A93=AN$4,1,-1),AN92-1,AM93-1)</f>
        <v>-76</v>
      </c>
      <c r="AO93" s="2" t="n">
        <f aca="false">MAX(AN92+IF($A93=AO$4,1,-1),AO92-1,AN93-1)</f>
        <v>-76</v>
      </c>
      <c r="AP93" s="2" t="n">
        <f aca="false">MAX(AO92+IF($A93=AP$4,1,-1),AP92-1,AO93-1)</f>
        <v>-76</v>
      </c>
      <c r="AQ93" s="2" t="n">
        <f aca="false">MAX(AP92+IF($A93=AQ$4,1,-1),AQ92-1,AP93-1)</f>
        <v>-76</v>
      </c>
      <c r="AR93" s="2" t="n">
        <f aca="false">MAX(AQ92+IF($A93=AR$4,1,-1),AR92-1,AQ93-1)</f>
        <v>-76</v>
      </c>
      <c r="AS93" s="2" t="n">
        <f aca="false">MAX(AR92+IF($A93=AS$4,1,-1),AS92-1,AR93-1)</f>
        <v>-76</v>
      </c>
      <c r="AT93" s="2" t="n">
        <f aca="false">MAX(AS92+IF($A93=AT$4,1,-1),AT92-1,AS93-1)</f>
        <v>-74</v>
      </c>
      <c r="AU93" s="2" t="n">
        <f aca="false">MAX(AT92+IF($A93=AU$4,1,-1),AU92-1,AT93-1)</f>
        <v>-74</v>
      </c>
      <c r="AV93" s="2" t="n">
        <f aca="false">MAX(AU92+IF($A93=AV$4,1,-1),AV92-1,AU93-1)</f>
        <v>-74</v>
      </c>
      <c r="AW93" s="2" t="n">
        <f aca="false">MAX(AV92+IF($A93=AW$4,1,-1),AW92-1,AV93-1)</f>
        <v>-74</v>
      </c>
      <c r="AX93" s="2" t="n">
        <f aca="false">MAX(AW92+IF($A93=AX$4,1,-1),AX92-1,AW93-1)</f>
        <v>-74</v>
      </c>
      <c r="AY93" s="2" t="n">
        <f aca="false">MAX(AX92+IF($A93=AY$4,1,-1),AY92-1,AX93-1)</f>
        <v>-75</v>
      </c>
      <c r="AZ93" s="2" t="n">
        <f aca="false">MAX(AY92+IF($A93=AZ$4,1,-1),AZ92-1,AY93-1)</f>
        <v>-76</v>
      </c>
      <c r="BA93" s="2" t="n">
        <f aca="false">MAX(AZ92+IF($A93=BA$4,1,-1),BA92-1,AZ93-1)</f>
        <v>-76</v>
      </c>
      <c r="BB93" s="2" t="n">
        <f aca="false">MAX(BA92+IF($A93=BB$4,1,-1),BB92-1,BA93-1)</f>
        <v>-76</v>
      </c>
      <c r="BC93" s="2" t="n">
        <f aca="false">MAX(BB92+IF($A93=BC$4,1,-1),BC92-1,BB93-1)</f>
        <v>-76</v>
      </c>
      <c r="BD93" s="2" t="n">
        <f aca="false">MAX(BC92+IF($A93=BD$4,1,-1),BD92-1,BC93-1)</f>
        <v>-76</v>
      </c>
      <c r="BE93" s="2" t="n">
        <f aca="false">MAX(BD92+IF($A93=BE$4,1,-1),BE92-1,BD93-1)</f>
        <v>-76</v>
      </c>
      <c r="BF93" s="2" t="n">
        <f aca="false">MAX(BE92+IF($A93=BF$4,1,-1),BF92-1,BE93-1)</f>
        <v>-76</v>
      </c>
      <c r="BG93" s="2" t="n">
        <f aca="false">MAX(BF92+IF($A93=BG$4,1,-1),BG92-1,BF93-1)</f>
        <v>-76</v>
      </c>
      <c r="BH93" s="2" t="n">
        <f aca="false">MAX(BG92+IF($A93=BH$4,1,-1),BH92-1,BG93-1)</f>
        <v>-76</v>
      </c>
      <c r="BI93" s="2" t="n">
        <f aca="false">MAX(BH92+IF($A93=BI$4,1,-1),BI92-1,BH93-1)</f>
        <v>-76</v>
      </c>
      <c r="BJ93" s="2" t="n">
        <f aca="false">MAX(BI92+IF($A93=BJ$4,1,-1),BJ92-1,BI93-1)</f>
        <v>-76</v>
      </c>
      <c r="BK93" s="2" t="n">
        <f aca="false">MAX(BJ92+IF($A93=BK$4,1,-1),BK92-1,BJ93-1)</f>
        <v>-76</v>
      </c>
      <c r="BL93" s="2" t="n">
        <f aca="false">MAX(BK92+IF($A93=BL$4,1,-1),BL92-1,BK93-1)</f>
        <v>-74</v>
      </c>
      <c r="BM93" s="2" t="n">
        <f aca="false">MAX(BL92+IF($A93=BM$4,1,-1),BM92-1,BL93-1)</f>
        <v>-74</v>
      </c>
      <c r="BN93" s="2" t="n">
        <f aca="false">MAX(BM92+IF($A93=BN$4,1,-1),BN92-1,BM93-1)</f>
        <v>-74</v>
      </c>
      <c r="BO93" s="2" t="n">
        <f aca="false">MAX(BN92+IF($A93=BO$4,1,-1),BO92-1,BN93-1)</f>
        <v>-74</v>
      </c>
      <c r="BP93" s="2" t="n">
        <f aca="false">MAX(BO92+IF($A93=BP$4,1,-1),BP92-1,BO93-1)</f>
        <v>-74</v>
      </c>
      <c r="BQ93" s="2" t="n">
        <f aca="false">MAX(BP92+IF($A93=BQ$4,1,-1),BQ92-1,BP93-1)</f>
        <v>-74</v>
      </c>
      <c r="BR93" s="2" t="n">
        <f aca="false">MAX(BQ92+IF($A93=BR$4,1,-1),BR92-1,BQ93-1)</f>
        <v>-74</v>
      </c>
      <c r="BS93" s="2" t="n">
        <f aca="false">MAX(BR92+IF($A93=BS$4,1,-1),BS92-1,BR93-1)</f>
        <v>-74</v>
      </c>
      <c r="BT93" s="2" t="n">
        <f aca="false">MAX(BS92+IF($A93=BT$4,1,-1),BT92-1,BS93-1)</f>
        <v>-74</v>
      </c>
      <c r="BU93" s="2" t="n">
        <f aca="false">MAX(BT92+IF($A93=BU$4,1,-1),BU92-1,BT93-1)</f>
        <v>-75</v>
      </c>
      <c r="BV93" s="2" t="n">
        <f aca="false">MAX(BU92+IF($A93=BV$4,1,-1),BV92-1,BU93-1)</f>
        <v>-76</v>
      </c>
      <c r="BW93" s="2" t="n">
        <f aca="false">MAX(BV92+IF($A93=BW$4,1,-1),BW92-1,BV93-1)</f>
        <v>-76</v>
      </c>
      <c r="BX93" s="2" t="n">
        <f aca="false">MAX(BW92+IF($A93=BX$4,1,-1),BX92-1,BW93-1)</f>
        <v>-76</v>
      </c>
      <c r="BY93" s="2" t="n">
        <f aca="false">MAX(BX92+IF($A93=BY$4,1,-1),BY92-1,BX93-1)</f>
        <v>-76</v>
      </c>
      <c r="BZ93" s="2" t="n">
        <f aca="false">MAX(BY92+IF($A93=BZ$4,1,-1),BZ92-1,BY93-1)</f>
        <v>-76</v>
      </c>
      <c r="CA93" s="2" t="n">
        <f aca="false">MAX(BZ92+IF($A93=CA$4,1,-1),CA92-1,BZ93-1)</f>
        <v>-77</v>
      </c>
      <c r="CB93" s="2" t="n">
        <f aca="false">MAX(CA92+IF($A93=CB$4,1,-1),CB92-1,CA93-1)</f>
        <v>-78</v>
      </c>
      <c r="CC93" s="2" t="n">
        <f aca="false">MAX(CB92+IF($A93=CC$4,1,-1),CC92-1,CB93-1)</f>
        <v>-78</v>
      </c>
      <c r="CD93" s="2" t="n">
        <f aca="false">MAX(CC92+IF($A93=CD$4,1,-1),CD92-1,CC93-1)</f>
        <v>-78</v>
      </c>
      <c r="CE93" s="2" t="n">
        <f aca="false">MAX(CD92+IF($A93=CE$4,1,-1),CE92-1,CD93-1)</f>
        <v>-78</v>
      </c>
      <c r="CF93" s="2" t="n">
        <f aca="false">MAX(CE92+IF($A93=CF$4,1,-1),CF92-1,CE93-1)</f>
        <v>-79</v>
      </c>
      <c r="CG93" s="2" t="n">
        <f aca="false">MAX(CF92+IF($A93=CG$4,1,-1),CG92-1,CF93-1)</f>
        <v>-80</v>
      </c>
      <c r="CH93" s="2" t="n">
        <f aca="false">MAX(CG92+IF($A93=CH$4,1,-1),CH92-1,CG93-1)</f>
        <v>-80</v>
      </c>
      <c r="CI93" s="2" t="n">
        <f aca="false">MAX(CH92+IF($A93=CI$4,1,-1),CI92-1,CH93-1)</f>
        <v>-80</v>
      </c>
      <c r="CJ93" s="2" t="n">
        <f aca="false">MAX(CI92+IF($A93=CJ$4,1,-1),CJ92-1,CI93-1)</f>
        <v>-79</v>
      </c>
      <c r="CK93" s="2" t="n">
        <f aca="false">MAX(CJ92+IF($A93=CK$4,1,-1),CK92-1,CJ93-1)</f>
        <v>-79</v>
      </c>
      <c r="CL93" s="2" t="n">
        <f aca="false">MAX(CK92+IF($A93=CL$4,1,-1),CL92-1,CK93-1)</f>
        <v>-79</v>
      </c>
      <c r="CM93" s="2" t="n">
        <f aca="false">MAX(CL92+IF($A93=CM$4,1,-1),CM92-1,CL93-1)</f>
        <v>-79</v>
      </c>
      <c r="CN93" s="2" t="n">
        <f aca="false">MAX(CM92+IF($A93=CN$4,1,-1),CN92-1,CM93-1)</f>
        <v>-79</v>
      </c>
      <c r="CO93" s="2" t="n">
        <f aca="false">MAX(CN92+IF($A93=CO$4,1,-1),CO92-1,CN93-1)</f>
        <v>-80</v>
      </c>
      <c r="CP93" s="2" t="n">
        <f aca="false">MAX(CO92+IF($A93=CP$4,1,-1),CP92-1,CO93-1)</f>
        <v>-81</v>
      </c>
      <c r="CQ93" s="2" t="n">
        <f aca="false">MAX(CP92+IF($A93=CQ$4,1,-1),CQ92-1,CP93-1)</f>
        <v>-82</v>
      </c>
    </row>
    <row r="94" customFormat="false" ht="15" hidden="false" customHeight="false" outlineLevel="0" collapsed="false">
      <c r="A94" s="4" t="s">
        <v>179</v>
      </c>
      <c r="B94" s="12" t="n">
        <v>-89</v>
      </c>
      <c r="C94" s="2" t="n">
        <f aca="false">MAX(B93+IF($A94=C$4,1,-1),C93-1,B94-1)</f>
        <v>-89</v>
      </c>
      <c r="D94" s="2" t="n">
        <f aca="false">MAX(C93+IF($A94=D$4,1,-1),D93-1,C94-1)</f>
        <v>-87</v>
      </c>
      <c r="E94" s="2" t="n">
        <f aca="false">MAX(D93+IF($A94=E$4,1,-1),E93-1,D94-1)</f>
        <v>-85</v>
      </c>
      <c r="F94" s="2" t="n">
        <f aca="false">MAX(E93+IF($A94=F$4,1,-1),F93-1,E94-1)</f>
        <v>-83</v>
      </c>
      <c r="G94" s="2" t="n">
        <f aca="false">MAX(F93+IF($A94=G$4,1,-1),G93-1,F94-1)</f>
        <v>-81</v>
      </c>
      <c r="H94" s="2" t="n">
        <f aca="false">MAX(G93+IF($A94=H$4,1,-1),H93-1,G94-1)</f>
        <v>-81</v>
      </c>
      <c r="I94" s="2" t="n">
        <f aca="false">MAX(H93+IF($A94=I$4,1,-1),I93-1,H94-1)</f>
        <v>-81</v>
      </c>
      <c r="J94" s="2" t="n">
        <f aca="false">MAX(I93+IF($A94=J$4,1,-1),J93-1,I94-1)</f>
        <v>-81</v>
      </c>
      <c r="K94" s="2" t="n">
        <f aca="false">MAX(J93+IF($A94=K$4,1,-1),K93-1,J94-1)</f>
        <v>-81</v>
      </c>
      <c r="L94" s="2" t="n">
        <f aca="false">MAX(K93+IF($A94=L$4,1,-1),L93-1,K94-1)</f>
        <v>-81</v>
      </c>
      <c r="M94" s="2" t="n">
        <f aca="false">MAX(L93+IF($A94=M$4,1,-1),M93-1,L94-1)</f>
        <v>-81</v>
      </c>
      <c r="N94" s="2" t="n">
        <f aca="false">MAX(M93+IF($A94=N$4,1,-1),N93-1,M94-1)</f>
        <v>-79</v>
      </c>
      <c r="O94" s="2" t="n">
        <f aca="false">MAX(N93+IF($A94=O$4,1,-1),O93-1,N94-1)</f>
        <v>-77</v>
      </c>
      <c r="P94" s="2" t="n">
        <f aca="false">MAX(O93+IF($A94=P$4,1,-1),P93-1,O94-1)</f>
        <v>-77</v>
      </c>
      <c r="Q94" s="2" t="n">
        <f aca="false">MAX(P93+IF($A94=Q$4,1,-1),Q93-1,P94-1)</f>
        <v>-77</v>
      </c>
      <c r="R94" s="2" t="n">
        <f aca="false">MAX(Q93+IF($A94=R$4,1,-1),R93-1,Q94-1)</f>
        <v>-77</v>
      </c>
      <c r="S94" s="2" t="n">
        <f aca="false">MAX(R93+IF($A94=S$4,1,-1),S93-1,R94-1)</f>
        <v>-77</v>
      </c>
      <c r="T94" s="2" t="n">
        <f aca="false">MAX(S93+IF($A94=T$4,1,-1),T93-1,S94-1)</f>
        <v>-77</v>
      </c>
      <c r="U94" s="2" t="n">
        <f aca="false">MAX(T93+IF($A94=U$4,1,-1),U93-1,T94-1)</f>
        <v>-76</v>
      </c>
      <c r="V94" s="2" t="n">
        <f aca="false">MAX(U93+IF($A94=V$4,1,-1),V93-1,U94-1)</f>
        <v>-76</v>
      </c>
      <c r="W94" s="2" t="n">
        <f aca="false">MAX(V93+IF($A94=W$4,1,-1),W93-1,V94-1)</f>
        <v>-76</v>
      </c>
      <c r="X94" s="2" t="n">
        <f aca="false">MAX(W93+IF($A94=X$4,1,-1),X93-1,W94-1)</f>
        <v>-76</v>
      </c>
      <c r="Y94" s="2" t="n">
        <f aca="false">MAX(X93+IF($A94=Y$4,1,-1),Y93-1,X94-1)</f>
        <v>-76</v>
      </c>
      <c r="Z94" s="2" t="n">
        <f aca="false">MAX(Y93+IF($A94=Z$4,1,-1),Z93-1,Y94-1)</f>
        <v>-76</v>
      </c>
      <c r="AA94" s="2" t="n">
        <f aca="false">MAX(Z93+IF($A94=AA$4,1,-1),AA93-1,Z94-1)</f>
        <v>-76</v>
      </c>
      <c r="AB94" s="2" t="n">
        <f aca="false">MAX(AA93+IF($A94=AB$4,1,-1),AB93-1,AA94-1)</f>
        <v>-76</v>
      </c>
      <c r="AC94" s="2" t="n">
        <f aca="false">MAX(AB93+IF($A94=AC$4,1,-1),AC93-1,AB94-1)</f>
        <v>-76</v>
      </c>
      <c r="AD94" s="2" t="n">
        <f aca="false">MAX(AC93+IF($A94=AD$4,1,-1),AD93-1,AC94-1)</f>
        <v>-74</v>
      </c>
      <c r="AE94" s="2" t="n">
        <f aca="false">MAX(AD93+IF($A94=AE$4,1,-1),AE93-1,AD94-1)</f>
        <v>-74</v>
      </c>
      <c r="AF94" s="2" t="n">
        <f aca="false">MAX(AE93+IF($A94=AF$4,1,-1),AF93-1,AE94-1)</f>
        <v>-74</v>
      </c>
      <c r="AG94" s="2" t="n">
        <f aca="false">MAX(AF93+IF($A94=AG$4,1,-1),AG93-1,AF94-1)</f>
        <v>-74</v>
      </c>
      <c r="AH94" s="2" t="n">
        <f aca="false">MAX(AG93+IF($A94=AH$4,1,-1),AH93-1,AG94-1)</f>
        <v>-74</v>
      </c>
      <c r="AI94" s="2" t="n">
        <f aca="false">MAX(AH93+IF($A94=AI$4,1,-1),AI93-1,AH94-1)</f>
        <v>-74</v>
      </c>
      <c r="AJ94" s="2" t="n">
        <f aca="false">MAX(AI93+IF($A94=AJ$4,1,-1),AJ93-1,AI94-1)</f>
        <v>-75</v>
      </c>
      <c r="AK94" s="2" t="n">
        <f aca="false">MAX(AJ93+IF($A94=AK$4,1,-1),AK93-1,AJ94-1)</f>
        <v>-76</v>
      </c>
      <c r="AL94" s="2" t="n">
        <f aca="false">MAX(AK93+IF($A94=AL$4,1,-1),AL93-1,AK94-1)</f>
        <v>-76</v>
      </c>
      <c r="AM94" s="2" t="n">
        <f aca="false">MAX(AL93+IF($A94=AM$4,1,-1),AM93-1,AL94-1)</f>
        <v>-76</v>
      </c>
      <c r="AN94" s="2" t="n">
        <f aca="false">MAX(AM93+IF($A94=AN$4,1,-1),AN93-1,AM94-1)</f>
        <v>-77</v>
      </c>
      <c r="AO94" s="2" t="n">
        <f aca="false">MAX(AN93+IF($A94=AO$4,1,-1),AO93-1,AN94-1)</f>
        <v>-77</v>
      </c>
      <c r="AP94" s="2" t="n">
        <f aca="false">MAX(AO93+IF($A94=AP$4,1,-1),AP93-1,AO94-1)</f>
        <v>-77</v>
      </c>
      <c r="AQ94" s="2" t="n">
        <f aca="false">MAX(AP93+IF($A94=AQ$4,1,-1),AQ93-1,AP94-1)</f>
        <v>-77</v>
      </c>
      <c r="AR94" s="2" t="n">
        <f aca="false">MAX(AQ93+IF($A94=AR$4,1,-1),AR93-1,AQ94-1)</f>
        <v>-77</v>
      </c>
      <c r="AS94" s="2" t="n">
        <f aca="false">MAX(AR93+IF($A94=AS$4,1,-1),AS93-1,AR94-1)</f>
        <v>-77</v>
      </c>
      <c r="AT94" s="2" t="n">
        <f aca="false">MAX(AS93+IF($A94=AT$4,1,-1),AT93-1,AS94-1)</f>
        <v>-75</v>
      </c>
      <c r="AU94" s="2" t="n">
        <f aca="false">MAX(AT93+IF($A94=AU$4,1,-1),AU93-1,AT94-1)</f>
        <v>-75</v>
      </c>
      <c r="AV94" s="2" t="n">
        <f aca="false">MAX(AU93+IF($A94=AV$4,1,-1),AV93-1,AU94-1)</f>
        <v>-75</v>
      </c>
      <c r="AW94" s="2" t="n">
        <f aca="false">MAX(AV93+IF($A94=AW$4,1,-1),AW93-1,AV94-1)</f>
        <v>-75</v>
      </c>
      <c r="AX94" s="2" t="n">
        <f aca="false">MAX(AW93+IF($A94=AX$4,1,-1),AX93-1,AW94-1)</f>
        <v>-75</v>
      </c>
      <c r="AY94" s="2" t="n">
        <f aca="false">MAX(AX93+IF($A94=AY$4,1,-1),AY93-1,AX94-1)</f>
        <v>-75</v>
      </c>
      <c r="AZ94" s="2" t="n">
        <f aca="false">MAX(AY93+IF($A94=AZ$4,1,-1),AZ93-1,AY94-1)</f>
        <v>-76</v>
      </c>
      <c r="BA94" s="2" t="n">
        <f aca="false">MAX(AZ93+IF($A94=BA$4,1,-1),BA93-1,AZ94-1)</f>
        <v>-77</v>
      </c>
      <c r="BB94" s="2" t="n">
        <f aca="false">MAX(BA93+IF($A94=BB$4,1,-1),BB93-1,BA94-1)</f>
        <v>-77</v>
      </c>
      <c r="BC94" s="2" t="n">
        <f aca="false">MAX(BB93+IF($A94=BC$4,1,-1),BC93-1,BB94-1)</f>
        <v>-77</v>
      </c>
      <c r="BD94" s="2" t="n">
        <f aca="false">MAX(BC93+IF($A94=BD$4,1,-1),BD93-1,BC94-1)</f>
        <v>-77</v>
      </c>
      <c r="BE94" s="2" t="n">
        <f aca="false">MAX(BD93+IF($A94=BE$4,1,-1),BE93-1,BD94-1)</f>
        <v>-77</v>
      </c>
      <c r="BF94" s="2" t="n">
        <f aca="false">MAX(BE93+IF($A94=BF$4,1,-1),BF93-1,BE94-1)</f>
        <v>-77</v>
      </c>
      <c r="BG94" s="2" t="n">
        <f aca="false">MAX(BF93+IF($A94=BG$4,1,-1),BG93-1,BF94-1)</f>
        <v>-77</v>
      </c>
      <c r="BH94" s="2" t="n">
        <f aca="false">MAX(BG93+IF($A94=BH$4,1,-1),BH93-1,BG94-1)</f>
        <v>-77</v>
      </c>
      <c r="BI94" s="2" t="n">
        <f aca="false">MAX(BH93+IF($A94=BI$4,1,-1),BI93-1,BH94-1)</f>
        <v>-77</v>
      </c>
      <c r="BJ94" s="2" t="n">
        <f aca="false">MAX(BI93+IF($A94=BJ$4,1,-1),BJ93-1,BI94-1)</f>
        <v>-77</v>
      </c>
      <c r="BK94" s="2" t="n">
        <f aca="false">MAX(BJ93+IF($A94=BK$4,1,-1),BK93-1,BJ94-1)</f>
        <v>-77</v>
      </c>
      <c r="BL94" s="2" t="n">
        <f aca="false">MAX(BK93+IF($A94=BL$4,1,-1),BL93-1,BK94-1)</f>
        <v>-75</v>
      </c>
      <c r="BM94" s="2" t="n">
        <f aca="false">MAX(BL93+IF($A94=BM$4,1,-1),BM93-1,BL94-1)</f>
        <v>-75</v>
      </c>
      <c r="BN94" s="2" t="n">
        <f aca="false">MAX(BM93+IF($A94=BN$4,1,-1),BN93-1,BM94-1)</f>
        <v>-75</v>
      </c>
      <c r="BO94" s="2" t="n">
        <f aca="false">MAX(BN93+IF($A94=BO$4,1,-1),BO93-1,BN94-1)</f>
        <v>-75</v>
      </c>
      <c r="BP94" s="2" t="n">
        <f aca="false">MAX(BO93+IF($A94=BP$4,1,-1),BP93-1,BO94-1)</f>
        <v>-75</v>
      </c>
      <c r="BQ94" s="2" t="n">
        <f aca="false">MAX(BP93+IF($A94=BQ$4,1,-1),BQ93-1,BP94-1)</f>
        <v>-75</v>
      </c>
      <c r="BR94" s="2" t="n">
        <f aca="false">MAX(BQ93+IF($A94=BR$4,1,-1),BR93-1,BQ94-1)</f>
        <v>-75</v>
      </c>
      <c r="BS94" s="2" t="n">
        <f aca="false">MAX(BR93+IF($A94=BS$4,1,-1),BS93-1,BR94-1)</f>
        <v>-75</v>
      </c>
      <c r="BT94" s="2" t="n">
        <f aca="false">MAX(BS93+IF($A94=BT$4,1,-1),BT93-1,BS94-1)</f>
        <v>-75</v>
      </c>
      <c r="BU94" s="2" t="n">
        <f aca="false">MAX(BT93+IF($A94=BU$4,1,-1),BU93-1,BT94-1)</f>
        <v>-75</v>
      </c>
      <c r="BV94" s="2" t="n">
        <f aca="false">MAX(BU93+IF($A94=BV$4,1,-1),BV93-1,BU94-1)</f>
        <v>-76</v>
      </c>
      <c r="BW94" s="2" t="n">
        <f aca="false">MAX(BV93+IF($A94=BW$4,1,-1),BW93-1,BV94-1)</f>
        <v>-77</v>
      </c>
      <c r="BX94" s="2" t="n">
        <f aca="false">MAX(BW93+IF($A94=BX$4,1,-1),BX93-1,BW94-1)</f>
        <v>-77</v>
      </c>
      <c r="BY94" s="2" t="n">
        <f aca="false">MAX(BX93+IF($A94=BY$4,1,-1),BY93-1,BX94-1)</f>
        <v>-77</v>
      </c>
      <c r="BZ94" s="2" t="n">
        <f aca="false">MAX(BY93+IF($A94=BZ$4,1,-1),BZ93-1,BY94-1)</f>
        <v>-77</v>
      </c>
      <c r="CA94" s="2" t="n">
        <f aca="false">MAX(BZ93+IF($A94=CA$4,1,-1),CA93-1,BZ94-1)</f>
        <v>-77</v>
      </c>
      <c r="CB94" s="2" t="n">
        <f aca="false">MAX(CA93+IF($A94=CB$4,1,-1),CB93-1,CA94-1)</f>
        <v>-78</v>
      </c>
      <c r="CC94" s="2" t="n">
        <f aca="false">MAX(CB93+IF($A94=CC$4,1,-1),CC93-1,CB94-1)</f>
        <v>-79</v>
      </c>
      <c r="CD94" s="2" t="n">
        <f aca="false">MAX(CC93+IF($A94=CD$4,1,-1),CD93-1,CC94-1)</f>
        <v>-79</v>
      </c>
      <c r="CE94" s="2" t="n">
        <f aca="false">MAX(CD93+IF($A94=CE$4,1,-1),CE93-1,CD94-1)</f>
        <v>-79</v>
      </c>
      <c r="CF94" s="2" t="n">
        <f aca="false">MAX(CE93+IF($A94=CF$4,1,-1),CF93-1,CE94-1)</f>
        <v>-79</v>
      </c>
      <c r="CG94" s="2" t="n">
        <f aca="false">MAX(CF93+IF($A94=CG$4,1,-1),CG93-1,CF94-1)</f>
        <v>-80</v>
      </c>
      <c r="CH94" s="2" t="n">
        <f aca="false">MAX(CG93+IF($A94=CH$4,1,-1),CH93-1,CG94-1)</f>
        <v>-81</v>
      </c>
      <c r="CI94" s="2" t="n">
        <f aca="false">MAX(CH93+IF($A94=CI$4,1,-1),CI93-1,CH94-1)</f>
        <v>-81</v>
      </c>
      <c r="CJ94" s="2" t="n">
        <f aca="false">MAX(CI93+IF($A94=CJ$4,1,-1),CJ93-1,CI94-1)</f>
        <v>-80</v>
      </c>
      <c r="CK94" s="2" t="n">
        <f aca="false">MAX(CJ93+IF($A94=CK$4,1,-1),CK93-1,CJ94-1)</f>
        <v>-80</v>
      </c>
      <c r="CL94" s="2" t="n">
        <f aca="false">MAX(CK93+IF($A94=CL$4,1,-1),CL93-1,CK94-1)</f>
        <v>-80</v>
      </c>
      <c r="CM94" s="2" t="n">
        <f aca="false">MAX(CL93+IF($A94=CM$4,1,-1),CM93-1,CL94-1)</f>
        <v>-80</v>
      </c>
      <c r="CN94" s="2" t="n">
        <f aca="false">MAX(CM93+IF($A94=CN$4,1,-1),CN93-1,CM94-1)</f>
        <v>-80</v>
      </c>
      <c r="CO94" s="2" t="n">
        <f aca="false">MAX(CN93+IF($A94=CO$4,1,-1),CO93-1,CN94-1)</f>
        <v>-80</v>
      </c>
      <c r="CP94" s="2" t="n">
        <f aca="false">MAX(CO93+IF($A94=CP$4,1,-1),CP93-1,CO94-1)</f>
        <v>-81</v>
      </c>
      <c r="CQ94" s="2" t="n">
        <f aca="false">MAX(CP93+IF($A94=CQ$4,1,-1),CQ93-1,CP94-1)</f>
        <v>-82</v>
      </c>
    </row>
    <row r="95" customFormat="false" ht="15" hidden="false" customHeight="false" outlineLevel="0" collapsed="false">
      <c r="A95" s="4" t="s">
        <v>200</v>
      </c>
      <c r="B95" s="12" t="n">
        <v>-90</v>
      </c>
      <c r="C95" s="2" t="n">
        <f aca="false">MAX(B94+IF($A95=C$4,1,-1),C94-1,B95-1)</f>
        <v>-90</v>
      </c>
      <c r="D95" s="2" t="n">
        <f aca="false">MAX(C94+IF($A95=D$4,1,-1),D94-1,C95-1)</f>
        <v>-88</v>
      </c>
      <c r="E95" s="2" t="n">
        <f aca="false">MAX(D94+IF($A95=E$4,1,-1),E94-1,D95-1)</f>
        <v>-86</v>
      </c>
      <c r="F95" s="2" t="n">
        <f aca="false">MAX(E94+IF($A95=F$4,1,-1),F94-1,E95-1)</f>
        <v>-84</v>
      </c>
      <c r="G95" s="2" t="n">
        <f aca="false">MAX(F94+IF($A95=G$4,1,-1),G94-1,F95-1)</f>
        <v>-82</v>
      </c>
      <c r="H95" s="2" t="n">
        <f aca="false">MAX(G94+IF($A95=H$4,1,-1),H94-1,G95-1)</f>
        <v>-82</v>
      </c>
      <c r="I95" s="2" t="n">
        <f aca="false">MAX(H94+IF($A95=I$4,1,-1),I94-1,H95-1)</f>
        <v>-82</v>
      </c>
      <c r="J95" s="2" t="n">
        <f aca="false">MAX(I94+IF($A95=J$4,1,-1),J94-1,I95-1)</f>
        <v>-82</v>
      </c>
      <c r="K95" s="2" t="n">
        <f aca="false">MAX(J94+IF($A95=K$4,1,-1),K94-1,J95-1)</f>
        <v>-82</v>
      </c>
      <c r="L95" s="2" t="n">
        <f aca="false">MAX(K94+IF($A95=L$4,1,-1),L94-1,K95-1)</f>
        <v>-82</v>
      </c>
      <c r="M95" s="2" t="n">
        <f aca="false">MAX(L94+IF($A95=M$4,1,-1),M94-1,L95-1)</f>
        <v>-82</v>
      </c>
      <c r="N95" s="2" t="n">
        <f aca="false">MAX(M94+IF($A95=N$4,1,-1),N94-1,M95-1)</f>
        <v>-80</v>
      </c>
      <c r="O95" s="2" t="n">
        <f aca="false">MAX(N94+IF($A95=O$4,1,-1),O94-1,N95-1)</f>
        <v>-78</v>
      </c>
      <c r="P95" s="2" t="n">
        <f aca="false">MAX(O94+IF($A95=P$4,1,-1),P94-1,O95-1)</f>
        <v>-78</v>
      </c>
      <c r="Q95" s="2" t="n">
        <f aca="false">MAX(P94+IF($A95=Q$4,1,-1),Q94-1,P95-1)</f>
        <v>-78</v>
      </c>
      <c r="R95" s="2" t="n">
        <f aca="false">MAX(Q94+IF($A95=R$4,1,-1),R94-1,Q95-1)</f>
        <v>-78</v>
      </c>
      <c r="S95" s="2" t="n">
        <f aca="false">MAX(R94+IF($A95=S$4,1,-1),S94-1,R95-1)</f>
        <v>-78</v>
      </c>
      <c r="T95" s="2" t="n">
        <f aca="false">MAX(S94+IF($A95=T$4,1,-1),T94-1,S95-1)</f>
        <v>-78</v>
      </c>
      <c r="U95" s="2" t="n">
        <f aca="false">MAX(T94+IF($A95=U$4,1,-1),U94-1,T95-1)</f>
        <v>-77</v>
      </c>
      <c r="V95" s="2" t="n">
        <f aca="false">MAX(U94+IF($A95=V$4,1,-1),V94-1,U95-1)</f>
        <v>-77</v>
      </c>
      <c r="W95" s="2" t="n">
        <f aca="false">MAX(V94+IF($A95=W$4,1,-1),W94-1,V95-1)</f>
        <v>-77</v>
      </c>
      <c r="X95" s="2" t="n">
        <f aca="false">MAX(W94+IF($A95=X$4,1,-1),X94-1,W95-1)</f>
        <v>-77</v>
      </c>
      <c r="Y95" s="2" t="n">
        <f aca="false">MAX(X94+IF($A95=Y$4,1,-1),Y94-1,X95-1)</f>
        <v>-77</v>
      </c>
      <c r="Z95" s="2" t="n">
        <f aca="false">MAX(Y94+IF($A95=Z$4,1,-1),Z94-1,Y95-1)</f>
        <v>-77</v>
      </c>
      <c r="AA95" s="2" t="n">
        <f aca="false">MAX(Z94+IF($A95=AA$4,1,-1),AA94-1,Z95-1)</f>
        <v>-77</v>
      </c>
      <c r="AB95" s="2" t="n">
        <f aca="false">MAX(AA94+IF($A95=AB$4,1,-1),AB94-1,AA95-1)</f>
        <v>-77</v>
      </c>
      <c r="AC95" s="2" t="n">
        <f aca="false">MAX(AB94+IF($A95=AC$4,1,-1),AC94-1,AB95-1)</f>
        <v>-77</v>
      </c>
      <c r="AD95" s="2" t="n">
        <f aca="false">MAX(AC94+IF($A95=AD$4,1,-1),AD94-1,AC95-1)</f>
        <v>-75</v>
      </c>
      <c r="AE95" s="2" t="n">
        <f aca="false">MAX(AD94+IF($A95=AE$4,1,-1),AE94-1,AD95-1)</f>
        <v>-75</v>
      </c>
      <c r="AF95" s="2" t="n">
        <f aca="false">MAX(AE94+IF($A95=AF$4,1,-1),AF94-1,AE95-1)</f>
        <v>-75</v>
      </c>
      <c r="AG95" s="2" t="n">
        <f aca="false">MAX(AF94+IF($A95=AG$4,1,-1),AG94-1,AF95-1)</f>
        <v>-75</v>
      </c>
      <c r="AH95" s="2" t="n">
        <f aca="false">MAX(AG94+IF($A95=AH$4,1,-1),AH94-1,AG95-1)</f>
        <v>-75</v>
      </c>
      <c r="AI95" s="2" t="n">
        <f aca="false">MAX(AH94+IF($A95=AI$4,1,-1),AI94-1,AH95-1)</f>
        <v>-75</v>
      </c>
      <c r="AJ95" s="2" t="n">
        <f aca="false">MAX(AI94+IF($A95=AJ$4,1,-1),AJ94-1,AI95-1)</f>
        <v>-75</v>
      </c>
      <c r="AK95" s="2" t="n">
        <f aca="false">MAX(AJ94+IF($A95=AK$4,1,-1),AK94-1,AJ95-1)</f>
        <v>-76</v>
      </c>
      <c r="AL95" s="2" t="n">
        <f aca="false">MAX(AK94+IF($A95=AL$4,1,-1),AL94-1,AK95-1)</f>
        <v>-77</v>
      </c>
      <c r="AM95" s="2" t="n">
        <f aca="false">MAX(AL94+IF($A95=AM$4,1,-1),AM94-1,AL95-1)</f>
        <v>-77</v>
      </c>
      <c r="AN95" s="2" t="n">
        <f aca="false">MAX(AM94+IF($A95=AN$4,1,-1),AN94-1,AM95-1)</f>
        <v>-77</v>
      </c>
      <c r="AO95" s="2" t="n">
        <f aca="false">MAX(AN94+IF($A95=AO$4,1,-1),AO94-1,AN95-1)</f>
        <v>-78</v>
      </c>
      <c r="AP95" s="2" t="n">
        <f aca="false">MAX(AO94+IF($A95=AP$4,1,-1),AP94-1,AO95-1)</f>
        <v>-78</v>
      </c>
      <c r="AQ95" s="2" t="n">
        <f aca="false">MAX(AP94+IF($A95=AQ$4,1,-1),AQ94-1,AP95-1)</f>
        <v>-78</v>
      </c>
      <c r="AR95" s="2" t="n">
        <f aca="false">MAX(AQ94+IF($A95=AR$4,1,-1),AR94-1,AQ95-1)</f>
        <v>-78</v>
      </c>
      <c r="AS95" s="2" t="n">
        <f aca="false">MAX(AR94+IF($A95=AS$4,1,-1),AS94-1,AR95-1)</f>
        <v>-78</v>
      </c>
      <c r="AT95" s="2" t="n">
        <f aca="false">MAX(AS94+IF($A95=AT$4,1,-1),AT94-1,AS95-1)</f>
        <v>-76</v>
      </c>
      <c r="AU95" s="2" t="n">
        <f aca="false">MAX(AT94+IF($A95=AU$4,1,-1),AU94-1,AT95-1)</f>
        <v>-76</v>
      </c>
      <c r="AV95" s="2" t="n">
        <f aca="false">MAX(AU94+IF($A95=AV$4,1,-1),AV94-1,AU95-1)</f>
        <v>-76</v>
      </c>
      <c r="AW95" s="2" t="n">
        <f aca="false">MAX(AV94+IF($A95=AW$4,1,-1),AW94-1,AV95-1)</f>
        <v>-76</v>
      </c>
      <c r="AX95" s="2" t="n">
        <f aca="false">MAX(AW94+IF($A95=AX$4,1,-1),AX94-1,AW95-1)</f>
        <v>-76</v>
      </c>
      <c r="AY95" s="2" t="n">
        <f aca="false">MAX(AX94+IF($A95=AY$4,1,-1),AY94-1,AX95-1)</f>
        <v>-76</v>
      </c>
      <c r="AZ95" s="2" t="n">
        <f aca="false">MAX(AY94+IF($A95=AZ$4,1,-1),AZ94-1,AY95-1)</f>
        <v>-76</v>
      </c>
      <c r="BA95" s="2" t="n">
        <f aca="false">MAX(AZ94+IF($A95=BA$4,1,-1),BA94-1,AZ95-1)</f>
        <v>-77</v>
      </c>
      <c r="BB95" s="2" t="n">
        <f aca="false">MAX(BA94+IF($A95=BB$4,1,-1),BB94-1,BA95-1)</f>
        <v>-78</v>
      </c>
      <c r="BC95" s="2" t="n">
        <f aca="false">MAX(BB94+IF($A95=BC$4,1,-1),BC94-1,BB95-1)</f>
        <v>-78</v>
      </c>
      <c r="BD95" s="2" t="n">
        <f aca="false">MAX(BC94+IF($A95=BD$4,1,-1),BD94-1,BC95-1)</f>
        <v>-78</v>
      </c>
      <c r="BE95" s="2" t="n">
        <f aca="false">MAX(BD94+IF($A95=BE$4,1,-1),BE94-1,BD95-1)</f>
        <v>-78</v>
      </c>
      <c r="BF95" s="2" t="n">
        <f aca="false">MAX(BE94+IF($A95=BF$4,1,-1),BF94-1,BE95-1)</f>
        <v>-78</v>
      </c>
      <c r="BG95" s="2" t="n">
        <f aca="false">MAX(BF94+IF($A95=BG$4,1,-1),BG94-1,BF95-1)</f>
        <v>-78</v>
      </c>
      <c r="BH95" s="2" t="n">
        <f aca="false">MAX(BG94+IF($A95=BH$4,1,-1),BH94-1,BG95-1)</f>
        <v>-78</v>
      </c>
      <c r="BI95" s="2" t="n">
        <f aca="false">MAX(BH94+IF($A95=BI$4,1,-1),BI94-1,BH95-1)</f>
        <v>-78</v>
      </c>
      <c r="BJ95" s="2" t="n">
        <f aca="false">MAX(BI94+IF($A95=BJ$4,1,-1),BJ94-1,BI95-1)</f>
        <v>-78</v>
      </c>
      <c r="BK95" s="2" t="n">
        <f aca="false">MAX(BJ94+IF($A95=BK$4,1,-1),BK94-1,BJ95-1)</f>
        <v>-78</v>
      </c>
      <c r="BL95" s="2" t="n">
        <f aca="false">MAX(BK94+IF($A95=BL$4,1,-1),BL94-1,BK95-1)</f>
        <v>-76</v>
      </c>
      <c r="BM95" s="2" t="n">
        <f aca="false">MAX(BL94+IF($A95=BM$4,1,-1),BM94-1,BL95-1)</f>
        <v>-76</v>
      </c>
      <c r="BN95" s="2" t="n">
        <f aca="false">MAX(BM94+IF($A95=BN$4,1,-1),BN94-1,BM95-1)</f>
        <v>-76</v>
      </c>
      <c r="BO95" s="2" t="n">
        <f aca="false">MAX(BN94+IF($A95=BO$4,1,-1),BO94-1,BN95-1)</f>
        <v>-76</v>
      </c>
      <c r="BP95" s="2" t="n">
        <f aca="false">MAX(BO94+IF($A95=BP$4,1,-1),BP94-1,BO95-1)</f>
        <v>-76</v>
      </c>
      <c r="BQ95" s="2" t="n">
        <f aca="false">MAX(BP94+IF($A95=BQ$4,1,-1),BQ94-1,BP95-1)</f>
        <v>-76</v>
      </c>
      <c r="BR95" s="2" t="n">
        <f aca="false">MAX(BQ94+IF($A95=BR$4,1,-1),BR94-1,BQ95-1)</f>
        <v>-76</v>
      </c>
      <c r="BS95" s="2" t="n">
        <f aca="false">MAX(BR94+IF($A95=BS$4,1,-1),BS94-1,BR95-1)</f>
        <v>-76</v>
      </c>
      <c r="BT95" s="2" t="n">
        <f aca="false">MAX(BS94+IF($A95=BT$4,1,-1),BT94-1,BS95-1)</f>
        <v>-76</v>
      </c>
      <c r="BU95" s="2" t="n">
        <f aca="false">MAX(BT94+IF($A95=BU$4,1,-1),BU94-1,BT95-1)</f>
        <v>-76</v>
      </c>
      <c r="BV95" s="2" t="n">
        <f aca="false">MAX(BU94+IF($A95=BV$4,1,-1),BV94-1,BU95-1)</f>
        <v>-76</v>
      </c>
      <c r="BW95" s="2" t="n">
        <f aca="false">MAX(BV94+IF($A95=BW$4,1,-1),BW94-1,BV95-1)</f>
        <v>-77</v>
      </c>
      <c r="BX95" s="2" t="n">
        <f aca="false">MAX(BW94+IF($A95=BX$4,1,-1),BX94-1,BW95-1)</f>
        <v>-78</v>
      </c>
      <c r="BY95" s="2" t="n">
        <f aca="false">MAX(BX94+IF($A95=BY$4,1,-1),BY94-1,BX95-1)</f>
        <v>-78</v>
      </c>
      <c r="BZ95" s="2" t="n">
        <f aca="false">MAX(BY94+IF($A95=BZ$4,1,-1),BZ94-1,BY95-1)</f>
        <v>-78</v>
      </c>
      <c r="CA95" s="2" t="n">
        <f aca="false">MAX(BZ94+IF($A95=CA$4,1,-1),CA94-1,BZ95-1)</f>
        <v>-78</v>
      </c>
      <c r="CB95" s="2" t="n">
        <f aca="false">MAX(CA94+IF($A95=CB$4,1,-1),CB94-1,CA95-1)</f>
        <v>-78</v>
      </c>
      <c r="CC95" s="2" t="n">
        <f aca="false">MAX(CB94+IF($A95=CC$4,1,-1),CC94-1,CB95-1)</f>
        <v>-79</v>
      </c>
      <c r="CD95" s="2" t="n">
        <f aca="false">MAX(CC94+IF($A95=CD$4,1,-1),CD94-1,CC95-1)</f>
        <v>-80</v>
      </c>
      <c r="CE95" s="2" t="n">
        <f aca="false">MAX(CD94+IF($A95=CE$4,1,-1),CE94-1,CD95-1)</f>
        <v>-80</v>
      </c>
      <c r="CF95" s="2" t="n">
        <f aca="false">MAX(CE94+IF($A95=CF$4,1,-1),CF94-1,CE95-1)</f>
        <v>-80</v>
      </c>
      <c r="CG95" s="2" t="n">
        <f aca="false">MAX(CF94+IF($A95=CG$4,1,-1),CG94-1,CF95-1)</f>
        <v>-80</v>
      </c>
      <c r="CH95" s="2" t="n">
        <f aca="false">MAX(CG94+IF($A95=CH$4,1,-1),CH94-1,CG95-1)</f>
        <v>-81</v>
      </c>
      <c r="CI95" s="2" t="n">
        <f aca="false">MAX(CH94+IF($A95=CI$4,1,-1),CI94-1,CH95-1)</f>
        <v>-82</v>
      </c>
      <c r="CJ95" s="2" t="n">
        <f aca="false">MAX(CI94+IF($A95=CJ$4,1,-1),CJ94-1,CI95-1)</f>
        <v>-81</v>
      </c>
      <c r="CK95" s="2" t="n">
        <f aca="false">MAX(CJ94+IF($A95=CK$4,1,-1),CK94-1,CJ95-1)</f>
        <v>-81</v>
      </c>
      <c r="CL95" s="2" t="n">
        <f aca="false">MAX(CK94+IF($A95=CL$4,1,-1),CL94-1,CK95-1)</f>
        <v>-81</v>
      </c>
      <c r="CM95" s="2" t="n">
        <f aca="false">MAX(CL94+IF($A95=CM$4,1,-1),CM94-1,CL95-1)</f>
        <v>-81</v>
      </c>
      <c r="CN95" s="2" t="n">
        <f aca="false">MAX(CM94+IF($A95=CN$4,1,-1),CN94-1,CM95-1)</f>
        <v>-81</v>
      </c>
      <c r="CO95" s="2" t="n">
        <f aca="false">MAX(CN94+IF($A95=CO$4,1,-1),CO94-1,CN95-1)</f>
        <v>-81</v>
      </c>
      <c r="CP95" s="2" t="n">
        <f aca="false">MAX(CO94+IF($A95=CP$4,1,-1),CP94-1,CO95-1)</f>
        <v>-81</v>
      </c>
      <c r="CQ95" s="2" t="n">
        <f aca="false">MAX(CP94+IF($A95=CQ$4,1,-1),CQ94-1,CP95-1)</f>
        <v>-82</v>
      </c>
    </row>
    <row r="96" customFormat="false" ht="15" hidden="false" customHeight="false" outlineLevel="0" collapsed="false">
      <c r="A96" s="4" t="s">
        <v>201</v>
      </c>
      <c r="B96" s="12" t="n">
        <v>-91</v>
      </c>
      <c r="C96" s="2" t="n">
        <f aca="false">MAX(B95+IF($A96=C$4,1,-1),C95-1,B96-1)</f>
        <v>-91</v>
      </c>
      <c r="D96" s="2" t="n">
        <f aca="false">MAX(C95+IF($A96=D$4,1,-1),D95-1,C96-1)</f>
        <v>-89</v>
      </c>
      <c r="E96" s="2" t="n">
        <f aca="false">MAX(D95+IF($A96=E$4,1,-1),E95-1,D96-1)</f>
        <v>-87</v>
      </c>
      <c r="F96" s="2" t="n">
        <f aca="false">MAX(E95+IF($A96=F$4,1,-1),F95-1,E96-1)</f>
        <v>-85</v>
      </c>
      <c r="G96" s="2" t="n">
        <f aca="false">MAX(F95+IF($A96=G$4,1,-1),G95-1,F96-1)</f>
        <v>-83</v>
      </c>
      <c r="H96" s="2" t="n">
        <f aca="false">MAX(G95+IF($A96=H$4,1,-1),H95-1,G96-1)</f>
        <v>-83</v>
      </c>
      <c r="I96" s="2" t="n">
        <f aca="false">MAX(H95+IF($A96=I$4,1,-1),I95-1,H96-1)</f>
        <v>-83</v>
      </c>
      <c r="J96" s="2" t="n">
        <f aca="false">MAX(I95+IF($A96=J$4,1,-1),J95-1,I96-1)</f>
        <v>-83</v>
      </c>
      <c r="K96" s="2" t="n">
        <f aca="false">MAX(J95+IF($A96=K$4,1,-1),K95-1,J96-1)</f>
        <v>-83</v>
      </c>
      <c r="L96" s="2" t="n">
        <f aca="false">MAX(K95+IF($A96=L$4,1,-1),L95-1,K96-1)</f>
        <v>-83</v>
      </c>
      <c r="M96" s="2" t="n">
        <f aca="false">MAX(L95+IF($A96=M$4,1,-1),M95-1,L96-1)</f>
        <v>-83</v>
      </c>
      <c r="N96" s="2" t="n">
        <f aca="false">MAX(M95+IF($A96=N$4,1,-1),N95-1,M96-1)</f>
        <v>-81</v>
      </c>
      <c r="O96" s="2" t="n">
        <f aca="false">MAX(N95+IF($A96=O$4,1,-1),O95-1,N96-1)</f>
        <v>-79</v>
      </c>
      <c r="P96" s="2" t="n">
        <f aca="false">MAX(O95+IF($A96=P$4,1,-1),P95-1,O96-1)</f>
        <v>-79</v>
      </c>
      <c r="Q96" s="2" t="n">
        <f aca="false">MAX(P95+IF($A96=Q$4,1,-1),Q95-1,P96-1)</f>
        <v>-79</v>
      </c>
      <c r="R96" s="2" t="n">
        <f aca="false">MAX(Q95+IF($A96=R$4,1,-1),R95-1,Q96-1)</f>
        <v>-79</v>
      </c>
      <c r="S96" s="2" t="n">
        <f aca="false">MAX(R95+IF($A96=S$4,1,-1),S95-1,R96-1)</f>
        <v>-79</v>
      </c>
      <c r="T96" s="2" t="n">
        <f aca="false">MAX(S95+IF($A96=T$4,1,-1),T95-1,S96-1)</f>
        <v>-79</v>
      </c>
      <c r="U96" s="2" t="n">
        <f aca="false">MAX(T95+IF($A96=U$4,1,-1),U95-1,T96-1)</f>
        <v>-78</v>
      </c>
      <c r="V96" s="2" t="n">
        <f aca="false">MAX(U95+IF($A96=V$4,1,-1),V95-1,U96-1)</f>
        <v>-78</v>
      </c>
      <c r="W96" s="2" t="n">
        <f aca="false">MAX(V95+IF($A96=W$4,1,-1),W95-1,V96-1)</f>
        <v>-78</v>
      </c>
      <c r="X96" s="2" t="n">
        <f aca="false">MAX(W95+IF($A96=X$4,1,-1),X95-1,W96-1)</f>
        <v>-78</v>
      </c>
      <c r="Y96" s="2" t="n">
        <f aca="false">MAX(X95+IF($A96=Y$4,1,-1),Y95-1,X96-1)</f>
        <v>-78</v>
      </c>
      <c r="Z96" s="2" t="n">
        <f aca="false">MAX(Y95+IF($A96=Z$4,1,-1),Z95-1,Y96-1)</f>
        <v>-78</v>
      </c>
      <c r="AA96" s="2" t="n">
        <f aca="false">MAX(Z95+IF($A96=AA$4,1,-1),AA95-1,Z96-1)</f>
        <v>-78</v>
      </c>
      <c r="AB96" s="2" t="n">
        <f aca="false">MAX(AA95+IF($A96=AB$4,1,-1),AB95-1,AA96-1)</f>
        <v>-78</v>
      </c>
      <c r="AC96" s="2" t="n">
        <f aca="false">MAX(AB95+IF($A96=AC$4,1,-1),AC95-1,AB96-1)</f>
        <v>-78</v>
      </c>
      <c r="AD96" s="2" t="n">
        <f aca="false">MAX(AC95+IF($A96=AD$4,1,-1),AD95-1,AC96-1)</f>
        <v>-76</v>
      </c>
      <c r="AE96" s="2" t="n">
        <f aca="false">MAX(AD95+IF($A96=AE$4,1,-1),AE95-1,AD96-1)</f>
        <v>-76</v>
      </c>
      <c r="AF96" s="2" t="n">
        <f aca="false">MAX(AE95+IF($A96=AF$4,1,-1),AF95-1,AE96-1)</f>
        <v>-76</v>
      </c>
      <c r="AG96" s="2" t="n">
        <f aca="false">MAX(AF95+IF($A96=AG$4,1,-1),AG95-1,AF96-1)</f>
        <v>-76</v>
      </c>
      <c r="AH96" s="2" t="n">
        <f aca="false">MAX(AG95+IF($A96=AH$4,1,-1),AH95-1,AG96-1)</f>
        <v>-76</v>
      </c>
      <c r="AI96" s="2" t="n">
        <f aca="false">MAX(AH95+IF($A96=AI$4,1,-1),AI95-1,AH96-1)</f>
        <v>-76</v>
      </c>
      <c r="AJ96" s="2" t="n">
        <f aca="false">MAX(AI95+IF($A96=AJ$4,1,-1),AJ95-1,AI96-1)</f>
        <v>-76</v>
      </c>
      <c r="AK96" s="2" t="n">
        <f aca="false">MAX(AJ95+IF($A96=AK$4,1,-1),AK95-1,AJ96-1)</f>
        <v>-76</v>
      </c>
      <c r="AL96" s="2" t="n">
        <f aca="false">MAX(AK95+IF($A96=AL$4,1,-1),AL95-1,AK96-1)</f>
        <v>-77</v>
      </c>
      <c r="AM96" s="2" t="n">
        <f aca="false">MAX(AL95+IF($A96=AM$4,1,-1),AM95-1,AL96-1)</f>
        <v>-78</v>
      </c>
      <c r="AN96" s="2" t="n">
        <f aca="false">MAX(AM95+IF($A96=AN$4,1,-1),AN95-1,AM96-1)</f>
        <v>-78</v>
      </c>
      <c r="AO96" s="2" t="n">
        <f aca="false">MAX(AN95+IF($A96=AO$4,1,-1),AO95-1,AN96-1)</f>
        <v>-78</v>
      </c>
      <c r="AP96" s="2" t="n">
        <f aca="false">MAX(AO95+IF($A96=AP$4,1,-1),AP95-1,AO96-1)</f>
        <v>-79</v>
      </c>
      <c r="AQ96" s="2" t="n">
        <f aca="false">MAX(AP95+IF($A96=AQ$4,1,-1),AQ95-1,AP96-1)</f>
        <v>-79</v>
      </c>
      <c r="AR96" s="2" t="n">
        <f aca="false">MAX(AQ95+IF($A96=AR$4,1,-1),AR95-1,AQ96-1)</f>
        <v>-79</v>
      </c>
      <c r="AS96" s="2" t="n">
        <f aca="false">MAX(AR95+IF($A96=AS$4,1,-1),AS95-1,AR96-1)</f>
        <v>-79</v>
      </c>
      <c r="AT96" s="2" t="n">
        <f aca="false">MAX(AS95+IF($A96=AT$4,1,-1),AT95-1,AS96-1)</f>
        <v>-77</v>
      </c>
      <c r="AU96" s="2" t="n">
        <f aca="false">MAX(AT95+IF($A96=AU$4,1,-1),AU95-1,AT96-1)</f>
        <v>-77</v>
      </c>
      <c r="AV96" s="2" t="n">
        <f aca="false">MAX(AU95+IF($A96=AV$4,1,-1),AV95-1,AU96-1)</f>
        <v>-77</v>
      </c>
      <c r="AW96" s="2" t="n">
        <f aca="false">MAX(AV95+IF($A96=AW$4,1,-1),AW95-1,AV96-1)</f>
        <v>-77</v>
      </c>
      <c r="AX96" s="2" t="n">
        <f aca="false">MAX(AW95+IF($A96=AX$4,1,-1),AX95-1,AW96-1)</f>
        <v>-77</v>
      </c>
      <c r="AY96" s="2" t="n">
        <f aca="false">MAX(AX95+IF($A96=AY$4,1,-1),AY95-1,AX96-1)</f>
        <v>-77</v>
      </c>
      <c r="AZ96" s="2" t="n">
        <f aca="false">MAX(AY95+IF($A96=AZ$4,1,-1),AZ95-1,AY96-1)</f>
        <v>-77</v>
      </c>
      <c r="BA96" s="2" t="n">
        <f aca="false">MAX(AZ95+IF($A96=BA$4,1,-1),BA95-1,AZ96-1)</f>
        <v>-77</v>
      </c>
      <c r="BB96" s="2" t="n">
        <f aca="false">MAX(BA95+IF($A96=BB$4,1,-1),BB95-1,BA96-1)</f>
        <v>-78</v>
      </c>
      <c r="BC96" s="2" t="n">
        <f aca="false">MAX(BB95+IF($A96=BC$4,1,-1),BC95-1,BB96-1)</f>
        <v>-79</v>
      </c>
      <c r="BD96" s="2" t="n">
        <f aca="false">MAX(BC95+IF($A96=BD$4,1,-1),BD95-1,BC96-1)</f>
        <v>-79</v>
      </c>
      <c r="BE96" s="2" t="n">
        <f aca="false">MAX(BD95+IF($A96=BE$4,1,-1),BE95-1,BD96-1)</f>
        <v>-79</v>
      </c>
      <c r="BF96" s="2" t="n">
        <f aca="false">MAX(BE95+IF($A96=BF$4,1,-1),BF95-1,BE96-1)</f>
        <v>-79</v>
      </c>
      <c r="BG96" s="2" t="n">
        <f aca="false">MAX(BF95+IF($A96=BG$4,1,-1),BG95-1,BF96-1)</f>
        <v>-79</v>
      </c>
      <c r="BH96" s="2" t="n">
        <f aca="false">MAX(BG95+IF($A96=BH$4,1,-1),BH95-1,BG96-1)</f>
        <v>-79</v>
      </c>
      <c r="BI96" s="2" t="n">
        <f aca="false">MAX(BH95+IF($A96=BI$4,1,-1),BI95-1,BH96-1)</f>
        <v>-79</v>
      </c>
      <c r="BJ96" s="2" t="n">
        <f aca="false">MAX(BI95+IF($A96=BJ$4,1,-1),BJ95-1,BI96-1)</f>
        <v>-79</v>
      </c>
      <c r="BK96" s="2" t="n">
        <f aca="false">MAX(BJ95+IF($A96=BK$4,1,-1),BK95-1,BJ96-1)</f>
        <v>-79</v>
      </c>
      <c r="BL96" s="2" t="n">
        <f aca="false">MAX(BK95+IF($A96=BL$4,1,-1),BL95-1,BK96-1)</f>
        <v>-77</v>
      </c>
      <c r="BM96" s="2" t="n">
        <f aca="false">MAX(BL95+IF($A96=BM$4,1,-1),BM95-1,BL96-1)</f>
        <v>-77</v>
      </c>
      <c r="BN96" s="2" t="n">
        <f aca="false">MAX(BM95+IF($A96=BN$4,1,-1),BN95-1,BM96-1)</f>
        <v>-77</v>
      </c>
      <c r="BO96" s="2" t="n">
        <f aca="false">MAX(BN95+IF($A96=BO$4,1,-1),BO95-1,BN96-1)</f>
        <v>-77</v>
      </c>
      <c r="BP96" s="2" t="n">
        <f aca="false">MAX(BO95+IF($A96=BP$4,1,-1),BP95-1,BO96-1)</f>
        <v>-77</v>
      </c>
      <c r="BQ96" s="2" t="n">
        <f aca="false">MAX(BP95+IF($A96=BQ$4,1,-1),BQ95-1,BP96-1)</f>
        <v>-77</v>
      </c>
      <c r="BR96" s="2" t="n">
        <f aca="false">MAX(BQ95+IF($A96=BR$4,1,-1),BR95-1,BQ96-1)</f>
        <v>-77</v>
      </c>
      <c r="BS96" s="2" t="n">
        <f aca="false">MAX(BR95+IF($A96=BS$4,1,-1),BS95-1,BR96-1)</f>
        <v>-77</v>
      </c>
      <c r="BT96" s="2" t="n">
        <f aca="false">MAX(BS95+IF($A96=BT$4,1,-1),BT95-1,BS96-1)</f>
        <v>-77</v>
      </c>
      <c r="BU96" s="2" t="n">
        <f aca="false">MAX(BT95+IF($A96=BU$4,1,-1),BU95-1,BT96-1)</f>
        <v>-77</v>
      </c>
      <c r="BV96" s="2" t="n">
        <f aca="false">MAX(BU95+IF($A96=BV$4,1,-1),BV95-1,BU96-1)</f>
        <v>-77</v>
      </c>
      <c r="BW96" s="2" t="n">
        <f aca="false">MAX(BV95+IF($A96=BW$4,1,-1),BW95-1,BV96-1)</f>
        <v>-77</v>
      </c>
      <c r="BX96" s="2" t="n">
        <f aca="false">MAX(BW95+IF($A96=BX$4,1,-1),BX95-1,BW96-1)</f>
        <v>-78</v>
      </c>
      <c r="BY96" s="2" t="n">
        <f aca="false">MAX(BX95+IF($A96=BY$4,1,-1),BY95-1,BX96-1)</f>
        <v>-79</v>
      </c>
      <c r="BZ96" s="2" t="n">
        <f aca="false">MAX(BY95+IF($A96=BZ$4,1,-1),BZ95-1,BY96-1)</f>
        <v>-79</v>
      </c>
      <c r="CA96" s="2" t="n">
        <f aca="false">MAX(BZ95+IF($A96=CA$4,1,-1),CA95-1,BZ96-1)</f>
        <v>-79</v>
      </c>
      <c r="CB96" s="2" t="n">
        <f aca="false">MAX(CA95+IF($A96=CB$4,1,-1),CB95-1,CA96-1)</f>
        <v>-79</v>
      </c>
      <c r="CC96" s="2" t="n">
        <f aca="false">MAX(CB95+IF($A96=CC$4,1,-1),CC95-1,CB96-1)</f>
        <v>-79</v>
      </c>
      <c r="CD96" s="2" t="n">
        <f aca="false">MAX(CC95+IF($A96=CD$4,1,-1),CD95-1,CC96-1)</f>
        <v>-80</v>
      </c>
      <c r="CE96" s="2" t="n">
        <f aca="false">MAX(CD95+IF($A96=CE$4,1,-1),CE95-1,CD96-1)</f>
        <v>-81</v>
      </c>
      <c r="CF96" s="2" t="n">
        <f aca="false">MAX(CE95+IF($A96=CF$4,1,-1),CF95-1,CE96-1)</f>
        <v>-81</v>
      </c>
      <c r="CG96" s="2" t="n">
        <f aca="false">MAX(CF95+IF($A96=CG$4,1,-1),CG95-1,CF96-1)</f>
        <v>-81</v>
      </c>
      <c r="CH96" s="2" t="n">
        <f aca="false">MAX(CG95+IF($A96=CH$4,1,-1),CH95-1,CG96-1)</f>
        <v>-81</v>
      </c>
      <c r="CI96" s="2" t="n">
        <f aca="false">MAX(CH95+IF($A96=CI$4,1,-1),CI95-1,CH96-1)</f>
        <v>-82</v>
      </c>
      <c r="CJ96" s="2" t="n">
        <f aca="false">MAX(CI95+IF($A96=CJ$4,1,-1),CJ95-1,CI96-1)</f>
        <v>-82</v>
      </c>
      <c r="CK96" s="2" t="n">
        <f aca="false">MAX(CJ95+IF($A96=CK$4,1,-1),CK95-1,CJ96-1)</f>
        <v>-82</v>
      </c>
      <c r="CL96" s="2" t="n">
        <f aca="false">MAX(CK95+IF($A96=CL$4,1,-1),CL95-1,CK96-1)</f>
        <v>-82</v>
      </c>
      <c r="CM96" s="2" t="n">
        <f aca="false">MAX(CL95+IF($A96=CM$4,1,-1),CM95-1,CL96-1)</f>
        <v>-82</v>
      </c>
      <c r="CN96" s="2" t="n">
        <f aca="false">MAX(CM95+IF($A96=CN$4,1,-1),CN95-1,CM96-1)</f>
        <v>-82</v>
      </c>
      <c r="CO96" s="2" t="n">
        <f aca="false">MAX(CN95+IF($A96=CO$4,1,-1),CO95-1,CN96-1)</f>
        <v>-82</v>
      </c>
      <c r="CP96" s="2" t="n">
        <f aca="false">MAX(CO95+IF($A96=CP$4,1,-1),CP95-1,CO96-1)</f>
        <v>-82</v>
      </c>
      <c r="CQ96" s="2" t="n">
        <f aca="false">MAX(CP95+IF($A96=CQ$4,1,-1),CQ95-1,CP96-1)</f>
        <v>-82</v>
      </c>
    </row>
    <row r="97" customFormat="false" ht="15" hidden="false" customHeight="false" outlineLevel="0" collapsed="false">
      <c r="A97" s="4" t="s">
        <v>61</v>
      </c>
      <c r="B97" s="12" t="n">
        <v>-92</v>
      </c>
      <c r="C97" s="2" t="n">
        <f aca="false">MAX(B96+IF($A97=C$4,1,-1),C96-1,B97-1)</f>
        <v>-92</v>
      </c>
      <c r="D97" s="2" t="n">
        <f aca="false">MAX(C96+IF($A97=D$4,1,-1),D96-1,C97-1)</f>
        <v>-90</v>
      </c>
      <c r="E97" s="2" t="n">
        <f aca="false">MAX(D96+IF($A97=E$4,1,-1),E96-1,D97-1)</f>
        <v>-88</v>
      </c>
      <c r="F97" s="2" t="n">
        <f aca="false">MAX(E96+IF($A97=F$4,1,-1),F96-1,E97-1)</f>
        <v>-86</v>
      </c>
      <c r="G97" s="2" t="n">
        <f aca="false">MAX(F96+IF($A97=G$4,1,-1),G96-1,F97-1)</f>
        <v>-84</v>
      </c>
      <c r="H97" s="2" t="n">
        <f aca="false">MAX(G96+IF($A97=H$4,1,-1),H96-1,G97-1)</f>
        <v>-84</v>
      </c>
      <c r="I97" s="2" t="n">
        <f aca="false">MAX(H96+IF($A97=I$4,1,-1),I96-1,H97-1)</f>
        <v>-84</v>
      </c>
      <c r="J97" s="2" t="n">
        <f aca="false">MAX(I96+IF($A97=J$4,1,-1),J96-1,I97-1)</f>
        <v>-84</v>
      </c>
      <c r="K97" s="2" t="n">
        <f aca="false">MAX(J96+IF($A97=K$4,1,-1),K96-1,J97-1)</f>
        <v>-84</v>
      </c>
      <c r="L97" s="2" t="n">
        <f aca="false">MAX(K96+IF($A97=L$4,1,-1),L96-1,K97-1)</f>
        <v>-84</v>
      </c>
      <c r="M97" s="2" t="n">
        <f aca="false">MAX(L96+IF($A97=M$4,1,-1),M96-1,L97-1)</f>
        <v>-84</v>
      </c>
      <c r="N97" s="2" t="n">
        <f aca="false">MAX(M96+IF($A97=N$4,1,-1),N96-1,M97-1)</f>
        <v>-82</v>
      </c>
      <c r="O97" s="2" t="n">
        <f aca="false">MAX(N96+IF($A97=O$4,1,-1),O96-1,N97-1)</f>
        <v>-80</v>
      </c>
      <c r="P97" s="2" t="n">
        <f aca="false">MAX(O96+IF($A97=P$4,1,-1),P96-1,O97-1)</f>
        <v>-80</v>
      </c>
      <c r="Q97" s="2" t="n">
        <f aca="false">MAX(P96+IF($A97=Q$4,1,-1),Q96-1,P97-1)</f>
        <v>-80</v>
      </c>
      <c r="R97" s="2" t="n">
        <f aca="false">MAX(Q96+IF($A97=R$4,1,-1),R96-1,Q97-1)</f>
        <v>-80</v>
      </c>
      <c r="S97" s="2" t="n">
        <f aca="false">MAX(R96+IF($A97=S$4,1,-1),S96-1,R97-1)</f>
        <v>-80</v>
      </c>
      <c r="T97" s="2" t="n">
        <f aca="false">MAX(S96+IF($A97=T$4,1,-1),T96-1,S97-1)</f>
        <v>-80</v>
      </c>
      <c r="U97" s="2" t="n">
        <f aca="false">MAX(T96+IF($A97=U$4,1,-1),U96-1,T97-1)</f>
        <v>-79</v>
      </c>
      <c r="V97" s="2" t="n">
        <f aca="false">MAX(U96+IF($A97=V$4,1,-1),V96-1,U97-1)</f>
        <v>-79</v>
      </c>
      <c r="W97" s="2" t="n">
        <f aca="false">MAX(V96+IF($A97=W$4,1,-1),W96-1,V97-1)</f>
        <v>-79</v>
      </c>
      <c r="X97" s="2" t="n">
        <f aca="false">MAX(W96+IF($A97=X$4,1,-1),X96-1,W97-1)</f>
        <v>-79</v>
      </c>
      <c r="Y97" s="2" t="n">
        <f aca="false">MAX(X96+IF($A97=Y$4,1,-1),Y96-1,X97-1)</f>
        <v>-79</v>
      </c>
      <c r="Z97" s="2" t="n">
        <f aca="false">MAX(Y96+IF($A97=Z$4,1,-1),Z96-1,Y97-1)</f>
        <v>-79</v>
      </c>
      <c r="AA97" s="2" t="n">
        <f aca="false">MAX(Z96+IF($A97=AA$4,1,-1),AA96-1,Z97-1)</f>
        <v>-79</v>
      </c>
      <c r="AB97" s="2" t="n">
        <f aca="false">MAX(AA96+IF($A97=AB$4,1,-1),AB96-1,AA97-1)</f>
        <v>-79</v>
      </c>
      <c r="AC97" s="2" t="n">
        <f aca="false">MAX(AB96+IF($A97=AC$4,1,-1),AC96-1,AB97-1)</f>
        <v>-79</v>
      </c>
      <c r="AD97" s="2" t="n">
        <f aca="false">MAX(AC96+IF($A97=AD$4,1,-1),AD96-1,AC97-1)</f>
        <v>-77</v>
      </c>
      <c r="AE97" s="2" t="n">
        <f aca="false">MAX(AD96+IF($A97=AE$4,1,-1),AE96-1,AD97-1)</f>
        <v>-77</v>
      </c>
      <c r="AF97" s="2" t="n">
        <f aca="false">MAX(AE96+IF($A97=AF$4,1,-1),AF96-1,AE97-1)</f>
        <v>-77</v>
      </c>
      <c r="AG97" s="2" t="n">
        <f aca="false">MAX(AF96+IF($A97=AG$4,1,-1),AG96-1,AF97-1)</f>
        <v>-77</v>
      </c>
      <c r="AH97" s="2" t="n">
        <f aca="false">MAX(AG96+IF($A97=AH$4,1,-1),AH96-1,AG97-1)</f>
        <v>-77</v>
      </c>
      <c r="AI97" s="2" t="n">
        <f aca="false">MAX(AH96+IF($A97=AI$4,1,-1),AI96-1,AH97-1)</f>
        <v>-77</v>
      </c>
      <c r="AJ97" s="2" t="n">
        <f aca="false">MAX(AI96+IF($A97=AJ$4,1,-1),AJ96-1,AI97-1)</f>
        <v>-77</v>
      </c>
      <c r="AK97" s="2" t="n">
        <f aca="false">MAX(AJ96+IF($A97=AK$4,1,-1),AK96-1,AJ97-1)</f>
        <v>-77</v>
      </c>
      <c r="AL97" s="2" t="n">
        <f aca="false">MAX(AK96+IF($A97=AL$4,1,-1),AL96-1,AK97-1)</f>
        <v>-77</v>
      </c>
      <c r="AM97" s="2" t="n">
        <f aca="false">MAX(AL96+IF($A97=AM$4,1,-1),AM96-1,AL97-1)</f>
        <v>-78</v>
      </c>
      <c r="AN97" s="2" t="n">
        <f aca="false">MAX(AM96+IF($A97=AN$4,1,-1),AN96-1,AM97-1)</f>
        <v>-79</v>
      </c>
      <c r="AO97" s="2" t="n">
        <f aca="false">MAX(AN96+IF($A97=AO$4,1,-1),AO96-1,AN97-1)</f>
        <v>-79</v>
      </c>
      <c r="AP97" s="2" t="n">
        <f aca="false">MAX(AO96+IF($A97=AP$4,1,-1),AP96-1,AO97-1)</f>
        <v>-79</v>
      </c>
      <c r="AQ97" s="2" t="n">
        <f aca="false">MAX(AP96+IF($A97=AQ$4,1,-1),AQ96-1,AP97-1)</f>
        <v>-80</v>
      </c>
      <c r="AR97" s="2" t="n">
        <f aca="false">MAX(AQ96+IF($A97=AR$4,1,-1),AR96-1,AQ97-1)</f>
        <v>-80</v>
      </c>
      <c r="AS97" s="2" t="n">
        <f aca="false">MAX(AR96+IF($A97=AS$4,1,-1),AS96-1,AR97-1)</f>
        <v>-80</v>
      </c>
      <c r="AT97" s="2" t="n">
        <f aca="false">MAX(AS96+IF($A97=AT$4,1,-1),AT96-1,AS97-1)</f>
        <v>-78</v>
      </c>
      <c r="AU97" s="2" t="n">
        <f aca="false">MAX(AT96+IF($A97=AU$4,1,-1),AU96-1,AT97-1)</f>
        <v>-78</v>
      </c>
      <c r="AV97" s="2" t="n">
        <f aca="false">MAX(AU96+IF($A97=AV$4,1,-1),AV96-1,AU97-1)</f>
        <v>-78</v>
      </c>
      <c r="AW97" s="2" t="n">
        <f aca="false">MAX(AV96+IF($A97=AW$4,1,-1),AW96-1,AV97-1)</f>
        <v>-78</v>
      </c>
      <c r="AX97" s="2" t="n">
        <f aca="false">MAX(AW96+IF($A97=AX$4,1,-1),AX96-1,AW97-1)</f>
        <v>-78</v>
      </c>
      <c r="AY97" s="2" t="n">
        <f aca="false">MAX(AX96+IF($A97=AY$4,1,-1),AY96-1,AX97-1)</f>
        <v>-78</v>
      </c>
      <c r="AZ97" s="2" t="n">
        <f aca="false">MAX(AY96+IF($A97=AZ$4,1,-1),AZ96-1,AY97-1)</f>
        <v>-78</v>
      </c>
      <c r="BA97" s="2" t="n">
        <f aca="false">MAX(AZ96+IF($A97=BA$4,1,-1),BA96-1,AZ97-1)</f>
        <v>-78</v>
      </c>
      <c r="BB97" s="2" t="n">
        <f aca="false">MAX(BA96+IF($A97=BB$4,1,-1),BB96-1,BA97-1)</f>
        <v>-78</v>
      </c>
      <c r="BC97" s="2" t="n">
        <f aca="false">MAX(BB96+IF($A97=BC$4,1,-1),BC96-1,BB97-1)</f>
        <v>-79</v>
      </c>
      <c r="BD97" s="2" t="n">
        <f aca="false">MAX(BC96+IF($A97=BD$4,1,-1),BD96-1,BC97-1)</f>
        <v>-80</v>
      </c>
      <c r="BE97" s="2" t="n">
        <f aca="false">MAX(BD96+IF($A97=BE$4,1,-1),BE96-1,BD97-1)</f>
        <v>-78</v>
      </c>
      <c r="BF97" s="2" t="n">
        <f aca="false">MAX(BE96+IF($A97=BF$4,1,-1),BF96-1,BE97-1)</f>
        <v>-79</v>
      </c>
      <c r="BG97" s="2" t="n">
        <f aca="false">MAX(BF96+IF($A97=BG$4,1,-1),BG96-1,BF97-1)</f>
        <v>-80</v>
      </c>
      <c r="BH97" s="2" t="n">
        <f aca="false">MAX(BG96+IF($A97=BH$4,1,-1),BH96-1,BG97-1)</f>
        <v>-80</v>
      </c>
      <c r="BI97" s="2" t="n">
        <f aca="false">MAX(BH96+IF($A97=BI$4,1,-1),BI96-1,BH97-1)</f>
        <v>-80</v>
      </c>
      <c r="BJ97" s="2" t="n">
        <f aca="false">MAX(BI96+IF($A97=BJ$4,1,-1),BJ96-1,BI97-1)</f>
        <v>-80</v>
      </c>
      <c r="BK97" s="2" t="n">
        <f aca="false">MAX(BJ96+IF($A97=BK$4,1,-1),BK96-1,BJ97-1)</f>
        <v>-80</v>
      </c>
      <c r="BL97" s="2" t="n">
        <f aca="false">MAX(BK96+IF($A97=BL$4,1,-1),BL96-1,BK97-1)</f>
        <v>-78</v>
      </c>
      <c r="BM97" s="2" t="n">
        <f aca="false">MAX(BL96+IF($A97=BM$4,1,-1),BM96-1,BL97-1)</f>
        <v>-78</v>
      </c>
      <c r="BN97" s="2" t="n">
        <f aca="false">MAX(BM96+IF($A97=BN$4,1,-1),BN96-1,BM97-1)</f>
        <v>-78</v>
      </c>
      <c r="BO97" s="2" t="n">
        <f aca="false">MAX(BN96+IF($A97=BO$4,1,-1),BO96-1,BN97-1)</f>
        <v>-78</v>
      </c>
      <c r="BP97" s="2" t="n">
        <f aca="false">MAX(BO96+IF($A97=BP$4,1,-1),BP96-1,BO97-1)</f>
        <v>-76</v>
      </c>
      <c r="BQ97" s="2" t="n">
        <f aca="false">MAX(BP96+IF($A97=BQ$4,1,-1),BQ96-1,BP97-1)</f>
        <v>-77</v>
      </c>
      <c r="BR97" s="2" t="n">
        <f aca="false">MAX(BQ96+IF($A97=BR$4,1,-1),BR96-1,BQ97-1)</f>
        <v>-78</v>
      </c>
      <c r="BS97" s="2" t="n">
        <f aca="false">MAX(BR96+IF($A97=BS$4,1,-1),BS96-1,BR97-1)</f>
        <v>-78</v>
      </c>
      <c r="BT97" s="2" t="n">
        <f aca="false">MAX(BS96+IF($A97=BT$4,1,-1),BT96-1,BS97-1)</f>
        <v>-78</v>
      </c>
      <c r="BU97" s="2" t="n">
        <f aca="false">MAX(BT96+IF($A97=BU$4,1,-1),BU96-1,BT97-1)</f>
        <v>-78</v>
      </c>
      <c r="BV97" s="2" t="n">
        <f aca="false">MAX(BU96+IF($A97=BV$4,1,-1),BV96-1,BU97-1)</f>
        <v>-78</v>
      </c>
      <c r="BW97" s="2" t="n">
        <f aca="false">MAX(BV96+IF($A97=BW$4,1,-1),BW96-1,BV97-1)</f>
        <v>-78</v>
      </c>
      <c r="BX97" s="2" t="n">
        <f aca="false">MAX(BW96+IF($A97=BX$4,1,-1),BX96-1,BW97-1)</f>
        <v>-78</v>
      </c>
      <c r="BY97" s="2" t="n">
        <f aca="false">MAX(BX96+IF($A97=BY$4,1,-1),BY96-1,BX97-1)</f>
        <v>-79</v>
      </c>
      <c r="BZ97" s="2" t="n">
        <f aca="false">MAX(BY96+IF($A97=BZ$4,1,-1),BZ96-1,BY97-1)</f>
        <v>-80</v>
      </c>
      <c r="CA97" s="2" t="n">
        <f aca="false">MAX(BZ96+IF($A97=CA$4,1,-1),CA96-1,BZ97-1)</f>
        <v>-78</v>
      </c>
      <c r="CB97" s="2" t="n">
        <f aca="false">MAX(CA96+IF($A97=CB$4,1,-1),CB96-1,CA97-1)</f>
        <v>-79</v>
      </c>
      <c r="CC97" s="2" t="n">
        <f aca="false">MAX(CB96+IF($A97=CC$4,1,-1),CC96-1,CB97-1)</f>
        <v>-80</v>
      </c>
      <c r="CD97" s="2" t="n">
        <f aca="false">MAX(CC96+IF($A97=CD$4,1,-1),CD96-1,CC97-1)</f>
        <v>-80</v>
      </c>
      <c r="CE97" s="2" t="n">
        <f aca="false">MAX(CD96+IF($A97=CE$4,1,-1),CE96-1,CD97-1)</f>
        <v>-81</v>
      </c>
      <c r="CF97" s="2" t="n">
        <f aca="false">MAX(CE96+IF($A97=CF$4,1,-1),CF96-1,CE97-1)</f>
        <v>-82</v>
      </c>
      <c r="CG97" s="2" t="n">
        <f aca="false">MAX(CF96+IF($A97=CG$4,1,-1),CG96-1,CF97-1)</f>
        <v>-82</v>
      </c>
      <c r="CH97" s="2" t="n">
        <f aca="false">MAX(CG96+IF($A97=CH$4,1,-1),CH96-1,CG97-1)</f>
        <v>-82</v>
      </c>
      <c r="CI97" s="2" t="n">
        <f aca="false">MAX(CH96+IF($A97=CI$4,1,-1),CI96-1,CH97-1)</f>
        <v>-82</v>
      </c>
      <c r="CJ97" s="2" t="n">
        <f aca="false">MAX(CI96+IF($A97=CJ$4,1,-1),CJ96-1,CI97-1)</f>
        <v>-81</v>
      </c>
      <c r="CK97" s="2" t="n">
        <f aca="false">MAX(CJ96+IF($A97=CK$4,1,-1),CK96-1,CJ97-1)</f>
        <v>-82</v>
      </c>
      <c r="CL97" s="2" t="n">
        <f aca="false">MAX(CK96+IF($A97=CL$4,1,-1),CL96-1,CK97-1)</f>
        <v>-83</v>
      </c>
      <c r="CM97" s="2" t="n">
        <f aca="false">MAX(CL96+IF($A97=CM$4,1,-1),CM96-1,CL97-1)</f>
        <v>-83</v>
      </c>
      <c r="CN97" s="2" t="n">
        <f aca="false">MAX(CM96+IF($A97=CN$4,1,-1),CN96-1,CM97-1)</f>
        <v>-83</v>
      </c>
      <c r="CO97" s="2" t="n">
        <f aca="false">MAX(CN96+IF($A97=CO$4,1,-1),CO96-1,CN97-1)</f>
        <v>-83</v>
      </c>
      <c r="CP97" s="2" t="n">
        <f aca="false">MAX(CO96+IF($A97=CP$4,1,-1),CP96-1,CO97-1)</f>
        <v>-83</v>
      </c>
      <c r="CQ97" s="2" t="n">
        <f aca="false">MAX(CP96+IF($A97=CQ$4,1,-1),CQ96-1,CP97-1)</f>
        <v>-83</v>
      </c>
    </row>
    <row r="98" customFormat="false" ht="15" hidden="false" customHeight="false" outlineLevel="0" collapsed="false">
      <c r="A98" s="4" t="s">
        <v>89</v>
      </c>
      <c r="B98" s="12" t="n">
        <v>-93</v>
      </c>
      <c r="C98" s="2" t="n">
        <f aca="false">MAX(B97+IF($A98=C$4,1,-1),C97-1,B98-1)</f>
        <v>-93</v>
      </c>
      <c r="D98" s="2" t="n">
        <f aca="false">MAX(C97+IF($A98=D$4,1,-1),D97-1,C98-1)</f>
        <v>-91</v>
      </c>
      <c r="E98" s="2" t="n">
        <f aca="false">MAX(D97+IF($A98=E$4,1,-1),E97-1,D98-1)</f>
        <v>-89</v>
      </c>
      <c r="F98" s="2" t="n">
        <f aca="false">MAX(E97+IF($A98=F$4,1,-1),F97-1,E98-1)</f>
        <v>-87</v>
      </c>
      <c r="G98" s="2" t="n">
        <f aca="false">MAX(F97+IF($A98=G$4,1,-1),G97-1,F98-1)</f>
        <v>-85</v>
      </c>
      <c r="H98" s="2" t="n">
        <f aca="false">MAX(G97+IF($A98=H$4,1,-1),H97-1,G98-1)</f>
        <v>-85</v>
      </c>
      <c r="I98" s="2" t="n">
        <f aca="false">MAX(H97+IF($A98=I$4,1,-1),I97-1,H98-1)</f>
        <v>-85</v>
      </c>
      <c r="J98" s="2" t="n">
        <f aca="false">MAX(I97+IF($A98=J$4,1,-1),J97-1,I98-1)</f>
        <v>-85</v>
      </c>
      <c r="K98" s="2" t="n">
        <f aca="false">MAX(J97+IF($A98=K$4,1,-1),K97-1,J98-1)</f>
        <v>-83</v>
      </c>
      <c r="L98" s="2" t="n">
        <f aca="false">MAX(K97+IF($A98=L$4,1,-1),L97-1,K98-1)</f>
        <v>-84</v>
      </c>
      <c r="M98" s="2" t="n">
        <f aca="false">MAX(L97+IF($A98=M$4,1,-1),M97-1,L98-1)</f>
        <v>-85</v>
      </c>
      <c r="N98" s="2" t="n">
        <f aca="false">MAX(M97+IF($A98=N$4,1,-1),N97-1,M98-1)</f>
        <v>-83</v>
      </c>
      <c r="O98" s="2" t="n">
        <f aca="false">MAX(N97+IF($A98=O$4,1,-1),O97-1,N98-1)</f>
        <v>-81</v>
      </c>
      <c r="P98" s="2" t="n">
        <f aca="false">MAX(O97+IF($A98=P$4,1,-1),P97-1,O98-1)</f>
        <v>-81</v>
      </c>
      <c r="Q98" s="2" t="n">
        <f aca="false">MAX(P97+IF($A98=Q$4,1,-1),Q97-1,P98-1)</f>
        <v>-81</v>
      </c>
      <c r="R98" s="2" t="n">
        <f aca="false">MAX(Q97+IF($A98=R$4,1,-1),R97-1,Q98-1)</f>
        <v>-81</v>
      </c>
      <c r="S98" s="2" t="n">
        <f aca="false">MAX(R97+IF($A98=S$4,1,-1),S97-1,R98-1)</f>
        <v>-81</v>
      </c>
      <c r="T98" s="2" t="n">
        <f aca="false">MAX(S97+IF($A98=T$4,1,-1),T97-1,S98-1)</f>
        <v>-81</v>
      </c>
      <c r="U98" s="2" t="n">
        <f aca="false">MAX(T97+IF($A98=U$4,1,-1),U97-1,T98-1)</f>
        <v>-80</v>
      </c>
      <c r="V98" s="2" t="n">
        <f aca="false">MAX(U97+IF($A98=V$4,1,-1),V97-1,U98-1)</f>
        <v>-80</v>
      </c>
      <c r="W98" s="2" t="n">
        <f aca="false">MAX(V97+IF($A98=W$4,1,-1),W97-1,V98-1)</f>
        <v>-80</v>
      </c>
      <c r="X98" s="2" t="n">
        <f aca="false">MAX(W97+IF($A98=X$4,1,-1),X97-1,W98-1)</f>
        <v>-80</v>
      </c>
      <c r="Y98" s="2" t="n">
        <f aca="false">MAX(X97+IF($A98=Y$4,1,-1),Y97-1,X98-1)</f>
        <v>-80</v>
      </c>
      <c r="Z98" s="2" t="n">
        <f aca="false">MAX(Y97+IF($A98=Z$4,1,-1),Z97-1,Y98-1)</f>
        <v>-80</v>
      </c>
      <c r="AA98" s="2" t="n">
        <f aca="false">MAX(Z97+IF($A98=AA$4,1,-1),AA97-1,Z98-1)</f>
        <v>-80</v>
      </c>
      <c r="AB98" s="2" t="n">
        <f aca="false">MAX(AA97+IF($A98=AB$4,1,-1),AB97-1,AA98-1)</f>
        <v>-80</v>
      </c>
      <c r="AC98" s="2" t="n">
        <f aca="false">MAX(AB97+IF($A98=AC$4,1,-1),AC97-1,AB98-1)</f>
        <v>-80</v>
      </c>
      <c r="AD98" s="2" t="n">
        <f aca="false">MAX(AC97+IF($A98=AD$4,1,-1),AD97-1,AC98-1)</f>
        <v>-78</v>
      </c>
      <c r="AE98" s="2" t="n">
        <f aca="false">MAX(AD97+IF($A98=AE$4,1,-1),AE97-1,AD98-1)</f>
        <v>-78</v>
      </c>
      <c r="AF98" s="2" t="n">
        <f aca="false">MAX(AE97+IF($A98=AF$4,1,-1),AF97-1,AE98-1)</f>
        <v>-78</v>
      </c>
      <c r="AG98" s="2" t="n">
        <f aca="false">MAX(AF97+IF($A98=AG$4,1,-1),AG97-1,AF98-1)</f>
        <v>-78</v>
      </c>
      <c r="AH98" s="2" t="n">
        <f aca="false">MAX(AG97+IF($A98=AH$4,1,-1),AH97-1,AG98-1)</f>
        <v>-78</v>
      </c>
      <c r="AI98" s="2" t="n">
        <f aca="false">MAX(AH97+IF($A98=AI$4,1,-1),AI97-1,AH98-1)</f>
        <v>-78</v>
      </c>
      <c r="AJ98" s="2" t="n">
        <f aca="false">MAX(AI97+IF($A98=AJ$4,1,-1),AJ97-1,AI98-1)</f>
        <v>-78</v>
      </c>
      <c r="AK98" s="2" t="n">
        <f aca="false">MAX(AJ97+IF($A98=AK$4,1,-1),AK97-1,AJ98-1)</f>
        <v>-78</v>
      </c>
      <c r="AL98" s="2" t="n">
        <f aca="false">MAX(AK97+IF($A98=AL$4,1,-1),AL97-1,AK98-1)</f>
        <v>-78</v>
      </c>
      <c r="AM98" s="2" t="n">
        <f aca="false">MAX(AL97+IF($A98=AM$4,1,-1),AM97-1,AL98-1)</f>
        <v>-78</v>
      </c>
      <c r="AN98" s="2" t="n">
        <f aca="false">MAX(AM97+IF($A98=AN$4,1,-1),AN97-1,AM98-1)</f>
        <v>-79</v>
      </c>
      <c r="AO98" s="2" t="n">
        <f aca="false">MAX(AN97+IF($A98=AO$4,1,-1),AO97-1,AN98-1)</f>
        <v>-80</v>
      </c>
      <c r="AP98" s="2" t="n">
        <f aca="false">MAX(AO97+IF($A98=AP$4,1,-1),AP97-1,AO98-1)</f>
        <v>-80</v>
      </c>
      <c r="AQ98" s="2" t="n">
        <f aca="false">MAX(AP97+IF($A98=AQ$4,1,-1),AQ97-1,AP98-1)</f>
        <v>-80</v>
      </c>
      <c r="AR98" s="2" t="n">
        <f aca="false">MAX(AQ97+IF($A98=AR$4,1,-1),AR97-1,AQ98-1)</f>
        <v>-81</v>
      </c>
      <c r="AS98" s="2" t="n">
        <f aca="false">MAX(AR97+IF($A98=AS$4,1,-1),AS97-1,AR98-1)</f>
        <v>-81</v>
      </c>
      <c r="AT98" s="2" t="n">
        <f aca="false">MAX(AS97+IF($A98=AT$4,1,-1),AT97-1,AS98-1)</f>
        <v>-79</v>
      </c>
      <c r="AU98" s="2" t="n">
        <f aca="false">MAX(AT97+IF($A98=AU$4,1,-1),AU97-1,AT98-1)</f>
        <v>-79</v>
      </c>
      <c r="AV98" s="2" t="n">
        <f aca="false">MAX(AU97+IF($A98=AV$4,1,-1),AV97-1,AU98-1)</f>
        <v>-79</v>
      </c>
      <c r="AW98" s="2" t="n">
        <f aca="false">MAX(AV97+IF($A98=AW$4,1,-1),AW97-1,AV98-1)</f>
        <v>-79</v>
      </c>
      <c r="AX98" s="2" t="n">
        <f aca="false">MAX(AW97+IF($A98=AX$4,1,-1),AX97-1,AW98-1)</f>
        <v>-79</v>
      </c>
      <c r="AY98" s="2" t="n">
        <f aca="false">MAX(AX97+IF($A98=AY$4,1,-1),AY97-1,AX98-1)</f>
        <v>-79</v>
      </c>
      <c r="AZ98" s="2" t="n">
        <f aca="false">MAX(AY97+IF($A98=AZ$4,1,-1),AZ97-1,AY98-1)</f>
        <v>-79</v>
      </c>
      <c r="BA98" s="2" t="n">
        <f aca="false">MAX(AZ97+IF($A98=BA$4,1,-1),BA97-1,AZ98-1)</f>
        <v>-79</v>
      </c>
      <c r="BB98" s="2" t="n">
        <f aca="false">MAX(BA97+IF($A98=BB$4,1,-1),BB97-1,BA98-1)</f>
        <v>-79</v>
      </c>
      <c r="BC98" s="2" t="n">
        <f aca="false">MAX(BB97+IF($A98=BC$4,1,-1),BC97-1,BB98-1)</f>
        <v>-79</v>
      </c>
      <c r="BD98" s="2" t="n">
        <f aca="false">MAX(BC97+IF($A98=BD$4,1,-1),BD97-1,BC98-1)</f>
        <v>-80</v>
      </c>
      <c r="BE98" s="2" t="n">
        <f aca="false">MAX(BD97+IF($A98=BE$4,1,-1),BE97-1,BD98-1)</f>
        <v>-79</v>
      </c>
      <c r="BF98" s="2" t="n">
        <f aca="false">MAX(BE97+IF($A98=BF$4,1,-1),BF97-1,BE98-1)</f>
        <v>-79</v>
      </c>
      <c r="BG98" s="2" t="n">
        <f aca="false">MAX(BF97+IF($A98=BG$4,1,-1),BG97-1,BF98-1)</f>
        <v>-80</v>
      </c>
      <c r="BH98" s="2" t="n">
        <f aca="false">MAX(BG97+IF($A98=BH$4,1,-1),BH97-1,BG98-1)</f>
        <v>-81</v>
      </c>
      <c r="BI98" s="2" t="n">
        <f aca="false">MAX(BH97+IF($A98=BI$4,1,-1),BI97-1,BH98-1)</f>
        <v>-81</v>
      </c>
      <c r="BJ98" s="2" t="n">
        <f aca="false">MAX(BI97+IF($A98=BJ$4,1,-1),BJ97-1,BI98-1)</f>
        <v>-81</v>
      </c>
      <c r="BK98" s="2" t="n">
        <f aca="false">MAX(BJ97+IF($A98=BK$4,1,-1),BK97-1,BJ98-1)</f>
        <v>-81</v>
      </c>
      <c r="BL98" s="2" t="n">
        <f aca="false">MAX(BK97+IF($A98=BL$4,1,-1),BL97-1,BK98-1)</f>
        <v>-79</v>
      </c>
      <c r="BM98" s="2" t="n">
        <f aca="false">MAX(BL97+IF($A98=BM$4,1,-1),BM97-1,BL98-1)</f>
        <v>-79</v>
      </c>
      <c r="BN98" s="2" t="n">
        <f aca="false">MAX(BM97+IF($A98=BN$4,1,-1),BN97-1,BM98-1)</f>
        <v>-79</v>
      </c>
      <c r="BO98" s="2" t="n">
        <f aca="false">MAX(BN97+IF($A98=BO$4,1,-1),BO97-1,BN98-1)</f>
        <v>-79</v>
      </c>
      <c r="BP98" s="2" t="n">
        <f aca="false">MAX(BO97+IF($A98=BP$4,1,-1),BP97-1,BO98-1)</f>
        <v>-77</v>
      </c>
      <c r="BQ98" s="2" t="n">
        <f aca="false">MAX(BP97+IF($A98=BQ$4,1,-1),BQ97-1,BP98-1)</f>
        <v>-77</v>
      </c>
      <c r="BR98" s="2" t="n">
        <f aca="false">MAX(BQ97+IF($A98=BR$4,1,-1),BR97-1,BQ98-1)</f>
        <v>-78</v>
      </c>
      <c r="BS98" s="2" t="n">
        <f aca="false">MAX(BR97+IF($A98=BS$4,1,-1),BS97-1,BR98-1)</f>
        <v>-79</v>
      </c>
      <c r="BT98" s="2" t="n">
        <f aca="false">MAX(BS97+IF($A98=BT$4,1,-1),BT97-1,BS98-1)</f>
        <v>-79</v>
      </c>
      <c r="BU98" s="2" t="n">
        <f aca="false">MAX(BT97+IF($A98=BU$4,1,-1),BU97-1,BT98-1)</f>
        <v>-79</v>
      </c>
      <c r="BV98" s="2" t="n">
        <f aca="false">MAX(BU97+IF($A98=BV$4,1,-1),BV97-1,BU98-1)</f>
        <v>-79</v>
      </c>
      <c r="BW98" s="2" t="n">
        <f aca="false">MAX(BV97+IF($A98=BW$4,1,-1),BW97-1,BV98-1)</f>
        <v>-79</v>
      </c>
      <c r="BX98" s="2" t="n">
        <f aca="false">MAX(BW97+IF($A98=BX$4,1,-1),BX97-1,BW98-1)</f>
        <v>-79</v>
      </c>
      <c r="BY98" s="2" t="n">
        <f aca="false">MAX(BX97+IF($A98=BY$4,1,-1),BY97-1,BX98-1)</f>
        <v>-79</v>
      </c>
      <c r="BZ98" s="2" t="n">
        <f aca="false">MAX(BY97+IF($A98=BZ$4,1,-1),BZ97-1,BY98-1)</f>
        <v>-80</v>
      </c>
      <c r="CA98" s="2" t="n">
        <f aca="false">MAX(BZ97+IF($A98=CA$4,1,-1),CA97-1,BZ98-1)</f>
        <v>-79</v>
      </c>
      <c r="CB98" s="2" t="n">
        <f aca="false">MAX(CA97+IF($A98=CB$4,1,-1),CB97-1,CA98-1)</f>
        <v>-79</v>
      </c>
      <c r="CC98" s="2" t="n">
        <f aca="false">MAX(CB97+IF($A98=CC$4,1,-1),CC97-1,CB98-1)</f>
        <v>-80</v>
      </c>
      <c r="CD98" s="2" t="n">
        <f aca="false">MAX(CC97+IF($A98=CD$4,1,-1),CD97-1,CC98-1)</f>
        <v>-81</v>
      </c>
      <c r="CE98" s="2" t="n">
        <f aca="false">MAX(CD97+IF($A98=CE$4,1,-1),CE97-1,CD98-1)</f>
        <v>-81</v>
      </c>
      <c r="CF98" s="2" t="n">
        <f aca="false">MAX(CE97+IF($A98=CF$4,1,-1),CF97-1,CE98-1)</f>
        <v>-82</v>
      </c>
      <c r="CG98" s="2" t="n">
        <f aca="false">MAX(CF97+IF($A98=CG$4,1,-1),CG97-1,CF98-1)</f>
        <v>-83</v>
      </c>
      <c r="CH98" s="2" t="n">
        <f aca="false">MAX(CG97+IF($A98=CH$4,1,-1),CH97-1,CG98-1)</f>
        <v>-83</v>
      </c>
      <c r="CI98" s="2" t="n">
        <f aca="false">MAX(CH97+IF($A98=CI$4,1,-1),CI97-1,CH98-1)</f>
        <v>-83</v>
      </c>
      <c r="CJ98" s="2" t="n">
        <f aca="false">MAX(CI97+IF($A98=CJ$4,1,-1),CJ97-1,CI98-1)</f>
        <v>-82</v>
      </c>
      <c r="CK98" s="2" t="n">
        <f aca="false">MAX(CJ97+IF($A98=CK$4,1,-1),CK97-1,CJ98-1)</f>
        <v>-82</v>
      </c>
      <c r="CL98" s="2" t="n">
        <f aca="false">MAX(CK97+IF($A98=CL$4,1,-1),CL97-1,CK98-1)</f>
        <v>-83</v>
      </c>
      <c r="CM98" s="2" t="n">
        <f aca="false">MAX(CL97+IF($A98=CM$4,1,-1),CM97-1,CL98-1)</f>
        <v>-84</v>
      </c>
      <c r="CN98" s="2" t="n">
        <f aca="false">MAX(CM97+IF($A98=CN$4,1,-1),CN97-1,CM98-1)</f>
        <v>-84</v>
      </c>
      <c r="CO98" s="2" t="n">
        <f aca="false">MAX(CN97+IF($A98=CO$4,1,-1),CO97-1,CN98-1)</f>
        <v>-84</v>
      </c>
      <c r="CP98" s="2" t="n">
        <f aca="false">MAX(CO97+IF($A98=CP$4,1,-1),CP97-1,CO98-1)</f>
        <v>-84</v>
      </c>
      <c r="CQ98" s="2" t="n">
        <f aca="false">MAX(CP97+IF($A98=CQ$4,1,-1),CQ97-1,CP98-1)</f>
        <v>-84</v>
      </c>
    </row>
    <row r="99" customFormat="false" ht="15" hidden="false" customHeight="false" outlineLevel="0" collapsed="false">
      <c r="A99" s="4" t="s">
        <v>202</v>
      </c>
      <c r="B99" s="12" t="n">
        <v>-94</v>
      </c>
      <c r="C99" s="2" t="n">
        <f aca="false">MAX(B98+IF($A99=C$4,1,-1),C98-1,B99-1)</f>
        <v>-94</v>
      </c>
      <c r="D99" s="2" t="n">
        <f aca="false">MAX(C98+IF($A99=D$4,1,-1),D98-1,C99-1)</f>
        <v>-92</v>
      </c>
      <c r="E99" s="2" t="n">
        <f aca="false">MAX(D98+IF($A99=E$4,1,-1),E98-1,D99-1)</f>
        <v>-90</v>
      </c>
      <c r="F99" s="2" t="n">
        <f aca="false">MAX(E98+IF($A99=F$4,1,-1),F98-1,E99-1)</f>
        <v>-88</v>
      </c>
      <c r="G99" s="2" t="n">
        <f aca="false">MAX(F98+IF($A99=G$4,1,-1),G98-1,F99-1)</f>
        <v>-86</v>
      </c>
      <c r="H99" s="2" t="n">
        <f aca="false">MAX(G98+IF($A99=H$4,1,-1),H98-1,G99-1)</f>
        <v>-86</v>
      </c>
      <c r="I99" s="2" t="n">
        <f aca="false">MAX(H98+IF($A99=I$4,1,-1),I98-1,H99-1)</f>
        <v>-86</v>
      </c>
      <c r="J99" s="2" t="n">
        <f aca="false">MAX(I98+IF($A99=J$4,1,-1),J98-1,I99-1)</f>
        <v>-86</v>
      </c>
      <c r="K99" s="2" t="n">
        <f aca="false">MAX(J98+IF($A99=K$4,1,-1),K98-1,J99-1)</f>
        <v>-84</v>
      </c>
      <c r="L99" s="2" t="n">
        <f aca="false">MAX(K98+IF($A99=L$4,1,-1),L98-1,K99-1)</f>
        <v>-84</v>
      </c>
      <c r="M99" s="2" t="n">
        <f aca="false">MAX(L98+IF($A99=M$4,1,-1),M98-1,L99-1)</f>
        <v>-85</v>
      </c>
      <c r="N99" s="2" t="n">
        <f aca="false">MAX(M98+IF($A99=N$4,1,-1),N98-1,M99-1)</f>
        <v>-84</v>
      </c>
      <c r="O99" s="2" t="n">
        <f aca="false">MAX(N98+IF($A99=O$4,1,-1),O98-1,N99-1)</f>
        <v>-82</v>
      </c>
      <c r="P99" s="2" t="n">
        <f aca="false">MAX(O98+IF($A99=P$4,1,-1),P98-1,O99-1)</f>
        <v>-82</v>
      </c>
      <c r="Q99" s="2" t="n">
        <f aca="false">MAX(P98+IF($A99=Q$4,1,-1),Q98-1,P99-1)</f>
        <v>-82</v>
      </c>
      <c r="R99" s="2" t="n">
        <f aca="false">MAX(Q98+IF($A99=R$4,1,-1),R98-1,Q99-1)</f>
        <v>-82</v>
      </c>
      <c r="S99" s="2" t="n">
        <f aca="false">MAX(R98+IF($A99=S$4,1,-1),S98-1,R99-1)</f>
        <v>-82</v>
      </c>
      <c r="T99" s="2" t="n">
        <f aca="false">MAX(S98+IF($A99=T$4,1,-1),T98-1,S99-1)</f>
        <v>-82</v>
      </c>
      <c r="U99" s="2" t="n">
        <f aca="false">MAX(T98+IF($A99=U$4,1,-1),U98-1,T99-1)</f>
        <v>-81</v>
      </c>
      <c r="V99" s="2" t="n">
        <f aca="false">MAX(U98+IF($A99=V$4,1,-1),V98-1,U99-1)</f>
        <v>-81</v>
      </c>
      <c r="W99" s="2" t="n">
        <f aca="false">MAX(V98+IF($A99=W$4,1,-1),W98-1,V99-1)</f>
        <v>-81</v>
      </c>
      <c r="X99" s="2" t="n">
        <f aca="false">MAX(W98+IF($A99=X$4,1,-1),X98-1,W99-1)</f>
        <v>-81</v>
      </c>
      <c r="Y99" s="2" t="n">
        <f aca="false">MAX(X98+IF($A99=Y$4,1,-1),Y98-1,X99-1)</f>
        <v>-81</v>
      </c>
      <c r="Z99" s="2" t="n">
        <f aca="false">MAX(Y98+IF($A99=Z$4,1,-1),Z98-1,Y99-1)</f>
        <v>-81</v>
      </c>
      <c r="AA99" s="2" t="n">
        <f aca="false">MAX(Z98+IF($A99=AA$4,1,-1),AA98-1,Z99-1)</f>
        <v>-81</v>
      </c>
      <c r="AB99" s="2" t="n">
        <f aca="false">MAX(AA98+IF($A99=AB$4,1,-1),AB98-1,AA99-1)</f>
        <v>-81</v>
      </c>
      <c r="AC99" s="2" t="n">
        <f aca="false">MAX(AB98+IF($A99=AC$4,1,-1),AC98-1,AB99-1)</f>
        <v>-81</v>
      </c>
      <c r="AD99" s="2" t="n">
        <f aca="false">MAX(AC98+IF($A99=AD$4,1,-1),AD98-1,AC99-1)</f>
        <v>-79</v>
      </c>
      <c r="AE99" s="2" t="n">
        <f aca="false">MAX(AD98+IF($A99=AE$4,1,-1),AE98-1,AD99-1)</f>
        <v>-79</v>
      </c>
      <c r="AF99" s="2" t="n">
        <f aca="false">MAX(AE98+IF($A99=AF$4,1,-1),AF98-1,AE99-1)</f>
        <v>-79</v>
      </c>
      <c r="AG99" s="2" t="n">
        <f aca="false">MAX(AF98+IF($A99=AG$4,1,-1),AG98-1,AF99-1)</f>
        <v>-79</v>
      </c>
      <c r="AH99" s="2" t="n">
        <f aca="false">MAX(AG98+IF($A99=AH$4,1,-1),AH98-1,AG99-1)</f>
        <v>-79</v>
      </c>
      <c r="AI99" s="2" t="n">
        <f aca="false">MAX(AH98+IF($A99=AI$4,1,-1),AI98-1,AH99-1)</f>
        <v>-79</v>
      </c>
      <c r="AJ99" s="2" t="n">
        <f aca="false">MAX(AI98+IF($A99=AJ$4,1,-1),AJ98-1,AI99-1)</f>
        <v>-79</v>
      </c>
      <c r="AK99" s="2" t="n">
        <f aca="false">MAX(AJ98+IF($A99=AK$4,1,-1),AK98-1,AJ99-1)</f>
        <v>-79</v>
      </c>
      <c r="AL99" s="2" t="n">
        <f aca="false">MAX(AK98+IF($A99=AL$4,1,-1),AL98-1,AK99-1)</f>
        <v>-79</v>
      </c>
      <c r="AM99" s="2" t="n">
        <f aca="false">MAX(AL98+IF($A99=AM$4,1,-1),AM98-1,AL99-1)</f>
        <v>-79</v>
      </c>
      <c r="AN99" s="2" t="n">
        <f aca="false">MAX(AM98+IF($A99=AN$4,1,-1),AN98-1,AM99-1)</f>
        <v>-79</v>
      </c>
      <c r="AO99" s="2" t="n">
        <f aca="false">MAX(AN98+IF($A99=AO$4,1,-1),AO98-1,AN99-1)</f>
        <v>-80</v>
      </c>
      <c r="AP99" s="2" t="n">
        <f aca="false">MAX(AO98+IF($A99=AP$4,1,-1),AP98-1,AO99-1)</f>
        <v>-81</v>
      </c>
      <c r="AQ99" s="2" t="n">
        <f aca="false">MAX(AP98+IF($A99=AQ$4,1,-1),AQ98-1,AP99-1)</f>
        <v>-81</v>
      </c>
      <c r="AR99" s="2" t="n">
        <f aca="false">MAX(AQ98+IF($A99=AR$4,1,-1),AR98-1,AQ99-1)</f>
        <v>-81</v>
      </c>
      <c r="AS99" s="2" t="n">
        <f aca="false">MAX(AR98+IF($A99=AS$4,1,-1),AS98-1,AR99-1)</f>
        <v>-82</v>
      </c>
      <c r="AT99" s="2" t="n">
        <f aca="false">MAX(AS98+IF($A99=AT$4,1,-1),AT98-1,AS99-1)</f>
        <v>-80</v>
      </c>
      <c r="AU99" s="2" t="n">
        <f aca="false">MAX(AT98+IF($A99=AU$4,1,-1),AU98-1,AT99-1)</f>
        <v>-80</v>
      </c>
      <c r="AV99" s="2" t="n">
        <f aca="false">MAX(AU98+IF($A99=AV$4,1,-1),AV98-1,AU99-1)</f>
        <v>-80</v>
      </c>
      <c r="AW99" s="2" t="n">
        <f aca="false">MAX(AV98+IF($A99=AW$4,1,-1),AW98-1,AV99-1)</f>
        <v>-80</v>
      </c>
      <c r="AX99" s="2" t="n">
        <f aca="false">MAX(AW98+IF($A99=AX$4,1,-1),AX98-1,AW99-1)</f>
        <v>-80</v>
      </c>
      <c r="AY99" s="2" t="n">
        <f aca="false">MAX(AX98+IF($A99=AY$4,1,-1),AY98-1,AX99-1)</f>
        <v>-80</v>
      </c>
      <c r="AZ99" s="2" t="n">
        <f aca="false">MAX(AY98+IF($A99=AZ$4,1,-1),AZ98-1,AY99-1)</f>
        <v>-80</v>
      </c>
      <c r="BA99" s="2" t="n">
        <f aca="false">MAX(AZ98+IF($A99=BA$4,1,-1),BA98-1,AZ99-1)</f>
        <v>-80</v>
      </c>
      <c r="BB99" s="2" t="n">
        <f aca="false">MAX(BA98+IF($A99=BB$4,1,-1),BB98-1,BA99-1)</f>
        <v>-80</v>
      </c>
      <c r="BC99" s="2" t="n">
        <f aca="false">MAX(BB98+IF($A99=BC$4,1,-1),BC98-1,BB99-1)</f>
        <v>-80</v>
      </c>
      <c r="BD99" s="2" t="n">
        <f aca="false">MAX(BC98+IF($A99=BD$4,1,-1),BD98-1,BC99-1)</f>
        <v>-80</v>
      </c>
      <c r="BE99" s="2" t="n">
        <f aca="false">MAX(BD98+IF($A99=BE$4,1,-1),BE98-1,BD99-1)</f>
        <v>-80</v>
      </c>
      <c r="BF99" s="2" t="n">
        <f aca="false">MAX(BE98+IF($A99=BF$4,1,-1),BF98-1,BE99-1)</f>
        <v>-80</v>
      </c>
      <c r="BG99" s="2" t="n">
        <f aca="false">MAX(BF98+IF($A99=BG$4,1,-1),BG98-1,BF99-1)</f>
        <v>-80</v>
      </c>
      <c r="BH99" s="2" t="n">
        <f aca="false">MAX(BG98+IF($A99=BH$4,1,-1),BH98-1,BG99-1)</f>
        <v>-81</v>
      </c>
      <c r="BI99" s="2" t="n">
        <f aca="false">MAX(BH98+IF($A99=BI$4,1,-1),BI98-1,BH99-1)</f>
        <v>-82</v>
      </c>
      <c r="BJ99" s="2" t="n">
        <f aca="false">MAX(BI98+IF($A99=BJ$4,1,-1),BJ98-1,BI99-1)</f>
        <v>-82</v>
      </c>
      <c r="BK99" s="2" t="n">
        <f aca="false">MAX(BJ98+IF($A99=BK$4,1,-1),BK98-1,BJ99-1)</f>
        <v>-82</v>
      </c>
      <c r="BL99" s="2" t="n">
        <f aca="false">MAX(BK98+IF($A99=BL$4,1,-1),BL98-1,BK99-1)</f>
        <v>-80</v>
      </c>
      <c r="BM99" s="2" t="n">
        <f aca="false">MAX(BL98+IF($A99=BM$4,1,-1),BM98-1,BL99-1)</f>
        <v>-80</v>
      </c>
      <c r="BN99" s="2" t="n">
        <f aca="false">MAX(BM98+IF($A99=BN$4,1,-1),BN98-1,BM99-1)</f>
        <v>-80</v>
      </c>
      <c r="BO99" s="2" t="n">
        <f aca="false">MAX(BN98+IF($A99=BO$4,1,-1),BO98-1,BN99-1)</f>
        <v>-80</v>
      </c>
      <c r="BP99" s="2" t="n">
        <f aca="false">MAX(BO98+IF($A99=BP$4,1,-1),BP98-1,BO99-1)</f>
        <v>-78</v>
      </c>
      <c r="BQ99" s="2" t="n">
        <f aca="false">MAX(BP98+IF($A99=BQ$4,1,-1),BQ98-1,BP99-1)</f>
        <v>-78</v>
      </c>
      <c r="BR99" s="2" t="n">
        <f aca="false">MAX(BQ98+IF($A99=BR$4,1,-1),BR98-1,BQ99-1)</f>
        <v>-78</v>
      </c>
      <c r="BS99" s="2" t="n">
        <f aca="false">MAX(BR98+IF($A99=BS$4,1,-1),BS98-1,BR99-1)</f>
        <v>-79</v>
      </c>
      <c r="BT99" s="2" t="n">
        <f aca="false">MAX(BS98+IF($A99=BT$4,1,-1),BT98-1,BS99-1)</f>
        <v>-80</v>
      </c>
      <c r="BU99" s="2" t="n">
        <f aca="false">MAX(BT98+IF($A99=BU$4,1,-1),BU98-1,BT99-1)</f>
        <v>-80</v>
      </c>
      <c r="BV99" s="2" t="n">
        <f aca="false">MAX(BU98+IF($A99=BV$4,1,-1),BV98-1,BU99-1)</f>
        <v>-80</v>
      </c>
      <c r="BW99" s="2" t="n">
        <f aca="false">MAX(BV98+IF($A99=BW$4,1,-1),BW98-1,BV99-1)</f>
        <v>-80</v>
      </c>
      <c r="BX99" s="2" t="n">
        <f aca="false">MAX(BW98+IF($A99=BX$4,1,-1),BX98-1,BW99-1)</f>
        <v>-80</v>
      </c>
      <c r="BY99" s="2" t="n">
        <f aca="false">MAX(BX98+IF($A99=BY$4,1,-1),BY98-1,BX99-1)</f>
        <v>-80</v>
      </c>
      <c r="BZ99" s="2" t="n">
        <f aca="false">MAX(BY98+IF($A99=BZ$4,1,-1),BZ98-1,BY99-1)</f>
        <v>-80</v>
      </c>
      <c r="CA99" s="2" t="n">
        <f aca="false">MAX(BZ98+IF($A99=CA$4,1,-1),CA98-1,BZ99-1)</f>
        <v>-80</v>
      </c>
      <c r="CB99" s="2" t="n">
        <f aca="false">MAX(CA98+IF($A99=CB$4,1,-1),CB98-1,CA99-1)</f>
        <v>-80</v>
      </c>
      <c r="CC99" s="2" t="n">
        <f aca="false">MAX(CB98+IF($A99=CC$4,1,-1),CC98-1,CB99-1)</f>
        <v>-80</v>
      </c>
      <c r="CD99" s="2" t="n">
        <f aca="false">MAX(CC98+IF($A99=CD$4,1,-1),CD98-1,CC99-1)</f>
        <v>-81</v>
      </c>
      <c r="CE99" s="2" t="n">
        <f aca="false">MAX(CD98+IF($A99=CE$4,1,-1),CE98-1,CD99-1)</f>
        <v>-82</v>
      </c>
      <c r="CF99" s="2" t="n">
        <f aca="false">MAX(CE98+IF($A99=CF$4,1,-1),CF98-1,CE99-1)</f>
        <v>-82</v>
      </c>
      <c r="CG99" s="2" t="n">
        <f aca="false">MAX(CF98+IF($A99=CG$4,1,-1),CG98-1,CF99-1)</f>
        <v>-83</v>
      </c>
      <c r="CH99" s="2" t="n">
        <f aca="false">MAX(CG98+IF($A99=CH$4,1,-1),CH98-1,CG99-1)</f>
        <v>-84</v>
      </c>
      <c r="CI99" s="2" t="n">
        <f aca="false">MAX(CH98+IF($A99=CI$4,1,-1),CI98-1,CH99-1)</f>
        <v>-84</v>
      </c>
      <c r="CJ99" s="2" t="n">
        <f aca="false">MAX(CI98+IF($A99=CJ$4,1,-1),CJ98-1,CI99-1)</f>
        <v>-83</v>
      </c>
      <c r="CK99" s="2" t="n">
        <f aca="false">MAX(CJ98+IF($A99=CK$4,1,-1),CK98-1,CJ99-1)</f>
        <v>-83</v>
      </c>
      <c r="CL99" s="2" t="n">
        <f aca="false">MAX(CK98+IF($A99=CL$4,1,-1),CL98-1,CK99-1)</f>
        <v>-83</v>
      </c>
      <c r="CM99" s="2" t="n">
        <f aca="false">MAX(CL98+IF($A99=CM$4,1,-1),CM98-1,CL99-1)</f>
        <v>-84</v>
      </c>
      <c r="CN99" s="2" t="n">
        <f aca="false">MAX(CM98+IF($A99=CN$4,1,-1),CN98-1,CM99-1)</f>
        <v>-85</v>
      </c>
      <c r="CO99" s="2" t="n">
        <f aca="false">MAX(CN98+IF($A99=CO$4,1,-1),CO98-1,CN99-1)</f>
        <v>-85</v>
      </c>
      <c r="CP99" s="2" t="n">
        <f aca="false">MAX(CO98+IF($A99=CP$4,1,-1),CP98-1,CO99-1)</f>
        <v>-85</v>
      </c>
      <c r="CQ99" s="2" t="n">
        <f aca="false">MAX(CP98+IF($A99=CQ$4,1,-1),CQ98-1,CP99-1)</f>
        <v>-85</v>
      </c>
    </row>
    <row r="100" customFormat="false" ht="15" hidden="false" customHeight="false" outlineLevel="0" collapsed="false">
      <c r="A100" s="4" t="s">
        <v>203</v>
      </c>
      <c r="B100" s="12" t="n">
        <v>-95</v>
      </c>
      <c r="C100" s="2" t="n">
        <f aca="false">MAX(B99+IF($A100=C$4,1,-1),C99-1,B100-1)</f>
        <v>-95</v>
      </c>
      <c r="D100" s="2" t="n">
        <f aca="false">MAX(C99+IF($A100=D$4,1,-1),D99-1,C100-1)</f>
        <v>-93</v>
      </c>
      <c r="E100" s="2" t="n">
        <f aca="false">MAX(D99+IF($A100=E$4,1,-1),E99-1,D100-1)</f>
        <v>-91</v>
      </c>
      <c r="F100" s="2" t="n">
        <f aca="false">MAX(E99+IF($A100=F$4,1,-1),F99-1,E100-1)</f>
        <v>-89</v>
      </c>
      <c r="G100" s="2" t="n">
        <f aca="false">MAX(F99+IF($A100=G$4,1,-1),G99-1,F100-1)</f>
        <v>-87</v>
      </c>
      <c r="H100" s="2" t="n">
        <f aca="false">MAX(G99+IF($A100=H$4,1,-1),H99-1,G100-1)</f>
        <v>-87</v>
      </c>
      <c r="I100" s="2" t="n">
        <f aca="false">MAX(H99+IF($A100=I$4,1,-1),I99-1,H100-1)</f>
        <v>-87</v>
      </c>
      <c r="J100" s="2" t="n">
        <f aca="false">MAX(I99+IF($A100=J$4,1,-1),J99-1,I100-1)</f>
        <v>-87</v>
      </c>
      <c r="K100" s="2" t="n">
        <f aca="false">MAX(J99+IF($A100=K$4,1,-1),K99-1,J100-1)</f>
        <v>-85</v>
      </c>
      <c r="L100" s="2" t="n">
        <f aca="false">MAX(K99+IF($A100=L$4,1,-1),L99-1,K100-1)</f>
        <v>-85</v>
      </c>
      <c r="M100" s="2" t="n">
        <f aca="false">MAX(L99+IF($A100=M$4,1,-1),M99-1,L100-1)</f>
        <v>-85</v>
      </c>
      <c r="N100" s="2" t="n">
        <f aca="false">MAX(M99+IF($A100=N$4,1,-1),N99-1,M100-1)</f>
        <v>-85</v>
      </c>
      <c r="O100" s="2" t="n">
        <f aca="false">MAX(N99+IF($A100=O$4,1,-1),O99-1,N100-1)</f>
        <v>-83</v>
      </c>
      <c r="P100" s="2" t="n">
        <f aca="false">MAX(O99+IF($A100=P$4,1,-1),P99-1,O100-1)</f>
        <v>-83</v>
      </c>
      <c r="Q100" s="2" t="n">
        <f aca="false">MAX(P99+IF($A100=Q$4,1,-1),Q99-1,P100-1)</f>
        <v>-83</v>
      </c>
      <c r="R100" s="2" t="n">
        <f aca="false">MAX(Q99+IF($A100=R$4,1,-1),R99-1,Q100-1)</f>
        <v>-83</v>
      </c>
      <c r="S100" s="2" t="n">
        <f aca="false">MAX(R99+IF($A100=S$4,1,-1),S99-1,R100-1)</f>
        <v>-83</v>
      </c>
      <c r="T100" s="2" t="n">
        <f aca="false">MAX(S99+IF($A100=T$4,1,-1),T99-1,S100-1)</f>
        <v>-83</v>
      </c>
      <c r="U100" s="2" t="n">
        <f aca="false">MAX(T99+IF($A100=U$4,1,-1),U99-1,T100-1)</f>
        <v>-82</v>
      </c>
      <c r="V100" s="2" t="n">
        <f aca="false">MAX(U99+IF($A100=V$4,1,-1),V99-1,U100-1)</f>
        <v>-82</v>
      </c>
      <c r="W100" s="2" t="n">
        <f aca="false">MAX(V99+IF($A100=W$4,1,-1),W99-1,V100-1)</f>
        <v>-82</v>
      </c>
      <c r="X100" s="2" t="n">
        <f aca="false">MAX(W99+IF($A100=X$4,1,-1),X99-1,W100-1)</f>
        <v>-82</v>
      </c>
      <c r="Y100" s="2" t="n">
        <f aca="false">MAX(X99+IF($A100=Y$4,1,-1),Y99-1,X100-1)</f>
        <v>-82</v>
      </c>
      <c r="Z100" s="2" t="n">
        <f aca="false">MAX(Y99+IF($A100=Z$4,1,-1),Z99-1,Y100-1)</f>
        <v>-82</v>
      </c>
      <c r="AA100" s="2" t="n">
        <f aca="false">MAX(Z99+IF($A100=AA$4,1,-1),AA99-1,Z100-1)</f>
        <v>-82</v>
      </c>
      <c r="AB100" s="2" t="n">
        <f aca="false">MAX(AA99+IF($A100=AB$4,1,-1),AB99-1,AA100-1)</f>
        <v>-82</v>
      </c>
      <c r="AC100" s="2" t="n">
        <f aca="false">MAX(AB99+IF($A100=AC$4,1,-1),AC99-1,AB100-1)</f>
        <v>-82</v>
      </c>
      <c r="AD100" s="2" t="n">
        <f aca="false">MAX(AC99+IF($A100=AD$4,1,-1),AD99-1,AC100-1)</f>
        <v>-80</v>
      </c>
      <c r="AE100" s="2" t="n">
        <f aca="false">MAX(AD99+IF($A100=AE$4,1,-1),AE99-1,AD100-1)</f>
        <v>-80</v>
      </c>
      <c r="AF100" s="2" t="n">
        <f aca="false">MAX(AE99+IF($A100=AF$4,1,-1),AF99-1,AE100-1)</f>
        <v>-80</v>
      </c>
      <c r="AG100" s="2" t="n">
        <f aca="false">MAX(AF99+IF($A100=AG$4,1,-1),AG99-1,AF100-1)</f>
        <v>-80</v>
      </c>
      <c r="AH100" s="2" t="n">
        <f aca="false">MAX(AG99+IF($A100=AH$4,1,-1),AH99-1,AG100-1)</f>
        <v>-80</v>
      </c>
      <c r="AI100" s="2" t="n">
        <f aca="false">MAX(AH99+IF($A100=AI$4,1,-1),AI99-1,AH100-1)</f>
        <v>-80</v>
      </c>
      <c r="AJ100" s="2" t="n">
        <f aca="false">MAX(AI99+IF($A100=AJ$4,1,-1),AJ99-1,AI100-1)</f>
        <v>-80</v>
      </c>
      <c r="AK100" s="2" t="n">
        <f aca="false">MAX(AJ99+IF($A100=AK$4,1,-1),AK99-1,AJ100-1)</f>
        <v>-80</v>
      </c>
      <c r="AL100" s="2" t="n">
        <f aca="false">MAX(AK99+IF($A100=AL$4,1,-1),AL99-1,AK100-1)</f>
        <v>-80</v>
      </c>
      <c r="AM100" s="2" t="n">
        <f aca="false">MAX(AL99+IF($A100=AM$4,1,-1),AM99-1,AL100-1)</f>
        <v>-80</v>
      </c>
      <c r="AN100" s="2" t="n">
        <f aca="false">MAX(AM99+IF($A100=AN$4,1,-1),AN99-1,AM100-1)</f>
        <v>-80</v>
      </c>
      <c r="AO100" s="2" t="n">
        <f aca="false">MAX(AN99+IF($A100=AO$4,1,-1),AO99-1,AN100-1)</f>
        <v>-80</v>
      </c>
      <c r="AP100" s="2" t="n">
        <f aca="false">MAX(AO99+IF($A100=AP$4,1,-1),AP99-1,AO100-1)</f>
        <v>-81</v>
      </c>
      <c r="AQ100" s="2" t="n">
        <f aca="false">MAX(AP99+IF($A100=AQ$4,1,-1),AQ99-1,AP100-1)</f>
        <v>-82</v>
      </c>
      <c r="AR100" s="2" t="n">
        <f aca="false">MAX(AQ99+IF($A100=AR$4,1,-1),AR99-1,AQ100-1)</f>
        <v>-82</v>
      </c>
      <c r="AS100" s="2" t="n">
        <f aca="false">MAX(AR99+IF($A100=AS$4,1,-1),AS99-1,AR100-1)</f>
        <v>-82</v>
      </c>
      <c r="AT100" s="2" t="n">
        <f aca="false">MAX(AS99+IF($A100=AT$4,1,-1),AT99-1,AS100-1)</f>
        <v>-81</v>
      </c>
      <c r="AU100" s="2" t="n">
        <f aca="false">MAX(AT99+IF($A100=AU$4,1,-1),AU99-1,AT100-1)</f>
        <v>-81</v>
      </c>
      <c r="AV100" s="2" t="n">
        <f aca="false">MAX(AU99+IF($A100=AV$4,1,-1),AV99-1,AU100-1)</f>
        <v>-81</v>
      </c>
      <c r="AW100" s="2" t="n">
        <f aca="false">MAX(AV99+IF($A100=AW$4,1,-1),AW99-1,AV100-1)</f>
        <v>-81</v>
      </c>
      <c r="AX100" s="2" t="n">
        <f aca="false">MAX(AW99+IF($A100=AX$4,1,-1),AX99-1,AW100-1)</f>
        <v>-81</v>
      </c>
      <c r="AY100" s="2" t="n">
        <f aca="false">MAX(AX99+IF($A100=AY$4,1,-1),AY99-1,AX100-1)</f>
        <v>-81</v>
      </c>
      <c r="AZ100" s="2" t="n">
        <f aca="false">MAX(AY99+IF($A100=AZ$4,1,-1),AZ99-1,AY100-1)</f>
        <v>-81</v>
      </c>
      <c r="BA100" s="2" t="n">
        <f aca="false">MAX(AZ99+IF($A100=BA$4,1,-1),BA99-1,AZ100-1)</f>
        <v>-81</v>
      </c>
      <c r="BB100" s="2" t="n">
        <f aca="false">MAX(BA99+IF($A100=BB$4,1,-1),BB99-1,BA100-1)</f>
        <v>-81</v>
      </c>
      <c r="BC100" s="2" t="n">
        <f aca="false">MAX(BB99+IF($A100=BC$4,1,-1),BC99-1,BB100-1)</f>
        <v>-81</v>
      </c>
      <c r="BD100" s="2" t="n">
        <f aca="false">MAX(BC99+IF($A100=BD$4,1,-1),BD99-1,BC100-1)</f>
        <v>-81</v>
      </c>
      <c r="BE100" s="2" t="n">
        <f aca="false">MAX(BD99+IF($A100=BE$4,1,-1),BE99-1,BD100-1)</f>
        <v>-81</v>
      </c>
      <c r="BF100" s="2" t="n">
        <f aca="false">MAX(BE99+IF($A100=BF$4,1,-1),BF99-1,BE100-1)</f>
        <v>-81</v>
      </c>
      <c r="BG100" s="2" t="n">
        <f aca="false">MAX(BF99+IF($A100=BG$4,1,-1),BG99-1,BF100-1)</f>
        <v>-81</v>
      </c>
      <c r="BH100" s="2" t="n">
        <f aca="false">MAX(BG99+IF($A100=BH$4,1,-1),BH99-1,BG100-1)</f>
        <v>-81</v>
      </c>
      <c r="BI100" s="2" t="n">
        <f aca="false">MAX(BH99+IF($A100=BI$4,1,-1),BI99-1,BH100-1)</f>
        <v>-82</v>
      </c>
      <c r="BJ100" s="2" t="n">
        <f aca="false">MAX(BI99+IF($A100=BJ$4,1,-1),BJ99-1,BI100-1)</f>
        <v>-83</v>
      </c>
      <c r="BK100" s="2" t="n">
        <f aca="false">MAX(BJ99+IF($A100=BK$4,1,-1),BK99-1,BJ100-1)</f>
        <v>-83</v>
      </c>
      <c r="BL100" s="2" t="n">
        <f aca="false">MAX(BK99+IF($A100=BL$4,1,-1),BL99-1,BK100-1)</f>
        <v>-81</v>
      </c>
      <c r="BM100" s="2" t="n">
        <f aca="false">MAX(BL99+IF($A100=BM$4,1,-1),BM99-1,BL100-1)</f>
        <v>-81</v>
      </c>
      <c r="BN100" s="2" t="n">
        <f aca="false">MAX(BM99+IF($A100=BN$4,1,-1),BN99-1,BM100-1)</f>
        <v>-81</v>
      </c>
      <c r="BO100" s="2" t="n">
        <f aca="false">MAX(BN99+IF($A100=BO$4,1,-1),BO99-1,BN100-1)</f>
        <v>-81</v>
      </c>
      <c r="BP100" s="2" t="n">
        <f aca="false">MAX(BO99+IF($A100=BP$4,1,-1),BP99-1,BO100-1)</f>
        <v>-79</v>
      </c>
      <c r="BQ100" s="2" t="n">
        <f aca="false">MAX(BP99+IF($A100=BQ$4,1,-1),BQ99-1,BP100-1)</f>
        <v>-79</v>
      </c>
      <c r="BR100" s="2" t="n">
        <f aca="false">MAX(BQ99+IF($A100=BR$4,1,-1),BR99-1,BQ100-1)</f>
        <v>-79</v>
      </c>
      <c r="BS100" s="2" t="n">
        <f aca="false">MAX(BR99+IF($A100=BS$4,1,-1),BS99-1,BR100-1)</f>
        <v>-79</v>
      </c>
      <c r="BT100" s="2" t="n">
        <f aca="false">MAX(BS99+IF($A100=BT$4,1,-1),BT99-1,BS100-1)</f>
        <v>-80</v>
      </c>
      <c r="BU100" s="2" t="n">
        <f aca="false">MAX(BT99+IF($A100=BU$4,1,-1),BU99-1,BT100-1)</f>
        <v>-81</v>
      </c>
      <c r="BV100" s="2" t="n">
        <f aca="false">MAX(BU99+IF($A100=BV$4,1,-1),BV99-1,BU100-1)</f>
        <v>-81</v>
      </c>
      <c r="BW100" s="2" t="n">
        <f aca="false">MAX(BV99+IF($A100=BW$4,1,-1),BW99-1,BV100-1)</f>
        <v>-81</v>
      </c>
      <c r="BX100" s="2" t="n">
        <f aca="false">MAX(BW99+IF($A100=BX$4,1,-1),BX99-1,BW100-1)</f>
        <v>-81</v>
      </c>
      <c r="BY100" s="2" t="n">
        <f aca="false">MAX(BX99+IF($A100=BY$4,1,-1),BY99-1,BX100-1)</f>
        <v>-81</v>
      </c>
      <c r="BZ100" s="2" t="n">
        <f aca="false">MAX(BY99+IF($A100=BZ$4,1,-1),BZ99-1,BY100-1)</f>
        <v>-81</v>
      </c>
      <c r="CA100" s="2" t="n">
        <f aca="false">MAX(BZ99+IF($A100=CA$4,1,-1),CA99-1,BZ100-1)</f>
        <v>-81</v>
      </c>
      <c r="CB100" s="2" t="n">
        <f aca="false">MAX(CA99+IF($A100=CB$4,1,-1),CB99-1,CA100-1)</f>
        <v>-81</v>
      </c>
      <c r="CC100" s="2" t="n">
        <f aca="false">MAX(CB99+IF($A100=CC$4,1,-1),CC99-1,CB100-1)</f>
        <v>-81</v>
      </c>
      <c r="CD100" s="2" t="n">
        <f aca="false">MAX(CC99+IF($A100=CD$4,1,-1),CD99-1,CC100-1)</f>
        <v>-81</v>
      </c>
      <c r="CE100" s="2" t="n">
        <f aca="false">MAX(CD99+IF($A100=CE$4,1,-1),CE99-1,CD100-1)</f>
        <v>-82</v>
      </c>
      <c r="CF100" s="2" t="n">
        <f aca="false">MAX(CE99+IF($A100=CF$4,1,-1),CF99-1,CE100-1)</f>
        <v>-83</v>
      </c>
      <c r="CG100" s="2" t="n">
        <f aca="false">MAX(CF99+IF($A100=CG$4,1,-1),CG99-1,CF100-1)</f>
        <v>-83</v>
      </c>
      <c r="CH100" s="2" t="n">
        <f aca="false">MAX(CG99+IF($A100=CH$4,1,-1),CH99-1,CG100-1)</f>
        <v>-84</v>
      </c>
      <c r="CI100" s="2" t="n">
        <f aca="false">MAX(CH99+IF($A100=CI$4,1,-1),CI99-1,CH100-1)</f>
        <v>-85</v>
      </c>
      <c r="CJ100" s="2" t="n">
        <f aca="false">MAX(CI99+IF($A100=CJ$4,1,-1),CJ99-1,CI100-1)</f>
        <v>-84</v>
      </c>
      <c r="CK100" s="2" t="n">
        <f aca="false">MAX(CJ99+IF($A100=CK$4,1,-1),CK99-1,CJ100-1)</f>
        <v>-84</v>
      </c>
      <c r="CL100" s="2" t="n">
        <f aca="false">MAX(CK99+IF($A100=CL$4,1,-1),CL99-1,CK100-1)</f>
        <v>-84</v>
      </c>
      <c r="CM100" s="2" t="n">
        <f aca="false">MAX(CL99+IF($A100=CM$4,1,-1),CM99-1,CL100-1)</f>
        <v>-84</v>
      </c>
      <c r="CN100" s="2" t="n">
        <f aca="false">MAX(CM99+IF($A100=CN$4,1,-1),CN99-1,CM100-1)</f>
        <v>-85</v>
      </c>
      <c r="CO100" s="2" t="n">
        <f aca="false">MAX(CN99+IF($A100=CO$4,1,-1),CO99-1,CN100-1)</f>
        <v>-86</v>
      </c>
      <c r="CP100" s="2" t="n">
        <f aca="false">MAX(CO99+IF($A100=CP$4,1,-1),CP99-1,CO100-1)</f>
        <v>-86</v>
      </c>
      <c r="CQ100" s="2" t="n">
        <f aca="false">MAX(CP99+IF($A100=CQ$4,1,-1),CQ99-1,CP100-1)</f>
        <v>-86</v>
      </c>
    </row>
    <row r="101" customFormat="false" ht="15" hidden="false" customHeight="false" outlineLevel="0" collapsed="false">
      <c r="A101" s="4" t="s">
        <v>179</v>
      </c>
      <c r="B101" s="12" t="n">
        <v>-96</v>
      </c>
      <c r="C101" s="2" t="n">
        <f aca="false">MAX(B100+IF($A101=C$4,1,-1),C100-1,B101-1)</f>
        <v>-96</v>
      </c>
      <c r="D101" s="2" t="n">
        <f aca="false">MAX(C100+IF($A101=D$4,1,-1),D100-1,C101-1)</f>
        <v>-94</v>
      </c>
      <c r="E101" s="2" t="n">
        <f aca="false">MAX(D100+IF($A101=E$4,1,-1),E100-1,D101-1)</f>
        <v>-92</v>
      </c>
      <c r="F101" s="2" t="n">
        <f aca="false">MAX(E100+IF($A101=F$4,1,-1),F100-1,E101-1)</f>
        <v>-90</v>
      </c>
      <c r="G101" s="2" t="n">
        <f aca="false">MAX(F100+IF($A101=G$4,1,-1),G100-1,F101-1)</f>
        <v>-88</v>
      </c>
      <c r="H101" s="2" t="n">
        <f aca="false">MAX(G100+IF($A101=H$4,1,-1),H100-1,G101-1)</f>
        <v>-88</v>
      </c>
      <c r="I101" s="2" t="n">
        <f aca="false">MAX(H100+IF($A101=I$4,1,-1),I100-1,H101-1)</f>
        <v>-88</v>
      </c>
      <c r="J101" s="2" t="n">
        <f aca="false">MAX(I100+IF($A101=J$4,1,-1),J100-1,I101-1)</f>
        <v>-88</v>
      </c>
      <c r="K101" s="2" t="n">
        <f aca="false">MAX(J100+IF($A101=K$4,1,-1),K100-1,J101-1)</f>
        <v>-86</v>
      </c>
      <c r="L101" s="2" t="n">
        <f aca="false">MAX(K100+IF($A101=L$4,1,-1),L100-1,K101-1)</f>
        <v>-86</v>
      </c>
      <c r="M101" s="2" t="n">
        <f aca="false">MAX(L100+IF($A101=M$4,1,-1),M100-1,L101-1)</f>
        <v>-86</v>
      </c>
      <c r="N101" s="2" t="n">
        <f aca="false">MAX(M100+IF($A101=N$4,1,-1),N100-1,M101-1)</f>
        <v>-86</v>
      </c>
      <c r="O101" s="2" t="n">
        <f aca="false">MAX(N100+IF($A101=O$4,1,-1),O100-1,N101-1)</f>
        <v>-84</v>
      </c>
      <c r="P101" s="2" t="n">
        <f aca="false">MAX(O100+IF($A101=P$4,1,-1),P100-1,O101-1)</f>
        <v>-84</v>
      </c>
      <c r="Q101" s="2" t="n">
        <f aca="false">MAX(P100+IF($A101=Q$4,1,-1),Q100-1,P101-1)</f>
        <v>-84</v>
      </c>
      <c r="R101" s="2" t="n">
        <f aca="false">MAX(Q100+IF($A101=R$4,1,-1),R100-1,Q101-1)</f>
        <v>-84</v>
      </c>
      <c r="S101" s="2" t="n">
        <f aca="false">MAX(R100+IF($A101=S$4,1,-1),S100-1,R101-1)</f>
        <v>-84</v>
      </c>
      <c r="T101" s="2" t="n">
        <f aca="false">MAX(S100+IF($A101=T$4,1,-1),T100-1,S101-1)</f>
        <v>-84</v>
      </c>
      <c r="U101" s="2" t="n">
        <f aca="false">MAX(T100+IF($A101=U$4,1,-1),U100-1,T101-1)</f>
        <v>-83</v>
      </c>
      <c r="V101" s="2" t="n">
        <f aca="false">MAX(U100+IF($A101=V$4,1,-1),V100-1,U101-1)</f>
        <v>-83</v>
      </c>
      <c r="W101" s="2" t="n">
        <f aca="false">MAX(V100+IF($A101=W$4,1,-1),W100-1,V101-1)</f>
        <v>-83</v>
      </c>
      <c r="X101" s="2" t="n">
        <f aca="false">MAX(W100+IF($A101=X$4,1,-1),X100-1,W101-1)</f>
        <v>-83</v>
      </c>
      <c r="Y101" s="2" t="n">
        <f aca="false">MAX(X100+IF($A101=Y$4,1,-1),Y100-1,X101-1)</f>
        <v>-83</v>
      </c>
      <c r="Z101" s="2" t="n">
        <f aca="false">MAX(Y100+IF($A101=Z$4,1,-1),Z100-1,Y101-1)</f>
        <v>-83</v>
      </c>
      <c r="AA101" s="2" t="n">
        <f aca="false">MAX(Z100+IF($A101=AA$4,1,-1),AA100-1,Z101-1)</f>
        <v>-83</v>
      </c>
      <c r="AB101" s="2" t="n">
        <f aca="false">MAX(AA100+IF($A101=AB$4,1,-1),AB100-1,AA101-1)</f>
        <v>-83</v>
      </c>
      <c r="AC101" s="2" t="n">
        <f aca="false">MAX(AB100+IF($A101=AC$4,1,-1),AC100-1,AB101-1)</f>
        <v>-83</v>
      </c>
      <c r="AD101" s="2" t="n">
        <f aca="false">MAX(AC100+IF($A101=AD$4,1,-1),AD100-1,AC101-1)</f>
        <v>-81</v>
      </c>
      <c r="AE101" s="2" t="n">
        <f aca="false">MAX(AD100+IF($A101=AE$4,1,-1),AE100-1,AD101-1)</f>
        <v>-81</v>
      </c>
      <c r="AF101" s="2" t="n">
        <f aca="false">MAX(AE100+IF($A101=AF$4,1,-1),AF100-1,AE101-1)</f>
        <v>-81</v>
      </c>
      <c r="AG101" s="2" t="n">
        <f aca="false">MAX(AF100+IF($A101=AG$4,1,-1),AG100-1,AF101-1)</f>
        <v>-81</v>
      </c>
      <c r="AH101" s="2" t="n">
        <f aca="false">MAX(AG100+IF($A101=AH$4,1,-1),AH100-1,AG101-1)</f>
        <v>-81</v>
      </c>
      <c r="AI101" s="2" t="n">
        <f aca="false">MAX(AH100+IF($A101=AI$4,1,-1),AI100-1,AH101-1)</f>
        <v>-81</v>
      </c>
      <c r="AJ101" s="2" t="n">
        <f aca="false">MAX(AI100+IF($A101=AJ$4,1,-1),AJ100-1,AI101-1)</f>
        <v>-81</v>
      </c>
      <c r="AK101" s="2" t="n">
        <f aca="false">MAX(AJ100+IF($A101=AK$4,1,-1),AK100-1,AJ101-1)</f>
        <v>-81</v>
      </c>
      <c r="AL101" s="2" t="n">
        <f aca="false">MAX(AK100+IF($A101=AL$4,1,-1),AL100-1,AK101-1)</f>
        <v>-81</v>
      </c>
      <c r="AM101" s="2" t="n">
        <f aca="false">MAX(AL100+IF($A101=AM$4,1,-1),AM100-1,AL101-1)</f>
        <v>-81</v>
      </c>
      <c r="AN101" s="2" t="n">
        <f aca="false">MAX(AM100+IF($A101=AN$4,1,-1),AN100-1,AM101-1)</f>
        <v>-81</v>
      </c>
      <c r="AO101" s="2" t="n">
        <f aca="false">MAX(AN100+IF($A101=AO$4,1,-1),AO100-1,AN101-1)</f>
        <v>-81</v>
      </c>
      <c r="AP101" s="2" t="n">
        <f aca="false">MAX(AO100+IF($A101=AP$4,1,-1),AP100-1,AO101-1)</f>
        <v>-81</v>
      </c>
      <c r="AQ101" s="2" t="n">
        <f aca="false">MAX(AP100+IF($A101=AQ$4,1,-1),AQ100-1,AP101-1)</f>
        <v>-82</v>
      </c>
      <c r="AR101" s="2" t="n">
        <f aca="false">MAX(AQ100+IF($A101=AR$4,1,-1),AR100-1,AQ101-1)</f>
        <v>-83</v>
      </c>
      <c r="AS101" s="2" t="n">
        <f aca="false">MAX(AR100+IF($A101=AS$4,1,-1),AS100-1,AR101-1)</f>
        <v>-83</v>
      </c>
      <c r="AT101" s="2" t="n">
        <f aca="false">MAX(AS100+IF($A101=AT$4,1,-1),AT100-1,AS101-1)</f>
        <v>-82</v>
      </c>
      <c r="AU101" s="2" t="n">
        <f aca="false">MAX(AT100+IF($A101=AU$4,1,-1),AU100-1,AT101-1)</f>
        <v>-82</v>
      </c>
      <c r="AV101" s="2" t="n">
        <f aca="false">MAX(AU100+IF($A101=AV$4,1,-1),AV100-1,AU101-1)</f>
        <v>-82</v>
      </c>
      <c r="AW101" s="2" t="n">
        <f aca="false">MAX(AV100+IF($A101=AW$4,1,-1),AW100-1,AV101-1)</f>
        <v>-82</v>
      </c>
      <c r="AX101" s="2" t="n">
        <f aca="false">MAX(AW100+IF($A101=AX$4,1,-1),AX100-1,AW101-1)</f>
        <v>-82</v>
      </c>
      <c r="AY101" s="2" t="n">
        <f aca="false">MAX(AX100+IF($A101=AY$4,1,-1),AY100-1,AX101-1)</f>
        <v>-82</v>
      </c>
      <c r="AZ101" s="2" t="n">
        <f aca="false">MAX(AY100+IF($A101=AZ$4,1,-1),AZ100-1,AY101-1)</f>
        <v>-82</v>
      </c>
      <c r="BA101" s="2" t="n">
        <f aca="false">MAX(AZ100+IF($A101=BA$4,1,-1),BA100-1,AZ101-1)</f>
        <v>-82</v>
      </c>
      <c r="BB101" s="2" t="n">
        <f aca="false">MAX(BA100+IF($A101=BB$4,1,-1),BB100-1,BA101-1)</f>
        <v>-82</v>
      </c>
      <c r="BC101" s="2" t="n">
        <f aca="false">MAX(BB100+IF($A101=BC$4,1,-1),BC100-1,BB101-1)</f>
        <v>-82</v>
      </c>
      <c r="BD101" s="2" t="n">
        <f aca="false">MAX(BC100+IF($A101=BD$4,1,-1),BD100-1,BC101-1)</f>
        <v>-82</v>
      </c>
      <c r="BE101" s="2" t="n">
        <f aca="false">MAX(BD100+IF($A101=BE$4,1,-1),BE100-1,BD101-1)</f>
        <v>-82</v>
      </c>
      <c r="BF101" s="2" t="n">
        <f aca="false">MAX(BE100+IF($A101=BF$4,1,-1),BF100-1,BE101-1)</f>
        <v>-82</v>
      </c>
      <c r="BG101" s="2" t="n">
        <f aca="false">MAX(BF100+IF($A101=BG$4,1,-1),BG100-1,BF101-1)</f>
        <v>-82</v>
      </c>
      <c r="BH101" s="2" t="n">
        <f aca="false">MAX(BG100+IF($A101=BH$4,1,-1),BH100-1,BG101-1)</f>
        <v>-82</v>
      </c>
      <c r="BI101" s="2" t="n">
        <f aca="false">MAX(BH100+IF($A101=BI$4,1,-1),BI100-1,BH101-1)</f>
        <v>-82</v>
      </c>
      <c r="BJ101" s="2" t="n">
        <f aca="false">MAX(BI100+IF($A101=BJ$4,1,-1),BJ100-1,BI101-1)</f>
        <v>-83</v>
      </c>
      <c r="BK101" s="2" t="n">
        <f aca="false">MAX(BJ100+IF($A101=BK$4,1,-1),BK100-1,BJ101-1)</f>
        <v>-84</v>
      </c>
      <c r="BL101" s="2" t="n">
        <f aca="false">MAX(BK100+IF($A101=BL$4,1,-1),BL100-1,BK101-1)</f>
        <v>-82</v>
      </c>
      <c r="BM101" s="2" t="n">
        <f aca="false">MAX(BL100+IF($A101=BM$4,1,-1),BM100-1,BL101-1)</f>
        <v>-82</v>
      </c>
      <c r="BN101" s="2" t="n">
        <f aca="false">MAX(BM100+IF($A101=BN$4,1,-1),BN100-1,BM101-1)</f>
        <v>-82</v>
      </c>
      <c r="BO101" s="2" t="n">
        <f aca="false">MAX(BN100+IF($A101=BO$4,1,-1),BO100-1,BN101-1)</f>
        <v>-82</v>
      </c>
      <c r="BP101" s="2" t="n">
        <f aca="false">MAX(BO100+IF($A101=BP$4,1,-1),BP100-1,BO101-1)</f>
        <v>-80</v>
      </c>
      <c r="BQ101" s="2" t="n">
        <f aca="false">MAX(BP100+IF($A101=BQ$4,1,-1),BQ100-1,BP101-1)</f>
        <v>-80</v>
      </c>
      <c r="BR101" s="2" t="n">
        <f aca="false">MAX(BQ100+IF($A101=BR$4,1,-1),BR100-1,BQ101-1)</f>
        <v>-80</v>
      </c>
      <c r="BS101" s="2" t="n">
        <f aca="false">MAX(BR100+IF($A101=BS$4,1,-1),BS100-1,BR101-1)</f>
        <v>-80</v>
      </c>
      <c r="BT101" s="2" t="n">
        <f aca="false">MAX(BS100+IF($A101=BT$4,1,-1),BT100-1,BS101-1)</f>
        <v>-80</v>
      </c>
      <c r="BU101" s="2" t="n">
        <f aca="false">MAX(BT100+IF($A101=BU$4,1,-1),BU100-1,BT101-1)</f>
        <v>-81</v>
      </c>
      <c r="BV101" s="2" t="n">
        <f aca="false">MAX(BU100+IF($A101=BV$4,1,-1),BV100-1,BU101-1)</f>
        <v>-82</v>
      </c>
      <c r="BW101" s="2" t="n">
        <f aca="false">MAX(BV100+IF($A101=BW$4,1,-1),BW100-1,BV101-1)</f>
        <v>-82</v>
      </c>
      <c r="BX101" s="2" t="n">
        <f aca="false">MAX(BW100+IF($A101=BX$4,1,-1),BX100-1,BW101-1)</f>
        <v>-82</v>
      </c>
      <c r="BY101" s="2" t="n">
        <f aca="false">MAX(BX100+IF($A101=BY$4,1,-1),BY100-1,BX101-1)</f>
        <v>-82</v>
      </c>
      <c r="BZ101" s="2" t="n">
        <f aca="false">MAX(BY100+IF($A101=BZ$4,1,-1),BZ100-1,BY101-1)</f>
        <v>-82</v>
      </c>
      <c r="CA101" s="2" t="n">
        <f aca="false">MAX(BZ100+IF($A101=CA$4,1,-1),CA100-1,BZ101-1)</f>
        <v>-82</v>
      </c>
      <c r="CB101" s="2" t="n">
        <f aca="false">MAX(CA100+IF($A101=CB$4,1,-1),CB100-1,CA101-1)</f>
        <v>-82</v>
      </c>
      <c r="CC101" s="2" t="n">
        <f aca="false">MAX(CB100+IF($A101=CC$4,1,-1),CC100-1,CB101-1)</f>
        <v>-82</v>
      </c>
      <c r="CD101" s="2" t="n">
        <f aca="false">MAX(CC100+IF($A101=CD$4,1,-1),CD100-1,CC101-1)</f>
        <v>-82</v>
      </c>
      <c r="CE101" s="2" t="n">
        <f aca="false">MAX(CD100+IF($A101=CE$4,1,-1),CE100-1,CD101-1)</f>
        <v>-82</v>
      </c>
      <c r="CF101" s="2" t="n">
        <f aca="false">MAX(CE100+IF($A101=CF$4,1,-1),CF100-1,CE101-1)</f>
        <v>-83</v>
      </c>
      <c r="CG101" s="2" t="n">
        <f aca="false">MAX(CF100+IF($A101=CG$4,1,-1),CG100-1,CF101-1)</f>
        <v>-84</v>
      </c>
      <c r="CH101" s="2" t="n">
        <f aca="false">MAX(CG100+IF($A101=CH$4,1,-1),CH100-1,CG101-1)</f>
        <v>-84</v>
      </c>
      <c r="CI101" s="2" t="n">
        <f aca="false">MAX(CH100+IF($A101=CI$4,1,-1),CI100-1,CH101-1)</f>
        <v>-85</v>
      </c>
      <c r="CJ101" s="2" t="n">
        <f aca="false">MAX(CI100+IF($A101=CJ$4,1,-1),CJ100-1,CI101-1)</f>
        <v>-85</v>
      </c>
      <c r="CK101" s="2" t="n">
        <f aca="false">MAX(CJ100+IF($A101=CK$4,1,-1),CK100-1,CJ101-1)</f>
        <v>-85</v>
      </c>
      <c r="CL101" s="2" t="n">
        <f aca="false">MAX(CK100+IF($A101=CL$4,1,-1),CL100-1,CK101-1)</f>
        <v>-85</v>
      </c>
      <c r="CM101" s="2" t="n">
        <f aca="false">MAX(CL100+IF($A101=CM$4,1,-1),CM100-1,CL101-1)</f>
        <v>-85</v>
      </c>
      <c r="CN101" s="2" t="n">
        <f aca="false">MAX(CM100+IF($A101=CN$4,1,-1),CN100-1,CM101-1)</f>
        <v>-85</v>
      </c>
      <c r="CO101" s="2" t="n">
        <f aca="false">MAX(CN100+IF($A101=CO$4,1,-1),CO100-1,CN101-1)</f>
        <v>-86</v>
      </c>
      <c r="CP101" s="2" t="n">
        <f aca="false">MAX(CO100+IF($A101=CP$4,1,-1),CP100-1,CO101-1)</f>
        <v>-87</v>
      </c>
      <c r="CQ101" s="2" t="n">
        <f aca="false">MAX(CP100+IF($A101=CQ$4,1,-1),CQ100-1,CP101-1)</f>
        <v>-87</v>
      </c>
    </row>
    <row r="102" customFormat="false" ht="15" hidden="false" customHeight="false" outlineLevel="0" collapsed="false">
      <c r="A102" s="4" t="s">
        <v>204</v>
      </c>
      <c r="B102" s="12" t="n">
        <v>-97</v>
      </c>
      <c r="C102" s="2" t="n">
        <f aca="false">MAX(B101+IF($A102=C$4,1,-1),C101-1,B102-1)</f>
        <v>-97</v>
      </c>
      <c r="D102" s="2" t="n">
        <f aca="false">MAX(C101+IF($A102=D$4,1,-1),D101-1,C102-1)</f>
        <v>-95</v>
      </c>
      <c r="E102" s="2" t="n">
        <f aca="false">MAX(D101+IF($A102=E$4,1,-1),E101-1,D102-1)</f>
        <v>-93</v>
      </c>
      <c r="F102" s="2" t="n">
        <f aca="false">MAX(E101+IF($A102=F$4,1,-1),F101-1,E102-1)</f>
        <v>-91</v>
      </c>
      <c r="G102" s="2" t="n">
        <f aca="false">MAX(F101+IF($A102=G$4,1,-1),G101-1,F102-1)</f>
        <v>-89</v>
      </c>
      <c r="H102" s="2" t="n">
        <f aca="false">MAX(G101+IF($A102=H$4,1,-1),H101-1,G102-1)</f>
        <v>-89</v>
      </c>
      <c r="I102" s="2" t="n">
        <f aca="false">MAX(H101+IF($A102=I$4,1,-1),I101-1,H102-1)</f>
        <v>-89</v>
      </c>
      <c r="J102" s="2" t="n">
        <f aca="false">MAX(I101+IF($A102=J$4,1,-1),J101-1,I102-1)</f>
        <v>-89</v>
      </c>
      <c r="K102" s="2" t="n">
        <f aca="false">MAX(J101+IF($A102=K$4,1,-1),K101-1,J102-1)</f>
        <v>-87</v>
      </c>
      <c r="L102" s="2" t="n">
        <f aca="false">MAX(K101+IF($A102=L$4,1,-1),L101-1,K102-1)</f>
        <v>-87</v>
      </c>
      <c r="M102" s="2" t="n">
        <f aca="false">MAX(L101+IF($A102=M$4,1,-1),M101-1,L102-1)</f>
        <v>-87</v>
      </c>
      <c r="N102" s="2" t="n">
        <f aca="false">MAX(M101+IF($A102=N$4,1,-1),N101-1,M102-1)</f>
        <v>-87</v>
      </c>
      <c r="O102" s="2" t="n">
        <f aca="false">MAX(N101+IF($A102=O$4,1,-1),O101-1,N102-1)</f>
        <v>-85</v>
      </c>
      <c r="P102" s="2" t="n">
        <f aca="false">MAX(O101+IF($A102=P$4,1,-1),P101-1,O102-1)</f>
        <v>-85</v>
      </c>
      <c r="Q102" s="2" t="n">
        <f aca="false">MAX(P101+IF($A102=Q$4,1,-1),Q101-1,P102-1)</f>
        <v>-85</v>
      </c>
      <c r="R102" s="2" t="n">
        <f aca="false">MAX(Q101+IF($A102=R$4,1,-1),R101-1,Q102-1)</f>
        <v>-85</v>
      </c>
      <c r="S102" s="2" t="n">
        <f aca="false">MAX(R101+IF($A102=S$4,1,-1),S101-1,R102-1)</f>
        <v>-85</v>
      </c>
      <c r="T102" s="2" t="n">
        <f aca="false">MAX(S101+IF($A102=T$4,1,-1),T101-1,S102-1)</f>
        <v>-85</v>
      </c>
      <c r="U102" s="2" t="n">
        <f aca="false">MAX(T101+IF($A102=U$4,1,-1),U101-1,T102-1)</f>
        <v>-84</v>
      </c>
      <c r="V102" s="2" t="n">
        <f aca="false">MAX(U101+IF($A102=V$4,1,-1),V101-1,U102-1)</f>
        <v>-84</v>
      </c>
      <c r="W102" s="2" t="n">
        <f aca="false">MAX(V101+IF($A102=W$4,1,-1),W101-1,V102-1)</f>
        <v>-84</v>
      </c>
      <c r="X102" s="2" t="n">
        <f aca="false">MAX(W101+IF($A102=X$4,1,-1),X101-1,W102-1)</f>
        <v>-84</v>
      </c>
      <c r="Y102" s="2" t="n">
        <f aca="false">MAX(X101+IF($A102=Y$4,1,-1),Y101-1,X102-1)</f>
        <v>-84</v>
      </c>
      <c r="Z102" s="2" t="n">
        <f aca="false">MAX(Y101+IF($A102=Z$4,1,-1),Z101-1,Y102-1)</f>
        <v>-84</v>
      </c>
      <c r="AA102" s="2" t="n">
        <f aca="false">MAX(Z101+IF($A102=AA$4,1,-1),AA101-1,Z102-1)</f>
        <v>-84</v>
      </c>
      <c r="AB102" s="2" t="n">
        <f aca="false">MAX(AA101+IF($A102=AB$4,1,-1),AB101-1,AA102-1)</f>
        <v>-84</v>
      </c>
      <c r="AC102" s="2" t="n">
        <f aca="false">MAX(AB101+IF($A102=AC$4,1,-1),AC101-1,AB102-1)</f>
        <v>-84</v>
      </c>
      <c r="AD102" s="2" t="n">
        <f aca="false">MAX(AC101+IF($A102=AD$4,1,-1),AD101-1,AC102-1)</f>
        <v>-82</v>
      </c>
      <c r="AE102" s="2" t="n">
        <f aca="false">MAX(AD101+IF($A102=AE$4,1,-1),AE101-1,AD102-1)</f>
        <v>-82</v>
      </c>
      <c r="AF102" s="2" t="n">
        <f aca="false">MAX(AE101+IF($A102=AF$4,1,-1),AF101-1,AE102-1)</f>
        <v>-82</v>
      </c>
      <c r="AG102" s="2" t="n">
        <f aca="false">MAX(AF101+IF($A102=AG$4,1,-1),AG101-1,AF102-1)</f>
        <v>-82</v>
      </c>
      <c r="AH102" s="2" t="n">
        <f aca="false">MAX(AG101+IF($A102=AH$4,1,-1),AH101-1,AG102-1)</f>
        <v>-82</v>
      </c>
      <c r="AI102" s="2" t="n">
        <f aca="false">MAX(AH101+IF($A102=AI$4,1,-1),AI101-1,AH102-1)</f>
        <v>-82</v>
      </c>
      <c r="AJ102" s="2" t="n">
        <f aca="false">MAX(AI101+IF($A102=AJ$4,1,-1),AJ101-1,AI102-1)</f>
        <v>-82</v>
      </c>
      <c r="AK102" s="2" t="n">
        <f aca="false">MAX(AJ101+IF($A102=AK$4,1,-1),AK101-1,AJ102-1)</f>
        <v>-82</v>
      </c>
      <c r="AL102" s="2" t="n">
        <f aca="false">MAX(AK101+IF($A102=AL$4,1,-1),AL101-1,AK102-1)</f>
        <v>-82</v>
      </c>
      <c r="AM102" s="2" t="n">
        <f aca="false">MAX(AL101+IF($A102=AM$4,1,-1),AM101-1,AL102-1)</f>
        <v>-82</v>
      </c>
      <c r="AN102" s="2" t="n">
        <f aca="false">MAX(AM101+IF($A102=AN$4,1,-1),AN101-1,AM102-1)</f>
        <v>-82</v>
      </c>
      <c r="AO102" s="2" t="n">
        <f aca="false">MAX(AN101+IF($A102=AO$4,1,-1),AO101-1,AN102-1)</f>
        <v>-82</v>
      </c>
      <c r="AP102" s="2" t="n">
        <f aca="false">MAX(AO101+IF($A102=AP$4,1,-1),AP101-1,AO102-1)</f>
        <v>-82</v>
      </c>
      <c r="AQ102" s="2" t="n">
        <f aca="false">MAX(AP101+IF($A102=AQ$4,1,-1),AQ101-1,AP102-1)</f>
        <v>-82</v>
      </c>
      <c r="AR102" s="2" t="n">
        <f aca="false">MAX(AQ101+IF($A102=AR$4,1,-1),AR101-1,AQ102-1)</f>
        <v>-83</v>
      </c>
      <c r="AS102" s="2" t="n">
        <f aca="false">MAX(AR101+IF($A102=AS$4,1,-1),AS101-1,AR102-1)</f>
        <v>-84</v>
      </c>
      <c r="AT102" s="2" t="n">
        <f aca="false">MAX(AS101+IF($A102=AT$4,1,-1),AT101-1,AS102-1)</f>
        <v>-83</v>
      </c>
      <c r="AU102" s="2" t="n">
        <f aca="false">MAX(AT101+IF($A102=AU$4,1,-1),AU101-1,AT102-1)</f>
        <v>-83</v>
      </c>
      <c r="AV102" s="2" t="n">
        <f aca="false">MAX(AU101+IF($A102=AV$4,1,-1),AV101-1,AU102-1)</f>
        <v>-83</v>
      </c>
      <c r="AW102" s="2" t="n">
        <f aca="false">MAX(AV101+IF($A102=AW$4,1,-1),AW101-1,AV102-1)</f>
        <v>-83</v>
      </c>
      <c r="AX102" s="2" t="n">
        <f aca="false">MAX(AW101+IF($A102=AX$4,1,-1),AX101-1,AW102-1)</f>
        <v>-83</v>
      </c>
      <c r="AY102" s="2" t="n">
        <f aca="false">MAX(AX101+IF($A102=AY$4,1,-1),AY101-1,AX102-1)</f>
        <v>-83</v>
      </c>
      <c r="AZ102" s="2" t="n">
        <f aca="false">MAX(AY101+IF($A102=AZ$4,1,-1),AZ101-1,AY102-1)</f>
        <v>-83</v>
      </c>
      <c r="BA102" s="2" t="n">
        <f aca="false">MAX(AZ101+IF($A102=BA$4,1,-1),BA101-1,AZ102-1)</f>
        <v>-83</v>
      </c>
      <c r="BB102" s="2" t="n">
        <f aca="false">MAX(BA101+IF($A102=BB$4,1,-1),BB101-1,BA102-1)</f>
        <v>-83</v>
      </c>
      <c r="BC102" s="2" t="n">
        <f aca="false">MAX(BB101+IF($A102=BC$4,1,-1),BC101-1,BB102-1)</f>
        <v>-83</v>
      </c>
      <c r="BD102" s="2" t="n">
        <f aca="false">MAX(BC101+IF($A102=BD$4,1,-1),BD101-1,BC102-1)</f>
        <v>-83</v>
      </c>
      <c r="BE102" s="2" t="n">
        <f aca="false">MAX(BD101+IF($A102=BE$4,1,-1),BE101-1,BD102-1)</f>
        <v>-83</v>
      </c>
      <c r="BF102" s="2" t="n">
        <f aca="false">MAX(BE101+IF($A102=BF$4,1,-1),BF101-1,BE102-1)</f>
        <v>-83</v>
      </c>
      <c r="BG102" s="2" t="n">
        <f aca="false">MAX(BF101+IF($A102=BG$4,1,-1),BG101-1,BF102-1)</f>
        <v>-83</v>
      </c>
      <c r="BH102" s="2" t="n">
        <f aca="false">MAX(BG101+IF($A102=BH$4,1,-1),BH101-1,BG102-1)</f>
        <v>-83</v>
      </c>
      <c r="BI102" s="2" t="n">
        <f aca="false">MAX(BH101+IF($A102=BI$4,1,-1),BI101-1,BH102-1)</f>
        <v>-83</v>
      </c>
      <c r="BJ102" s="2" t="n">
        <f aca="false">MAX(BI101+IF($A102=BJ$4,1,-1),BJ101-1,BI102-1)</f>
        <v>-83</v>
      </c>
      <c r="BK102" s="2" t="n">
        <f aca="false">MAX(BJ101+IF($A102=BK$4,1,-1),BK101-1,BJ102-1)</f>
        <v>-84</v>
      </c>
      <c r="BL102" s="2" t="n">
        <f aca="false">MAX(BK101+IF($A102=BL$4,1,-1),BL101-1,BK102-1)</f>
        <v>-83</v>
      </c>
      <c r="BM102" s="2" t="n">
        <f aca="false">MAX(BL101+IF($A102=BM$4,1,-1),BM101-1,BL102-1)</f>
        <v>-83</v>
      </c>
      <c r="BN102" s="2" t="n">
        <f aca="false">MAX(BM101+IF($A102=BN$4,1,-1),BN101-1,BM102-1)</f>
        <v>-83</v>
      </c>
      <c r="BO102" s="2" t="n">
        <f aca="false">MAX(BN101+IF($A102=BO$4,1,-1),BO101-1,BN102-1)</f>
        <v>-83</v>
      </c>
      <c r="BP102" s="2" t="n">
        <f aca="false">MAX(BO101+IF($A102=BP$4,1,-1),BP101-1,BO102-1)</f>
        <v>-81</v>
      </c>
      <c r="BQ102" s="2" t="n">
        <f aca="false">MAX(BP101+IF($A102=BQ$4,1,-1),BQ101-1,BP102-1)</f>
        <v>-81</v>
      </c>
      <c r="BR102" s="2" t="n">
        <f aca="false">MAX(BQ101+IF($A102=BR$4,1,-1),BR101-1,BQ102-1)</f>
        <v>-81</v>
      </c>
      <c r="BS102" s="2" t="n">
        <f aca="false">MAX(BR101+IF($A102=BS$4,1,-1),BS101-1,BR102-1)</f>
        <v>-81</v>
      </c>
      <c r="BT102" s="2" t="n">
        <f aca="false">MAX(BS101+IF($A102=BT$4,1,-1),BT101-1,BS102-1)</f>
        <v>-81</v>
      </c>
      <c r="BU102" s="2" t="n">
        <f aca="false">MAX(BT101+IF($A102=BU$4,1,-1),BU101-1,BT102-1)</f>
        <v>-81</v>
      </c>
      <c r="BV102" s="2" t="n">
        <f aca="false">MAX(BU101+IF($A102=BV$4,1,-1),BV101-1,BU102-1)</f>
        <v>-82</v>
      </c>
      <c r="BW102" s="2" t="n">
        <f aca="false">MAX(BV101+IF($A102=BW$4,1,-1),BW101-1,BV102-1)</f>
        <v>-83</v>
      </c>
      <c r="BX102" s="2" t="n">
        <f aca="false">MAX(BW101+IF($A102=BX$4,1,-1),BX101-1,BW102-1)</f>
        <v>-83</v>
      </c>
      <c r="BY102" s="2" t="n">
        <f aca="false">MAX(BX101+IF($A102=BY$4,1,-1),BY101-1,BX102-1)</f>
        <v>-83</v>
      </c>
      <c r="BZ102" s="2" t="n">
        <f aca="false">MAX(BY101+IF($A102=BZ$4,1,-1),BZ101-1,BY102-1)</f>
        <v>-83</v>
      </c>
      <c r="CA102" s="2" t="n">
        <f aca="false">MAX(BZ101+IF($A102=CA$4,1,-1),CA101-1,BZ102-1)</f>
        <v>-83</v>
      </c>
      <c r="CB102" s="2" t="n">
        <f aca="false">MAX(CA101+IF($A102=CB$4,1,-1),CB101-1,CA102-1)</f>
        <v>-83</v>
      </c>
      <c r="CC102" s="2" t="n">
        <f aca="false">MAX(CB101+IF($A102=CC$4,1,-1),CC101-1,CB102-1)</f>
        <v>-83</v>
      </c>
      <c r="CD102" s="2" t="n">
        <f aca="false">MAX(CC101+IF($A102=CD$4,1,-1),CD101-1,CC102-1)</f>
        <v>-83</v>
      </c>
      <c r="CE102" s="2" t="n">
        <f aca="false">MAX(CD101+IF($A102=CE$4,1,-1),CE101-1,CD102-1)</f>
        <v>-83</v>
      </c>
      <c r="CF102" s="2" t="n">
        <f aca="false">MAX(CE101+IF($A102=CF$4,1,-1),CF101-1,CE102-1)</f>
        <v>-83</v>
      </c>
      <c r="CG102" s="2" t="n">
        <f aca="false">MAX(CF101+IF($A102=CG$4,1,-1),CG101-1,CF102-1)</f>
        <v>-84</v>
      </c>
      <c r="CH102" s="2" t="n">
        <f aca="false">MAX(CG101+IF($A102=CH$4,1,-1),CH101-1,CG102-1)</f>
        <v>-85</v>
      </c>
      <c r="CI102" s="2" t="n">
        <f aca="false">MAX(CH101+IF($A102=CI$4,1,-1),CI101-1,CH102-1)</f>
        <v>-85</v>
      </c>
      <c r="CJ102" s="2" t="n">
        <f aca="false">MAX(CI101+IF($A102=CJ$4,1,-1),CJ101-1,CI102-1)</f>
        <v>-86</v>
      </c>
      <c r="CK102" s="2" t="n">
        <f aca="false">MAX(CJ101+IF($A102=CK$4,1,-1),CK101-1,CJ102-1)</f>
        <v>-86</v>
      </c>
      <c r="CL102" s="2" t="n">
        <f aca="false">MAX(CK101+IF($A102=CL$4,1,-1),CL101-1,CK102-1)</f>
        <v>-86</v>
      </c>
      <c r="CM102" s="2" t="n">
        <f aca="false">MAX(CL101+IF($A102=CM$4,1,-1),CM101-1,CL102-1)</f>
        <v>-86</v>
      </c>
      <c r="CN102" s="2" t="n">
        <f aca="false">MAX(CM101+IF($A102=CN$4,1,-1),CN101-1,CM102-1)</f>
        <v>-86</v>
      </c>
      <c r="CO102" s="2" t="n">
        <f aca="false">MAX(CN101+IF($A102=CO$4,1,-1),CO101-1,CN102-1)</f>
        <v>-86</v>
      </c>
      <c r="CP102" s="2" t="n">
        <f aca="false">MAX(CO101+IF($A102=CP$4,1,-1),CP101-1,CO102-1)</f>
        <v>-87</v>
      </c>
      <c r="CQ102" s="2" t="n">
        <f aca="false">MAX(CP101+IF($A102=CQ$4,1,-1),CQ101-1,CP102-1)</f>
        <v>-88</v>
      </c>
    </row>
    <row r="103" customFormat="false" ht="15" hidden="false" customHeight="false" outlineLevel="0" collapsed="false">
      <c r="A103" s="4" t="s">
        <v>205</v>
      </c>
      <c r="B103" s="12" t="n">
        <v>-98</v>
      </c>
      <c r="C103" s="2" t="n">
        <f aca="false">MAX(B102+IF($A103=C$4,1,-1),C102-1,B103-1)</f>
        <v>-98</v>
      </c>
      <c r="D103" s="2" t="n">
        <f aca="false">MAX(C102+IF($A103=D$4,1,-1),D102-1,C103-1)</f>
        <v>-96</v>
      </c>
      <c r="E103" s="2" t="n">
        <f aca="false">MAX(D102+IF($A103=E$4,1,-1),E102-1,D103-1)</f>
        <v>-94</v>
      </c>
      <c r="F103" s="2" t="n">
        <f aca="false">MAX(E102+IF($A103=F$4,1,-1),F102-1,E103-1)</f>
        <v>-92</v>
      </c>
      <c r="G103" s="2" t="n">
        <f aca="false">MAX(F102+IF($A103=G$4,1,-1),G102-1,F103-1)</f>
        <v>-90</v>
      </c>
      <c r="H103" s="2" t="n">
        <f aca="false">MAX(G102+IF($A103=H$4,1,-1),H102-1,G103-1)</f>
        <v>-90</v>
      </c>
      <c r="I103" s="2" t="n">
        <f aca="false">MAX(H102+IF($A103=I$4,1,-1),I102-1,H103-1)</f>
        <v>-90</v>
      </c>
      <c r="J103" s="2" t="n">
        <f aca="false">MAX(I102+IF($A103=J$4,1,-1),J102-1,I103-1)</f>
        <v>-90</v>
      </c>
      <c r="K103" s="2" t="n">
        <f aca="false">MAX(J102+IF($A103=K$4,1,-1),K102-1,J103-1)</f>
        <v>-88</v>
      </c>
      <c r="L103" s="2" t="n">
        <f aca="false">MAX(K102+IF($A103=L$4,1,-1),L102-1,K103-1)</f>
        <v>-88</v>
      </c>
      <c r="M103" s="2" t="n">
        <f aca="false">MAX(L102+IF($A103=M$4,1,-1),M102-1,L103-1)</f>
        <v>-88</v>
      </c>
      <c r="N103" s="2" t="n">
        <f aca="false">MAX(M102+IF($A103=N$4,1,-1),N102-1,M103-1)</f>
        <v>-88</v>
      </c>
      <c r="O103" s="2" t="n">
        <f aca="false">MAX(N102+IF($A103=O$4,1,-1),O102-1,N103-1)</f>
        <v>-86</v>
      </c>
      <c r="P103" s="2" t="n">
        <f aca="false">MAX(O102+IF($A103=P$4,1,-1),P102-1,O103-1)</f>
        <v>-86</v>
      </c>
      <c r="Q103" s="2" t="n">
        <f aca="false">MAX(P102+IF($A103=Q$4,1,-1),Q102-1,P103-1)</f>
        <v>-86</v>
      </c>
      <c r="R103" s="2" t="n">
        <f aca="false">MAX(Q102+IF($A103=R$4,1,-1),R102-1,Q103-1)</f>
        <v>-86</v>
      </c>
      <c r="S103" s="2" t="n">
        <f aca="false">MAX(R102+IF($A103=S$4,1,-1),S102-1,R103-1)</f>
        <v>-86</v>
      </c>
      <c r="T103" s="2" t="n">
        <f aca="false">MAX(S102+IF($A103=T$4,1,-1),T102-1,S103-1)</f>
        <v>-86</v>
      </c>
      <c r="U103" s="2" t="n">
        <f aca="false">MAX(T102+IF($A103=U$4,1,-1),U102-1,T103-1)</f>
        <v>-85</v>
      </c>
      <c r="V103" s="2" t="n">
        <f aca="false">MAX(U102+IF($A103=V$4,1,-1),V102-1,U103-1)</f>
        <v>-85</v>
      </c>
      <c r="W103" s="2" t="n">
        <f aca="false">MAX(V102+IF($A103=W$4,1,-1),W102-1,V103-1)</f>
        <v>-85</v>
      </c>
      <c r="X103" s="2" t="n">
        <f aca="false">MAX(W102+IF($A103=X$4,1,-1),X102-1,W103-1)</f>
        <v>-85</v>
      </c>
      <c r="Y103" s="2" t="n">
        <f aca="false">MAX(X102+IF($A103=Y$4,1,-1),Y102-1,X103-1)</f>
        <v>-85</v>
      </c>
      <c r="Z103" s="2" t="n">
        <f aca="false">MAX(Y102+IF($A103=Z$4,1,-1),Z102-1,Y103-1)</f>
        <v>-85</v>
      </c>
      <c r="AA103" s="2" t="n">
        <f aca="false">MAX(Z102+IF($A103=AA$4,1,-1),AA102-1,Z103-1)</f>
        <v>-85</v>
      </c>
      <c r="AB103" s="2" t="n">
        <f aca="false">MAX(AA102+IF($A103=AB$4,1,-1),AB102-1,AA103-1)</f>
        <v>-85</v>
      </c>
      <c r="AC103" s="2" t="n">
        <f aca="false">MAX(AB102+IF($A103=AC$4,1,-1),AC102-1,AB103-1)</f>
        <v>-85</v>
      </c>
      <c r="AD103" s="2" t="n">
        <f aca="false">MAX(AC102+IF($A103=AD$4,1,-1),AD102-1,AC103-1)</f>
        <v>-83</v>
      </c>
      <c r="AE103" s="2" t="n">
        <f aca="false">MAX(AD102+IF($A103=AE$4,1,-1),AE102-1,AD103-1)</f>
        <v>-83</v>
      </c>
      <c r="AF103" s="2" t="n">
        <f aca="false">MAX(AE102+IF($A103=AF$4,1,-1),AF102-1,AE103-1)</f>
        <v>-83</v>
      </c>
      <c r="AG103" s="2" t="n">
        <f aca="false">MAX(AF102+IF($A103=AG$4,1,-1),AG102-1,AF103-1)</f>
        <v>-83</v>
      </c>
      <c r="AH103" s="2" t="n">
        <f aca="false">MAX(AG102+IF($A103=AH$4,1,-1),AH102-1,AG103-1)</f>
        <v>-83</v>
      </c>
      <c r="AI103" s="2" t="n">
        <f aca="false">MAX(AH102+IF($A103=AI$4,1,-1),AI102-1,AH103-1)</f>
        <v>-83</v>
      </c>
      <c r="AJ103" s="2" t="n">
        <f aca="false">MAX(AI102+IF($A103=AJ$4,1,-1),AJ102-1,AI103-1)</f>
        <v>-83</v>
      </c>
      <c r="AK103" s="2" t="n">
        <f aca="false">MAX(AJ102+IF($A103=AK$4,1,-1),AK102-1,AJ103-1)</f>
        <v>-83</v>
      </c>
      <c r="AL103" s="2" t="n">
        <f aca="false">MAX(AK102+IF($A103=AL$4,1,-1),AL102-1,AK103-1)</f>
        <v>-83</v>
      </c>
      <c r="AM103" s="2" t="n">
        <f aca="false">MAX(AL102+IF($A103=AM$4,1,-1),AM102-1,AL103-1)</f>
        <v>-83</v>
      </c>
      <c r="AN103" s="2" t="n">
        <f aca="false">MAX(AM102+IF($A103=AN$4,1,-1),AN102-1,AM103-1)</f>
        <v>-83</v>
      </c>
      <c r="AO103" s="2" t="n">
        <f aca="false">MAX(AN102+IF($A103=AO$4,1,-1),AO102-1,AN103-1)</f>
        <v>-83</v>
      </c>
      <c r="AP103" s="2" t="n">
        <f aca="false">MAX(AO102+IF($A103=AP$4,1,-1),AP102-1,AO103-1)</f>
        <v>-83</v>
      </c>
      <c r="AQ103" s="2" t="n">
        <f aca="false">MAX(AP102+IF($A103=AQ$4,1,-1),AQ102-1,AP103-1)</f>
        <v>-83</v>
      </c>
      <c r="AR103" s="2" t="n">
        <f aca="false">MAX(AQ102+IF($A103=AR$4,1,-1),AR102-1,AQ103-1)</f>
        <v>-83</v>
      </c>
      <c r="AS103" s="2" t="n">
        <f aca="false">MAX(AR102+IF($A103=AS$4,1,-1),AS102-1,AR103-1)</f>
        <v>-84</v>
      </c>
      <c r="AT103" s="2" t="n">
        <f aca="false">MAX(AS102+IF($A103=AT$4,1,-1),AT102-1,AS103-1)</f>
        <v>-84</v>
      </c>
      <c r="AU103" s="2" t="n">
        <f aca="false">MAX(AT102+IF($A103=AU$4,1,-1),AU102-1,AT103-1)</f>
        <v>-84</v>
      </c>
      <c r="AV103" s="2" t="n">
        <f aca="false">MAX(AU102+IF($A103=AV$4,1,-1),AV102-1,AU103-1)</f>
        <v>-84</v>
      </c>
      <c r="AW103" s="2" t="n">
        <f aca="false">MAX(AV102+IF($A103=AW$4,1,-1),AW102-1,AV103-1)</f>
        <v>-84</v>
      </c>
      <c r="AX103" s="2" t="n">
        <f aca="false">MAX(AW102+IF($A103=AX$4,1,-1),AX102-1,AW103-1)</f>
        <v>-84</v>
      </c>
      <c r="AY103" s="2" t="n">
        <f aca="false">MAX(AX102+IF($A103=AY$4,1,-1),AY102-1,AX103-1)</f>
        <v>-84</v>
      </c>
      <c r="AZ103" s="2" t="n">
        <f aca="false">MAX(AY102+IF($A103=AZ$4,1,-1),AZ102-1,AY103-1)</f>
        <v>-84</v>
      </c>
      <c r="BA103" s="2" t="n">
        <f aca="false">MAX(AZ102+IF($A103=BA$4,1,-1),BA102-1,AZ103-1)</f>
        <v>-84</v>
      </c>
      <c r="BB103" s="2" t="n">
        <f aca="false">MAX(BA102+IF($A103=BB$4,1,-1),BB102-1,BA103-1)</f>
        <v>-84</v>
      </c>
      <c r="BC103" s="2" t="n">
        <f aca="false">MAX(BB102+IF($A103=BC$4,1,-1),BC102-1,BB103-1)</f>
        <v>-84</v>
      </c>
      <c r="BD103" s="2" t="n">
        <f aca="false">MAX(BC102+IF($A103=BD$4,1,-1),BD102-1,BC103-1)</f>
        <v>-84</v>
      </c>
      <c r="BE103" s="2" t="n">
        <f aca="false">MAX(BD102+IF($A103=BE$4,1,-1),BE102-1,BD103-1)</f>
        <v>-84</v>
      </c>
      <c r="BF103" s="2" t="n">
        <f aca="false">MAX(BE102+IF($A103=BF$4,1,-1),BF102-1,BE103-1)</f>
        <v>-84</v>
      </c>
      <c r="BG103" s="2" t="n">
        <f aca="false">MAX(BF102+IF($A103=BG$4,1,-1),BG102-1,BF103-1)</f>
        <v>-84</v>
      </c>
      <c r="BH103" s="2" t="n">
        <f aca="false">MAX(BG102+IF($A103=BH$4,1,-1),BH102-1,BG103-1)</f>
        <v>-84</v>
      </c>
      <c r="BI103" s="2" t="n">
        <f aca="false">MAX(BH102+IF($A103=BI$4,1,-1),BI102-1,BH103-1)</f>
        <v>-84</v>
      </c>
      <c r="BJ103" s="2" t="n">
        <f aca="false">MAX(BI102+IF($A103=BJ$4,1,-1),BJ102-1,BI103-1)</f>
        <v>-84</v>
      </c>
      <c r="BK103" s="2" t="n">
        <f aca="false">MAX(BJ102+IF($A103=BK$4,1,-1),BK102-1,BJ103-1)</f>
        <v>-84</v>
      </c>
      <c r="BL103" s="2" t="n">
        <f aca="false">MAX(BK102+IF($A103=BL$4,1,-1),BL102-1,BK103-1)</f>
        <v>-84</v>
      </c>
      <c r="BM103" s="2" t="n">
        <f aca="false">MAX(BL102+IF($A103=BM$4,1,-1),BM102-1,BL103-1)</f>
        <v>-84</v>
      </c>
      <c r="BN103" s="2" t="n">
        <f aca="false">MAX(BM102+IF($A103=BN$4,1,-1),BN102-1,BM103-1)</f>
        <v>-84</v>
      </c>
      <c r="BO103" s="2" t="n">
        <f aca="false">MAX(BN102+IF($A103=BO$4,1,-1),BO102-1,BN103-1)</f>
        <v>-84</v>
      </c>
      <c r="BP103" s="2" t="n">
        <f aca="false">MAX(BO102+IF($A103=BP$4,1,-1),BP102-1,BO103-1)</f>
        <v>-82</v>
      </c>
      <c r="BQ103" s="2" t="n">
        <f aca="false">MAX(BP102+IF($A103=BQ$4,1,-1),BQ102-1,BP103-1)</f>
        <v>-82</v>
      </c>
      <c r="BR103" s="2" t="n">
        <f aca="false">MAX(BQ102+IF($A103=BR$4,1,-1),BR102-1,BQ103-1)</f>
        <v>-82</v>
      </c>
      <c r="BS103" s="2" t="n">
        <f aca="false">MAX(BR102+IF($A103=BS$4,1,-1),BS102-1,BR103-1)</f>
        <v>-82</v>
      </c>
      <c r="BT103" s="2" t="n">
        <f aca="false">MAX(BS102+IF($A103=BT$4,1,-1),BT102-1,BS103-1)</f>
        <v>-82</v>
      </c>
      <c r="BU103" s="2" t="n">
        <f aca="false">MAX(BT102+IF($A103=BU$4,1,-1),BU102-1,BT103-1)</f>
        <v>-82</v>
      </c>
      <c r="BV103" s="2" t="n">
        <f aca="false">MAX(BU102+IF($A103=BV$4,1,-1),BV102-1,BU103-1)</f>
        <v>-82</v>
      </c>
      <c r="BW103" s="2" t="n">
        <f aca="false">MAX(BV102+IF($A103=BW$4,1,-1),BW102-1,BV103-1)</f>
        <v>-83</v>
      </c>
      <c r="BX103" s="2" t="n">
        <f aca="false">MAX(BW102+IF($A103=BX$4,1,-1),BX102-1,BW103-1)</f>
        <v>-84</v>
      </c>
      <c r="BY103" s="2" t="n">
        <f aca="false">MAX(BX102+IF($A103=BY$4,1,-1),BY102-1,BX103-1)</f>
        <v>-84</v>
      </c>
      <c r="BZ103" s="2" t="n">
        <f aca="false">MAX(BY102+IF($A103=BZ$4,1,-1),BZ102-1,BY103-1)</f>
        <v>-84</v>
      </c>
      <c r="CA103" s="2" t="n">
        <f aca="false">MAX(BZ102+IF($A103=CA$4,1,-1),CA102-1,BZ103-1)</f>
        <v>-84</v>
      </c>
      <c r="CB103" s="2" t="n">
        <f aca="false">MAX(CA102+IF($A103=CB$4,1,-1),CB102-1,CA103-1)</f>
        <v>-84</v>
      </c>
      <c r="CC103" s="2" t="n">
        <f aca="false">MAX(CB102+IF($A103=CC$4,1,-1),CC102-1,CB103-1)</f>
        <v>-84</v>
      </c>
      <c r="CD103" s="2" t="n">
        <f aca="false">MAX(CC102+IF($A103=CD$4,1,-1),CD102-1,CC103-1)</f>
        <v>-84</v>
      </c>
      <c r="CE103" s="2" t="n">
        <f aca="false">MAX(CD102+IF($A103=CE$4,1,-1),CE102-1,CD103-1)</f>
        <v>-84</v>
      </c>
      <c r="CF103" s="2" t="n">
        <f aca="false">MAX(CE102+IF($A103=CF$4,1,-1),CF102-1,CE103-1)</f>
        <v>-84</v>
      </c>
      <c r="CG103" s="2" t="n">
        <f aca="false">MAX(CF102+IF($A103=CG$4,1,-1),CG102-1,CF103-1)</f>
        <v>-84</v>
      </c>
      <c r="CH103" s="2" t="n">
        <f aca="false">MAX(CG102+IF($A103=CH$4,1,-1),CH102-1,CG103-1)</f>
        <v>-85</v>
      </c>
      <c r="CI103" s="2" t="n">
        <f aca="false">MAX(CH102+IF($A103=CI$4,1,-1),CI102-1,CH103-1)</f>
        <v>-86</v>
      </c>
      <c r="CJ103" s="2" t="n">
        <f aca="false">MAX(CI102+IF($A103=CJ$4,1,-1),CJ102-1,CI103-1)</f>
        <v>-86</v>
      </c>
      <c r="CK103" s="2" t="n">
        <f aca="false">MAX(CJ102+IF($A103=CK$4,1,-1),CK102-1,CJ103-1)</f>
        <v>-87</v>
      </c>
      <c r="CL103" s="2" t="n">
        <f aca="false">MAX(CK102+IF($A103=CL$4,1,-1),CL102-1,CK103-1)</f>
        <v>-87</v>
      </c>
      <c r="CM103" s="2" t="n">
        <f aca="false">MAX(CL102+IF($A103=CM$4,1,-1),CM102-1,CL103-1)</f>
        <v>-87</v>
      </c>
      <c r="CN103" s="2" t="n">
        <f aca="false">MAX(CM102+IF($A103=CN$4,1,-1),CN102-1,CM103-1)</f>
        <v>-87</v>
      </c>
      <c r="CO103" s="2" t="n">
        <f aca="false">MAX(CN102+IF($A103=CO$4,1,-1),CO102-1,CN103-1)</f>
        <v>-87</v>
      </c>
      <c r="CP103" s="2" t="n">
        <f aca="false">MAX(CO102+IF($A103=CP$4,1,-1),CP102-1,CO103-1)</f>
        <v>-87</v>
      </c>
      <c r="CQ103" s="2" t="n">
        <f aca="false">MAX(CP102+IF($A103=CQ$4,1,-1),CQ102-1,CP103-1)</f>
        <v>-88</v>
      </c>
    </row>
    <row r="104" customFormat="false" ht="15" hidden="false" customHeight="false" outlineLevel="0" collapsed="false">
      <c r="A104" s="4" t="s">
        <v>206</v>
      </c>
      <c r="B104" s="12" t="n">
        <v>-99</v>
      </c>
      <c r="C104" s="2" t="n">
        <f aca="false">MAX(B103+IF($A104=C$4,1,-1),C103-1,B104-1)</f>
        <v>-99</v>
      </c>
      <c r="D104" s="2" t="n">
        <f aca="false">MAX(C103+IF($A104=D$4,1,-1),D103-1,C104-1)</f>
        <v>-97</v>
      </c>
      <c r="E104" s="2" t="n">
        <f aca="false">MAX(D103+IF($A104=E$4,1,-1),E103-1,D104-1)</f>
        <v>-95</v>
      </c>
      <c r="F104" s="2" t="n">
        <f aca="false">MAX(E103+IF($A104=F$4,1,-1),F103-1,E104-1)</f>
        <v>-93</v>
      </c>
      <c r="G104" s="2" t="n">
        <f aca="false">MAX(F103+IF($A104=G$4,1,-1),G103-1,F104-1)</f>
        <v>-91</v>
      </c>
      <c r="H104" s="2" t="n">
        <f aca="false">MAX(G103+IF($A104=H$4,1,-1),H103-1,G104-1)</f>
        <v>-91</v>
      </c>
      <c r="I104" s="2" t="n">
        <f aca="false">MAX(H103+IF($A104=I$4,1,-1),I103-1,H104-1)</f>
        <v>-91</v>
      </c>
      <c r="J104" s="2" t="n">
        <f aca="false">MAX(I103+IF($A104=J$4,1,-1),J103-1,I104-1)</f>
        <v>-91</v>
      </c>
      <c r="K104" s="2" t="n">
        <f aca="false">MAX(J103+IF($A104=K$4,1,-1),K103-1,J104-1)</f>
        <v>-89</v>
      </c>
      <c r="L104" s="2" t="n">
        <f aca="false">MAX(K103+IF($A104=L$4,1,-1),L103-1,K104-1)</f>
        <v>-89</v>
      </c>
      <c r="M104" s="2" t="n">
        <f aca="false">MAX(L103+IF($A104=M$4,1,-1),M103-1,L104-1)</f>
        <v>-89</v>
      </c>
      <c r="N104" s="2" t="n">
        <f aca="false">MAX(M103+IF($A104=N$4,1,-1),N103-1,M104-1)</f>
        <v>-89</v>
      </c>
      <c r="O104" s="2" t="n">
        <f aca="false">MAX(N103+IF($A104=O$4,1,-1),O103-1,N104-1)</f>
        <v>-87</v>
      </c>
      <c r="P104" s="2" t="n">
        <f aca="false">MAX(O103+IF($A104=P$4,1,-1),P103-1,O104-1)</f>
        <v>-87</v>
      </c>
      <c r="Q104" s="2" t="n">
        <f aca="false">MAX(P103+IF($A104=Q$4,1,-1),Q103-1,P104-1)</f>
        <v>-87</v>
      </c>
      <c r="R104" s="2" t="n">
        <f aca="false">MAX(Q103+IF($A104=R$4,1,-1),R103-1,Q104-1)</f>
        <v>-87</v>
      </c>
      <c r="S104" s="2" t="n">
        <f aca="false">MAX(R103+IF($A104=S$4,1,-1),S103-1,R104-1)</f>
        <v>-87</v>
      </c>
      <c r="T104" s="2" t="n">
        <f aca="false">MAX(S103+IF($A104=T$4,1,-1),T103-1,S104-1)</f>
        <v>-87</v>
      </c>
      <c r="U104" s="2" t="n">
        <f aca="false">MAX(T103+IF($A104=U$4,1,-1),U103-1,T104-1)</f>
        <v>-86</v>
      </c>
      <c r="V104" s="2" t="n">
        <f aca="false">MAX(U103+IF($A104=V$4,1,-1),V103-1,U104-1)</f>
        <v>-86</v>
      </c>
      <c r="W104" s="2" t="n">
        <f aca="false">MAX(V103+IF($A104=W$4,1,-1),W103-1,V104-1)</f>
        <v>-86</v>
      </c>
      <c r="X104" s="2" t="n">
        <f aca="false">MAX(W103+IF($A104=X$4,1,-1),X103-1,W104-1)</f>
        <v>-86</v>
      </c>
      <c r="Y104" s="2" t="n">
        <f aca="false">MAX(X103+IF($A104=Y$4,1,-1),Y103-1,X104-1)</f>
        <v>-86</v>
      </c>
      <c r="Z104" s="2" t="n">
        <f aca="false">MAX(Y103+IF($A104=Z$4,1,-1),Z103-1,Y104-1)</f>
        <v>-86</v>
      </c>
      <c r="AA104" s="2" t="n">
        <f aca="false">MAX(Z103+IF($A104=AA$4,1,-1),AA103-1,Z104-1)</f>
        <v>-86</v>
      </c>
      <c r="AB104" s="2" t="n">
        <f aca="false">MAX(AA103+IF($A104=AB$4,1,-1),AB103-1,AA104-1)</f>
        <v>-86</v>
      </c>
      <c r="AC104" s="2" t="n">
        <f aca="false">MAX(AB103+IF($A104=AC$4,1,-1),AC103-1,AB104-1)</f>
        <v>-86</v>
      </c>
      <c r="AD104" s="2" t="n">
        <f aca="false">MAX(AC103+IF($A104=AD$4,1,-1),AD103-1,AC104-1)</f>
        <v>-84</v>
      </c>
      <c r="AE104" s="2" t="n">
        <f aca="false">MAX(AD103+IF($A104=AE$4,1,-1),AE103-1,AD104-1)</f>
        <v>-84</v>
      </c>
      <c r="AF104" s="2" t="n">
        <f aca="false">MAX(AE103+IF($A104=AF$4,1,-1),AF103-1,AE104-1)</f>
        <v>-84</v>
      </c>
      <c r="AG104" s="2" t="n">
        <f aca="false">MAX(AF103+IF($A104=AG$4,1,-1),AG103-1,AF104-1)</f>
        <v>-84</v>
      </c>
      <c r="AH104" s="2" t="n">
        <f aca="false">MAX(AG103+IF($A104=AH$4,1,-1),AH103-1,AG104-1)</f>
        <v>-84</v>
      </c>
      <c r="AI104" s="2" t="n">
        <f aca="false">MAX(AH103+IF($A104=AI$4,1,-1),AI103-1,AH104-1)</f>
        <v>-84</v>
      </c>
      <c r="AJ104" s="2" t="n">
        <f aca="false">MAX(AI103+IF($A104=AJ$4,1,-1),AJ103-1,AI104-1)</f>
        <v>-84</v>
      </c>
      <c r="AK104" s="2" t="n">
        <f aca="false">MAX(AJ103+IF($A104=AK$4,1,-1),AK103-1,AJ104-1)</f>
        <v>-84</v>
      </c>
      <c r="AL104" s="2" t="n">
        <f aca="false">MAX(AK103+IF($A104=AL$4,1,-1),AL103-1,AK104-1)</f>
        <v>-84</v>
      </c>
      <c r="AM104" s="2" t="n">
        <f aca="false">MAX(AL103+IF($A104=AM$4,1,-1),AM103-1,AL104-1)</f>
        <v>-84</v>
      </c>
      <c r="AN104" s="2" t="n">
        <f aca="false">MAX(AM103+IF($A104=AN$4,1,-1),AN103-1,AM104-1)</f>
        <v>-84</v>
      </c>
      <c r="AO104" s="2" t="n">
        <f aca="false">MAX(AN103+IF($A104=AO$4,1,-1),AO103-1,AN104-1)</f>
        <v>-84</v>
      </c>
      <c r="AP104" s="2" t="n">
        <f aca="false">MAX(AO103+IF($A104=AP$4,1,-1),AP103-1,AO104-1)</f>
        <v>-84</v>
      </c>
      <c r="AQ104" s="2" t="n">
        <f aca="false">MAX(AP103+IF($A104=AQ$4,1,-1),AQ103-1,AP104-1)</f>
        <v>-84</v>
      </c>
      <c r="AR104" s="2" t="n">
        <f aca="false">MAX(AQ103+IF($A104=AR$4,1,-1),AR103-1,AQ104-1)</f>
        <v>-84</v>
      </c>
      <c r="AS104" s="2" t="n">
        <f aca="false">MAX(AR103+IF($A104=AS$4,1,-1),AS103-1,AR104-1)</f>
        <v>-84</v>
      </c>
      <c r="AT104" s="2" t="n">
        <f aca="false">MAX(AS103+IF($A104=AT$4,1,-1),AT103-1,AS104-1)</f>
        <v>-85</v>
      </c>
      <c r="AU104" s="2" t="n">
        <f aca="false">MAX(AT103+IF($A104=AU$4,1,-1),AU103-1,AT104-1)</f>
        <v>-85</v>
      </c>
      <c r="AV104" s="2" t="n">
        <f aca="false">MAX(AU103+IF($A104=AV$4,1,-1),AV103-1,AU104-1)</f>
        <v>-85</v>
      </c>
      <c r="AW104" s="2" t="n">
        <f aca="false">MAX(AV103+IF($A104=AW$4,1,-1),AW103-1,AV104-1)</f>
        <v>-85</v>
      </c>
      <c r="AX104" s="2" t="n">
        <f aca="false">MAX(AW103+IF($A104=AX$4,1,-1),AX103-1,AW104-1)</f>
        <v>-85</v>
      </c>
      <c r="AY104" s="2" t="n">
        <f aca="false">MAX(AX103+IF($A104=AY$4,1,-1),AY103-1,AX104-1)</f>
        <v>-85</v>
      </c>
      <c r="AZ104" s="2" t="n">
        <f aca="false">MAX(AY103+IF($A104=AZ$4,1,-1),AZ103-1,AY104-1)</f>
        <v>-85</v>
      </c>
      <c r="BA104" s="2" t="n">
        <f aca="false">MAX(AZ103+IF($A104=BA$4,1,-1),BA103-1,AZ104-1)</f>
        <v>-85</v>
      </c>
      <c r="BB104" s="2" t="n">
        <f aca="false">MAX(BA103+IF($A104=BB$4,1,-1),BB103-1,BA104-1)</f>
        <v>-85</v>
      </c>
      <c r="BC104" s="2" t="n">
        <f aca="false">MAX(BB103+IF($A104=BC$4,1,-1),BC103-1,BB104-1)</f>
        <v>-85</v>
      </c>
      <c r="BD104" s="2" t="n">
        <f aca="false">MAX(BC103+IF($A104=BD$4,1,-1),BD103-1,BC104-1)</f>
        <v>-85</v>
      </c>
      <c r="BE104" s="2" t="n">
        <f aca="false">MAX(BD103+IF($A104=BE$4,1,-1),BE103-1,BD104-1)</f>
        <v>-85</v>
      </c>
      <c r="BF104" s="2" t="n">
        <f aca="false">MAX(BE103+IF($A104=BF$4,1,-1),BF103-1,BE104-1)</f>
        <v>-85</v>
      </c>
      <c r="BG104" s="2" t="n">
        <f aca="false">MAX(BF103+IF($A104=BG$4,1,-1),BG103-1,BF104-1)</f>
        <v>-85</v>
      </c>
      <c r="BH104" s="2" t="n">
        <f aca="false">MAX(BG103+IF($A104=BH$4,1,-1),BH103-1,BG104-1)</f>
        <v>-85</v>
      </c>
      <c r="BI104" s="2" t="n">
        <f aca="false">MAX(BH103+IF($A104=BI$4,1,-1),BI103-1,BH104-1)</f>
        <v>-85</v>
      </c>
      <c r="BJ104" s="2" t="n">
        <f aca="false">MAX(BI103+IF($A104=BJ$4,1,-1),BJ103-1,BI104-1)</f>
        <v>-85</v>
      </c>
      <c r="BK104" s="2" t="n">
        <f aca="false">MAX(BJ103+IF($A104=BK$4,1,-1),BK103-1,BJ104-1)</f>
        <v>-85</v>
      </c>
      <c r="BL104" s="2" t="n">
        <f aca="false">MAX(BK103+IF($A104=BL$4,1,-1),BL103-1,BK104-1)</f>
        <v>-85</v>
      </c>
      <c r="BM104" s="2" t="n">
        <f aca="false">MAX(BL103+IF($A104=BM$4,1,-1),BM103-1,BL104-1)</f>
        <v>-85</v>
      </c>
      <c r="BN104" s="2" t="n">
        <f aca="false">MAX(BM103+IF($A104=BN$4,1,-1),BN103-1,BM104-1)</f>
        <v>-85</v>
      </c>
      <c r="BO104" s="2" t="n">
        <f aca="false">MAX(BN103+IF($A104=BO$4,1,-1),BO103-1,BN104-1)</f>
        <v>-85</v>
      </c>
      <c r="BP104" s="2" t="n">
        <f aca="false">MAX(BO103+IF($A104=BP$4,1,-1),BP103-1,BO104-1)</f>
        <v>-83</v>
      </c>
      <c r="BQ104" s="2" t="n">
        <f aca="false">MAX(BP103+IF($A104=BQ$4,1,-1),BQ103-1,BP104-1)</f>
        <v>-83</v>
      </c>
      <c r="BR104" s="2" t="n">
        <f aca="false">MAX(BQ103+IF($A104=BR$4,1,-1),BR103-1,BQ104-1)</f>
        <v>-83</v>
      </c>
      <c r="BS104" s="2" t="n">
        <f aca="false">MAX(BR103+IF($A104=BS$4,1,-1),BS103-1,BR104-1)</f>
        <v>-83</v>
      </c>
      <c r="BT104" s="2" t="n">
        <f aca="false">MAX(BS103+IF($A104=BT$4,1,-1),BT103-1,BS104-1)</f>
        <v>-83</v>
      </c>
      <c r="BU104" s="2" t="n">
        <f aca="false">MAX(BT103+IF($A104=BU$4,1,-1),BU103-1,BT104-1)</f>
        <v>-83</v>
      </c>
      <c r="BV104" s="2" t="n">
        <f aca="false">MAX(BU103+IF($A104=BV$4,1,-1),BV103-1,BU104-1)</f>
        <v>-83</v>
      </c>
      <c r="BW104" s="2" t="n">
        <f aca="false">MAX(BV103+IF($A104=BW$4,1,-1),BW103-1,BV104-1)</f>
        <v>-83</v>
      </c>
      <c r="BX104" s="2" t="n">
        <f aca="false">MAX(BW103+IF($A104=BX$4,1,-1),BX103-1,BW104-1)</f>
        <v>-84</v>
      </c>
      <c r="BY104" s="2" t="n">
        <f aca="false">MAX(BX103+IF($A104=BY$4,1,-1),BY103-1,BX104-1)</f>
        <v>-85</v>
      </c>
      <c r="BZ104" s="2" t="n">
        <f aca="false">MAX(BY103+IF($A104=BZ$4,1,-1),BZ103-1,BY104-1)</f>
        <v>-85</v>
      </c>
      <c r="CA104" s="2" t="n">
        <f aca="false">MAX(BZ103+IF($A104=CA$4,1,-1),CA103-1,BZ104-1)</f>
        <v>-85</v>
      </c>
      <c r="CB104" s="2" t="n">
        <f aca="false">MAX(CA103+IF($A104=CB$4,1,-1),CB103-1,CA104-1)</f>
        <v>-85</v>
      </c>
      <c r="CC104" s="2" t="n">
        <f aca="false">MAX(CB103+IF($A104=CC$4,1,-1),CC103-1,CB104-1)</f>
        <v>-85</v>
      </c>
      <c r="CD104" s="2" t="n">
        <f aca="false">MAX(CC103+IF($A104=CD$4,1,-1),CD103-1,CC104-1)</f>
        <v>-85</v>
      </c>
      <c r="CE104" s="2" t="n">
        <f aca="false">MAX(CD103+IF($A104=CE$4,1,-1),CE103-1,CD104-1)</f>
        <v>-85</v>
      </c>
      <c r="CF104" s="2" t="n">
        <f aca="false">MAX(CE103+IF($A104=CF$4,1,-1),CF103-1,CE104-1)</f>
        <v>-85</v>
      </c>
      <c r="CG104" s="2" t="n">
        <f aca="false">MAX(CF103+IF($A104=CG$4,1,-1),CG103-1,CF104-1)</f>
        <v>-85</v>
      </c>
      <c r="CH104" s="2" t="n">
        <f aca="false">MAX(CG103+IF($A104=CH$4,1,-1),CH103-1,CG104-1)</f>
        <v>-85</v>
      </c>
      <c r="CI104" s="2" t="n">
        <f aca="false">MAX(CH103+IF($A104=CI$4,1,-1),CI103-1,CH104-1)</f>
        <v>-86</v>
      </c>
      <c r="CJ104" s="2" t="n">
        <f aca="false">MAX(CI103+IF($A104=CJ$4,1,-1),CJ103-1,CI104-1)</f>
        <v>-87</v>
      </c>
      <c r="CK104" s="2" t="n">
        <f aca="false">MAX(CJ103+IF($A104=CK$4,1,-1),CK103-1,CJ104-1)</f>
        <v>-87</v>
      </c>
      <c r="CL104" s="2" t="n">
        <f aca="false">MAX(CK103+IF($A104=CL$4,1,-1),CL103-1,CK104-1)</f>
        <v>-88</v>
      </c>
      <c r="CM104" s="2" t="n">
        <f aca="false">MAX(CL103+IF($A104=CM$4,1,-1),CM103-1,CL104-1)</f>
        <v>-88</v>
      </c>
      <c r="CN104" s="2" t="n">
        <f aca="false">MAX(CM103+IF($A104=CN$4,1,-1),CN103-1,CM104-1)</f>
        <v>-88</v>
      </c>
      <c r="CO104" s="2" t="n">
        <f aca="false">MAX(CN103+IF($A104=CO$4,1,-1),CO103-1,CN104-1)</f>
        <v>-88</v>
      </c>
      <c r="CP104" s="2" t="n">
        <f aca="false">MAX(CO103+IF($A104=CP$4,1,-1),CP103-1,CO104-1)</f>
        <v>-88</v>
      </c>
      <c r="CQ104" s="2" t="n">
        <f aca="false">MAX(CP103+IF($A104=CQ$4,1,-1),CQ103-1,CP104-1)</f>
        <v>-88</v>
      </c>
    </row>
    <row r="105" customFormat="false" ht="15" hidden="false" customHeight="false" outlineLevel="0" collapsed="false">
      <c r="A105" s="4" t="s">
        <v>207</v>
      </c>
      <c r="B105" s="12" t="n">
        <v>-100</v>
      </c>
      <c r="C105" s="2" t="n">
        <f aca="false">MAX(B104+IF($A105=C$4,1,-1),C104-1,B105-1)</f>
        <v>-100</v>
      </c>
      <c r="D105" s="2" t="n">
        <f aca="false">MAX(C104+IF($A105=D$4,1,-1),D104-1,C105-1)</f>
        <v>-98</v>
      </c>
      <c r="E105" s="2" t="n">
        <f aca="false">MAX(D104+IF($A105=E$4,1,-1),E104-1,D105-1)</f>
        <v>-96</v>
      </c>
      <c r="F105" s="2" t="n">
        <f aca="false">MAX(E104+IF($A105=F$4,1,-1),F104-1,E105-1)</f>
        <v>-94</v>
      </c>
      <c r="G105" s="2" t="n">
        <f aca="false">MAX(F104+IF($A105=G$4,1,-1),G104-1,F105-1)</f>
        <v>-92</v>
      </c>
      <c r="H105" s="2" t="n">
        <f aca="false">MAX(G104+IF($A105=H$4,1,-1),H104-1,G105-1)</f>
        <v>-92</v>
      </c>
      <c r="I105" s="2" t="n">
        <f aca="false">MAX(H104+IF($A105=I$4,1,-1),I104-1,H105-1)</f>
        <v>-92</v>
      </c>
      <c r="J105" s="2" t="n">
        <f aca="false">MAX(I104+IF($A105=J$4,1,-1),J104-1,I105-1)</f>
        <v>-92</v>
      </c>
      <c r="K105" s="2" t="n">
        <f aca="false">MAX(J104+IF($A105=K$4,1,-1),K104-1,J105-1)</f>
        <v>-90</v>
      </c>
      <c r="L105" s="2" t="n">
        <f aca="false">MAX(K104+IF($A105=L$4,1,-1),L104-1,K105-1)</f>
        <v>-90</v>
      </c>
      <c r="M105" s="2" t="n">
        <f aca="false">MAX(L104+IF($A105=M$4,1,-1),M104-1,L105-1)</f>
        <v>-90</v>
      </c>
      <c r="N105" s="2" t="n">
        <f aca="false">MAX(M104+IF($A105=N$4,1,-1),N104-1,M105-1)</f>
        <v>-90</v>
      </c>
      <c r="O105" s="2" t="n">
        <f aca="false">MAX(N104+IF($A105=O$4,1,-1),O104-1,N105-1)</f>
        <v>-88</v>
      </c>
      <c r="P105" s="2" t="n">
        <f aca="false">MAX(O104+IF($A105=P$4,1,-1),P104-1,O105-1)</f>
        <v>-88</v>
      </c>
      <c r="Q105" s="2" t="n">
        <f aca="false">MAX(P104+IF($A105=Q$4,1,-1),Q104-1,P105-1)</f>
        <v>-88</v>
      </c>
      <c r="R105" s="2" t="n">
        <f aca="false">MAX(Q104+IF($A105=R$4,1,-1),R104-1,Q105-1)</f>
        <v>-88</v>
      </c>
      <c r="S105" s="2" t="n">
        <f aca="false">MAX(R104+IF($A105=S$4,1,-1),S104-1,R105-1)</f>
        <v>-88</v>
      </c>
      <c r="T105" s="2" t="n">
        <f aca="false">MAX(S104+IF($A105=T$4,1,-1),T104-1,S105-1)</f>
        <v>-88</v>
      </c>
      <c r="U105" s="2" t="n">
        <f aca="false">MAX(T104+IF($A105=U$4,1,-1),U104-1,T105-1)</f>
        <v>-87</v>
      </c>
      <c r="V105" s="2" t="n">
        <f aca="false">MAX(U104+IF($A105=V$4,1,-1),V104-1,U105-1)</f>
        <v>-87</v>
      </c>
      <c r="W105" s="2" t="n">
        <f aca="false">MAX(V104+IF($A105=W$4,1,-1),W104-1,V105-1)</f>
        <v>-87</v>
      </c>
      <c r="X105" s="2" t="n">
        <f aca="false">MAX(W104+IF($A105=X$4,1,-1),X104-1,W105-1)</f>
        <v>-87</v>
      </c>
      <c r="Y105" s="2" t="n">
        <f aca="false">MAX(X104+IF($A105=Y$4,1,-1),Y104-1,X105-1)</f>
        <v>-87</v>
      </c>
      <c r="Z105" s="2" t="n">
        <f aca="false">MAX(Y104+IF($A105=Z$4,1,-1),Z104-1,Y105-1)</f>
        <v>-87</v>
      </c>
      <c r="AA105" s="2" t="n">
        <f aca="false">MAX(Z104+IF($A105=AA$4,1,-1),AA104-1,Z105-1)</f>
        <v>-87</v>
      </c>
      <c r="AB105" s="2" t="n">
        <f aca="false">MAX(AA104+IF($A105=AB$4,1,-1),AB104-1,AA105-1)</f>
        <v>-87</v>
      </c>
      <c r="AC105" s="2" t="n">
        <f aca="false">MAX(AB104+IF($A105=AC$4,1,-1),AC104-1,AB105-1)</f>
        <v>-87</v>
      </c>
      <c r="AD105" s="2" t="n">
        <f aca="false">MAX(AC104+IF($A105=AD$4,1,-1),AD104-1,AC105-1)</f>
        <v>-85</v>
      </c>
      <c r="AE105" s="2" t="n">
        <f aca="false">MAX(AD104+IF($A105=AE$4,1,-1),AE104-1,AD105-1)</f>
        <v>-85</v>
      </c>
      <c r="AF105" s="2" t="n">
        <f aca="false">MAX(AE104+IF($A105=AF$4,1,-1),AF104-1,AE105-1)</f>
        <v>-85</v>
      </c>
      <c r="AG105" s="2" t="n">
        <f aca="false">MAX(AF104+IF($A105=AG$4,1,-1),AG104-1,AF105-1)</f>
        <v>-85</v>
      </c>
      <c r="AH105" s="2" t="n">
        <f aca="false">MAX(AG104+IF($A105=AH$4,1,-1),AH104-1,AG105-1)</f>
        <v>-85</v>
      </c>
      <c r="AI105" s="2" t="n">
        <f aca="false">MAX(AH104+IF($A105=AI$4,1,-1),AI104-1,AH105-1)</f>
        <v>-85</v>
      </c>
      <c r="AJ105" s="2" t="n">
        <f aca="false">MAX(AI104+IF($A105=AJ$4,1,-1),AJ104-1,AI105-1)</f>
        <v>-85</v>
      </c>
      <c r="AK105" s="2" t="n">
        <f aca="false">MAX(AJ104+IF($A105=AK$4,1,-1),AK104-1,AJ105-1)</f>
        <v>-85</v>
      </c>
      <c r="AL105" s="2" t="n">
        <f aca="false">MAX(AK104+IF($A105=AL$4,1,-1),AL104-1,AK105-1)</f>
        <v>-85</v>
      </c>
      <c r="AM105" s="2" t="n">
        <f aca="false">MAX(AL104+IF($A105=AM$4,1,-1),AM104-1,AL105-1)</f>
        <v>-85</v>
      </c>
      <c r="AN105" s="2" t="n">
        <f aca="false">MAX(AM104+IF($A105=AN$4,1,-1),AN104-1,AM105-1)</f>
        <v>-85</v>
      </c>
      <c r="AO105" s="2" t="n">
        <f aca="false">MAX(AN104+IF($A105=AO$4,1,-1),AO104-1,AN105-1)</f>
        <v>-85</v>
      </c>
      <c r="AP105" s="2" t="n">
        <f aca="false">MAX(AO104+IF($A105=AP$4,1,-1),AP104-1,AO105-1)</f>
        <v>-85</v>
      </c>
      <c r="AQ105" s="2" t="n">
        <f aca="false">MAX(AP104+IF($A105=AQ$4,1,-1),AQ104-1,AP105-1)</f>
        <v>-85</v>
      </c>
      <c r="AR105" s="2" t="n">
        <f aca="false">MAX(AQ104+IF($A105=AR$4,1,-1),AR104-1,AQ105-1)</f>
        <v>-85</v>
      </c>
      <c r="AS105" s="2" t="n">
        <f aca="false">MAX(AR104+IF($A105=AS$4,1,-1),AS104-1,AR105-1)</f>
        <v>-85</v>
      </c>
      <c r="AT105" s="2" t="n">
        <f aca="false">MAX(AS104+IF($A105=AT$4,1,-1),AT104-1,AS105-1)</f>
        <v>-85</v>
      </c>
      <c r="AU105" s="2" t="n">
        <f aca="false">MAX(AT104+IF($A105=AU$4,1,-1),AU104-1,AT105-1)</f>
        <v>-86</v>
      </c>
      <c r="AV105" s="2" t="n">
        <f aca="false">MAX(AU104+IF($A105=AV$4,1,-1),AV104-1,AU105-1)</f>
        <v>-86</v>
      </c>
      <c r="AW105" s="2" t="n">
        <f aca="false">MAX(AV104+IF($A105=AW$4,1,-1),AW104-1,AV105-1)</f>
        <v>-86</v>
      </c>
      <c r="AX105" s="2" t="n">
        <f aca="false">MAX(AW104+IF($A105=AX$4,1,-1),AX104-1,AW105-1)</f>
        <v>-86</v>
      </c>
      <c r="AY105" s="2" t="n">
        <f aca="false">MAX(AX104+IF($A105=AY$4,1,-1),AY104-1,AX105-1)</f>
        <v>-86</v>
      </c>
      <c r="AZ105" s="2" t="n">
        <f aca="false">MAX(AY104+IF($A105=AZ$4,1,-1),AZ104-1,AY105-1)</f>
        <v>-86</v>
      </c>
      <c r="BA105" s="2" t="n">
        <f aca="false">MAX(AZ104+IF($A105=BA$4,1,-1),BA104-1,AZ105-1)</f>
        <v>-86</v>
      </c>
      <c r="BB105" s="2" t="n">
        <f aca="false">MAX(BA104+IF($A105=BB$4,1,-1),BB104-1,BA105-1)</f>
        <v>-86</v>
      </c>
      <c r="BC105" s="2" t="n">
        <f aca="false">MAX(BB104+IF($A105=BC$4,1,-1),BC104-1,BB105-1)</f>
        <v>-86</v>
      </c>
      <c r="BD105" s="2" t="n">
        <f aca="false">MAX(BC104+IF($A105=BD$4,1,-1),BD104-1,BC105-1)</f>
        <v>-86</v>
      </c>
      <c r="BE105" s="2" t="n">
        <f aca="false">MAX(BD104+IF($A105=BE$4,1,-1),BE104-1,BD105-1)</f>
        <v>-86</v>
      </c>
      <c r="BF105" s="2" t="n">
        <f aca="false">MAX(BE104+IF($A105=BF$4,1,-1),BF104-1,BE105-1)</f>
        <v>-86</v>
      </c>
      <c r="BG105" s="2" t="n">
        <f aca="false">MAX(BF104+IF($A105=BG$4,1,-1),BG104-1,BF105-1)</f>
        <v>-86</v>
      </c>
      <c r="BH105" s="2" t="n">
        <f aca="false">MAX(BG104+IF($A105=BH$4,1,-1),BH104-1,BG105-1)</f>
        <v>-86</v>
      </c>
      <c r="BI105" s="2" t="n">
        <f aca="false">MAX(BH104+IF($A105=BI$4,1,-1),BI104-1,BH105-1)</f>
        <v>-86</v>
      </c>
      <c r="BJ105" s="2" t="n">
        <f aca="false">MAX(BI104+IF($A105=BJ$4,1,-1),BJ104-1,BI105-1)</f>
        <v>-86</v>
      </c>
      <c r="BK105" s="2" t="n">
        <f aca="false">MAX(BJ104+IF($A105=BK$4,1,-1),BK104-1,BJ105-1)</f>
        <v>-86</v>
      </c>
      <c r="BL105" s="2" t="n">
        <f aca="false">MAX(BK104+IF($A105=BL$4,1,-1),BL104-1,BK105-1)</f>
        <v>-86</v>
      </c>
      <c r="BM105" s="2" t="n">
        <f aca="false">MAX(BL104+IF($A105=BM$4,1,-1),BM104-1,BL105-1)</f>
        <v>-86</v>
      </c>
      <c r="BN105" s="2" t="n">
        <f aca="false">MAX(BM104+IF($A105=BN$4,1,-1),BN104-1,BM105-1)</f>
        <v>-86</v>
      </c>
      <c r="BO105" s="2" t="n">
        <f aca="false">MAX(BN104+IF($A105=BO$4,1,-1),BO104-1,BN105-1)</f>
        <v>-86</v>
      </c>
      <c r="BP105" s="2" t="n">
        <f aca="false">MAX(BO104+IF($A105=BP$4,1,-1),BP104-1,BO105-1)</f>
        <v>-84</v>
      </c>
      <c r="BQ105" s="2" t="n">
        <f aca="false">MAX(BP104+IF($A105=BQ$4,1,-1),BQ104-1,BP105-1)</f>
        <v>-84</v>
      </c>
      <c r="BR105" s="2" t="n">
        <f aca="false">MAX(BQ104+IF($A105=BR$4,1,-1),BR104-1,BQ105-1)</f>
        <v>-84</v>
      </c>
      <c r="BS105" s="2" t="n">
        <f aca="false">MAX(BR104+IF($A105=BS$4,1,-1),BS104-1,BR105-1)</f>
        <v>-84</v>
      </c>
      <c r="BT105" s="2" t="n">
        <f aca="false">MAX(BS104+IF($A105=BT$4,1,-1),BT104-1,BS105-1)</f>
        <v>-84</v>
      </c>
      <c r="BU105" s="2" t="n">
        <f aca="false">MAX(BT104+IF($A105=BU$4,1,-1),BU104-1,BT105-1)</f>
        <v>-84</v>
      </c>
      <c r="BV105" s="2" t="n">
        <f aca="false">MAX(BU104+IF($A105=BV$4,1,-1),BV104-1,BU105-1)</f>
        <v>-84</v>
      </c>
      <c r="BW105" s="2" t="n">
        <f aca="false">MAX(BV104+IF($A105=BW$4,1,-1),BW104-1,BV105-1)</f>
        <v>-84</v>
      </c>
      <c r="BX105" s="2" t="n">
        <f aca="false">MAX(BW104+IF($A105=BX$4,1,-1),BX104-1,BW105-1)</f>
        <v>-84</v>
      </c>
      <c r="BY105" s="2" t="n">
        <f aca="false">MAX(BX104+IF($A105=BY$4,1,-1),BY104-1,BX105-1)</f>
        <v>-85</v>
      </c>
      <c r="BZ105" s="2" t="n">
        <f aca="false">MAX(BY104+IF($A105=BZ$4,1,-1),BZ104-1,BY105-1)</f>
        <v>-86</v>
      </c>
      <c r="CA105" s="2" t="n">
        <f aca="false">MAX(BZ104+IF($A105=CA$4,1,-1),CA104-1,BZ105-1)</f>
        <v>-86</v>
      </c>
      <c r="CB105" s="2" t="n">
        <f aca="false">MAX(CA104+IF($A105=CB$4,1,-1),CB104-1,CA105-1)</f>
        <v>-86</v>
      </c>
      <c r="CC105" s="2" t="n">
        <f aca="false">MAX(CB104+IF($A105=CC$4,1,-1),CC104-1,CB105-1)</f>
        <v>-86</v>
      </c>
      <c r="CD105" s="2" t="n">
        <f aca="false">MAX(CC104+IF($A105=CD$4,1,-1),CD104-1,CC105-1)</f>
        <v>-86</v>
      </c>
      <c r="CE105" s="2" t="n">
        <f aca="false">MAX(CD104+IF($A105=CE$4,1,-1),CE104-1,CD105-1)</f>
        <v>-86</v>
      </c>
      <c r="CF105" s="2" t="n">
        <f aca="false">MAX(CE104+IF($A105=CF$4,1,-1),CF104-1,CE105-1)</f>
        <v>-86</v>
      </c>
      <c r="CG105" s="2" t="n">
        <f aca="false">MAX(CF104+IF($A105=CG$4,1,-1),CG104-1,CF105-1)</f>
        <v>-86</v>
      </c>
      <c r="CH105" s="2" t="n">
        <f aca="false">MAX(CG104+IF($A105=CH$4,1,-1),CH104-1,CG105-1)</f>
        <v>-86</v>
      </c>
      <c r="CI105" s="2" t="n">
        <f aca="false">MAX(CH104+IF($A105=CI$4,1,-1),CI104-1,CH105-1)</f>
        <v>-86</v>
      </c>
      <c r="CJ105" s="2" t="n">
        <f aca="false">MAX(CI104+IF($A105=CJ$4,1,-1),CJ104-1,CI105-1)</f>
        <v>-87</v>
      </c>
      <c r="CK105" s="2" t="n">
        <f aca="false">MAX(CJ104+IF($A105=CK$4,1,-1),CK104-1,CJ105-1)</f>
        <v>-88</v>
      </c>
      <c r="CL105" s="2" t="n">
        <f aca="false">MAX(CK104+IF($A105=CL$4,1,-1),CL104-1,CK105-1)</f>
        <v>-88</v>
      </c>
      <c r="CM105" s="2" t="n">
        <f aca="false">MAX(CL104+IF($A105=CM$4,1,-1),CM104-1,CL105-1)</f>
        <v>-89</v>
      </c>
      <c r="CN105" s="2" t="n">
        <f aca="false">MAX(CM104+IF($A105=CN$4,1,-1),CN104-1,CM105-1)</f>
        <v>-89</v>
      </c>
      <c r="CO105" s="2" t="n">
        <f aca="false">MAX(CN104+IF($A105=CO$4,1,-1),CO104-1,CN105-1)</f>
        <v>-89</v>
      </c>
      <c r="CP105" s="2" t="n">
        <f aca="false">MAX(CO104+IF($A105=CP$4,1,-1),CP104-1,CO105-1)</f>
        <v>-89</v>
      </c>
      <c r="CQ105" s="2" t="n">
        <f aca="false">MAX(CP104+IF($A105=CQ$4,1,-1),CQ104-1,CP105-1)</f>
        <v>-89</v>
      </c>
    </row>
    <row r="106" customFormat="false" ht="15" hidden="false" customHeight="false" outlineLevel="0" collapsed="false">
      <c r="A106" s="4" t="s">
        <v>89</v>
      </c>
      <c r="B106" s="12" t="n">
        <v>-101</v>
      </c>
      <c r="C106" s="2" t="n">
        <f aca="false">MAX(B105+IF($A106=C$4,1,-1),C105-1,B106-1)</f>
        <v>-101</v>
      </c>
      <c r="D106" s="2" t="n">
        <f aca="false">MAX(C105+IF($A106=D$4,1,-1),D105-1,C106-1)</f>
        <v>-99</v>
      </c>
      <c r="E106" s="2" t="n">
        <f aca="false">MAX(D105+IF($A106=E$4,1,-1),E105-1,D106-1)</f>
        <v>-97</v>
      </c>
      <c r="F106" s="2" t="n">
        <f aca="false">MAX(E105+IF($A106=F$4,1,-1),F105-1,E106-1)</f>
        <v>-95</v>
      </c>
      <c r="G106" s="2" t="n">
        <f aca="false">MAX(F105+IF($A106=G$4,1,-1),G105-1,F106-1)</f>
        <v>-93</v>
      </c>
      <c r="H106" s="2" t="n">
        <f aca="false">MAX(G105+IF($A106=H$4,1,-1),H105-1,G106-1)</f>
        <v>-93</v>
      </c>
      <c r="I106" s="2" t="n">
        <f aca="false">MAX(H105+IF($A106=I$4,1,-1),I105-1,H106-1)</f>
        <v>-93</v>
      </c>
      <c r="J106" s="2" t="n">
        <f aca="false">MAX(I105+IF($A106=J$4,1,-1),J105-1,I106-1)</f>
        <v>-93</v>
      </c>
      <c r="K106" s="2" t="n">
        <f aca="false">MAX(J105+IF($A106=K$4,1,-1),K105-1,J106-1)</f>
        <v>-91</v>
      </c>
      <c r="L106" s="2" t="n">
        <f aca="false">MAX(K105+IF($A106=L$4,1,-1),L105-1,K106-1)</f>
        <v>-91</v>
      </c>
      <c r="M106" s="2" t="n">
        <f aca="false">MAX(L105+IF($A106=M$4,1,-1),M105-1,L106-1)</f>
        <v>-91</v>
      </c>
      <c r="N106" s="2" t="n">
        <f aca="false">MAX(M105+IF($A106=N$4,1,-1),N105-1,M106-1)</f>
        <v>-91</v>
      </c>
      <c r="O106" s="2" t="n">
        <f aca="false">MAX(N105+IF($A106=O$4,1,-1),O105-1,N106-1)</f>
        <v>-89</v>
      </c>
      <c r="P106" s="2" t="n">
        <f aca="false">MAX(O105+IF($A106=P$4,1,-1),P105-1,O106-1)</f>
        <v>-89</v>
      </c>
      <c r="Q106" s="2" t="n">
        <f aca="false">MAX(P105+IF($A106=Q$4,1,-1),Q105-1,P106-1)</f>
        <v>-89</v>
      </c>
      <c r="R106" s="2" t="n">
        <f aca="false">MAX(Q105+IF($A106=R$4,1,-1),R105-1,Q106-1)</f>
        <v>-89</v>
      </c>
      <c r="S106" s="2" t="n">
        <f aca="false">MAX(R105+IF($A106=S$4,1,-1),S105-1,R106-1)</f>
        <v>-89</v>
      </c>
      <c r="T106" s="2" t="n">
        <f aca="false">MAX(S105+IF($A106=T$4,1,-1),T105-1,S106-1)</f>
        <v>-89</v>
      </c>
      <c r="U106" s="2" t="n">
        <f aca="false">MAX(T105+IF($A106=U$4,1,-1),U105-1,T106-1)</f>
        <v>-88</v>
      </c>
      <c r="V106" s="2" t="n">
        <f aca="false">MAX(U105+IF($A106=V$4,1,-1),V105-1,U106-1)</f>
        <v>-88</v>
      </c>
      <c r="W106" s="2" t="n">
        <f aca="false">MAX(V105+IF($A106=W$4,1,-1),W105-1,V106-1)</f>
        <v>-88</v>
      </c>
      <c r="X106" s="2" t="n">
        <f aca="false">MAX(W105+IF($A106=X$4,1,-1),X105-1,W106-1)</f>
        <v>-88</v>
      </c>
      <c r="Y106" s="2" t="n">
        <f aca="false">MAX(X105+IF($A106=Y$4,1,-1),Y105-1,X106-1)</f>
        <v>-88</v>
      </c>
      <c r="Z106" s="2" t="n">
        <f aca="false">MAX(Y105+IF($A106=Z$4,1,-1),Z105-1,Y106-1)</f>
        <v>-88</v>
      </c>
      <c r="AA106" s="2" t="n">
        <f aca="false">MAX(Z105+IF($A106=AA$4,1,-1),AA105-1,Z106-1)</f>
        <v>-88</v>
      </c>
      <c r="AB106" s="2" t="n">
        <f aca="false">MAX(AA105+IF($A106=AB$4,1,-1),AB105-1,AA106-1)</f>
        <v>-88</v>
      </c>
      <c r="AC106" s="2" t="n">
        <f aca="false">MAX(AB105+IF($A106=AC$4,1,-1),AC105-1,AB106-1)</f>
        <v>-88</v>
      </c>
      <c r="AD106" s="2" t="n">
        <f aca="false">MAX(AC105+IF($A106=AD$4,1,-1),AD105-1,AC106-1)</f>
        <v>-86</v>
      </c>
      <c r="AE106" s="2" t="n">
        <f aca="false">MAX(AD105+IF($A106=AE$4,1,-1),AE105-1,AD106-1)</f>
        <v>-86</v>
      </c>
      <c r="AF106" s="2" t="n">
        <f aca="false">MAX(AE105+IF($A106=AF$4,1,-1),AF105-1,AE106-1)</f>
        <v>-86</v>
      </c>
      <c r="AG106" s="2" t="n">
        <f aca="false">MAX(AF105+IF($A106=AG$4,1,-1),AG105-1,AF106-1)</f>
        <v>-86</v>
      </c>
      <c r="AH106" s="2" t="n">
        <f aca="false">MAX(AG105+IF($A106=AH$4,1,-1),AH105-1,AG106-1)</f>
        <v>-86</v>
      </c>
      <c r="AI106" s="2" t="n">
        <f aca="false">MAX(AH105+IF($A106=AI$4,1,-1),AI105-1,AH106-1)</f>
        <v>-86</v>
      </c>
      <c r="AJ106" s="2" t="n">
        <f aca="false">MAX(AI105+IF($A106=AJ$4,1,-1),AJ105-1,AI106-1)</f>
        <v>-86</v>
      </c>
      <c r="AK106" s="2" t="n">
        <f aca="false">MAX(AJ105+IF($A106=AK$4,1,-1),AK105-1,AJ106-1)</f>
        <v>-86</v>
      </c>
      <c r="AL106" s="2" t="n">
        <f aca="false">MAX(AK105+IF($A106=AL$4,1,-1),AL105-1,AK106-1)</f>
        <v>-86</v>
      </c>
      <c r="AM106" s="2" t="n">
        <f aca="false">MAX(AL105+IF($A106=AM$4,1,-1),AM105-1,AL106-1)</f>
        <v>-86</v>
      </c>
      <c r="AN106" s="2" t="n">
        <f aca="false">MAX(AM105+IF($A106=AN$4,1,-1),AN105-1,AM106-1)</f>
        <v>-86</v>
      </c>
      <c r="AO106" s="2" t="n">
        <f aca="false">MAX(AN105+IF($A106=AO$4,1,-1),AO105-1,AN106-1)</f>
        <v>-86</v>
      </c>
      <c r="AP106" s="2" t="n">
        <f aca="false">MAX(AO105+IF($A106=AP$4,1,-1),AP105-1,AO106-1)</f>
        <v>-86</v>
      </c>
      <c r="AQ106" s="2" t="n">
        <f aca="false">MAX(AP105+IF($A106=AQ$4,1,-1),AQ105-1,AP106-1)</f>
        <v>-86</v>
      </c>
      <c r="AR106" s="2" t="n">
        <f aca="false">MAX(AQ105+IF($A106=AR$4,1,-1),AR105-1,AQ106-1)</f>
        <v>-86</v>
      </c>
      <c r="AS106" s="2" t="n">
        <f aca="false">MAX(AR105+IF($A106=AS$4,1,-1),AS105-1,AR106-1)</f>
        <v>-86</v>
      </c>
      <c r="AT106" s="2" t="n">
        <f aca="false">MAX(AS105+IF($A106=AT$4,1,-1),AT105-1,AS106-1)</f>
        <v>-86</v>
      </c>
      <c r="AU106" s="2" t="n">
        <f aca="false">MAX(AT105+IF($A106=AU$4,1,-1),AU105-1,AT106-1)</f>
        <v>-86</v>
      </c>
      <c r="AV106" s="2" t="n">
        <f aca="false">MAX(AU105+IF($A106=AV$4,1,-1),AV105-1,AU106-1)</f>
        <v>-87</v>
      </c>
      <c r="AW106" s="2" t="n">
        <f aca="false">MAX(AV105+IF($A106=AW$4,1,-1),AW105-1,AV106-1)</f>
        <v>-87</v>
      </c>
      <c r="AX106" s="2" t="n">
        <f aca="false">MAX(AW105+IF($A106=AX$4,1,-1),AX105-1,AW106-1)</f>
        <v>-87</v>
      </c>
      <c r="AY106" s="2" t="n">
        <f aca="false">MAX(AX105+IF($A106=AY$4,1,-1),AY105-1,AX106-1)</f>
        <v>-87</v>
      </c>
      <c r="AZ106" s="2" t="n">
        <f aca="false">MAX(AY105+IF($A106=AZ$4,1,-1),AZ105-1,AY106-1)</f>
        <v>-87</v>
      </c>
      <c r="BA106" s="2" t="n">
        <f aca="false">MAX(AZ105+IF($A106=BA$4,1,-1),BA105-1,AZ106-1)</f>
        <v>-87</v>
      </c>
      <c r="BB106" s="2" t="n">
        <f aca="false">MAX(BA105+IF($A106=BB$4,1,-1),BB105-1,BA106-1)</f>
        <v>-87</v>
      </c>
      <c r="BC106" s="2" t="n">
        <f aca="false">MAX(BB105+IF($A106=BC$4,1,-1),BC105-1,BB106-1)</f>
        <v>-87</v>
      </c>
      <c r="BD106" s="2" t="n">
        <f aca="false">MAX(BC105+IF($A106=BD$4,1,-1),BD105-1,BC106-1)</f>
        <v>-87</v>
      </c>
      <c r="BE106" s="2" t="n">
        <f aca="false">MAX(BD105+IF($A106=BE$4,1,-1),BE105-1,BD106-1)</f>
        <v>-87</v>
      </c>
      <c r="BF106" s="2" t="n">
        <f aca="false">MAX(BE105+IF($A106=BF$4,1,-1),BF105-1,BE106-1)</f>
        <v>-87</v>
      </c>
      <c r="BG106" s="2" t="n">
        <f aca="false">MAX(BF105+IF($A106=BG$4,1,-1),BG105-1,BF106-1)</f>
        <v>-87</v>
      </c>
      <c r="BH106" s="2" t="n">
        <f aca="false">MAX(BG105+IF($A106=BH$4,1,-1),BH105-1,BG106-1)</f>
        <v>-87</v>
      </c>
      <c r="BI106" s="2" t="n">
        <f aca="false">MAX(BH105+IF($A106=BI$4,1,-1),BI105-1,BH106-1)</f>
        <v>-87</v>
      </c>
      <c r="BJ106" s="2" t="n">
        <f aca="false">MAX(BI105+IF($A106=BJ$4,1,-1),BJ105-1,BI106-1)</f>
        <v>-87</v>
      </c>
      <c r="BK106" s="2" t="n">
        <f aca="false">MAX(BJ105+IF($A106=BK$4,1,-1),BK105-1,BJ106-1)</f>
        <v>-87</v>
      </c>
      <c r="BL106" s="2" t="n">
        <f aca="false">MAX(BK105+IF($A106=BL$4,1,-1),BL105-1,BK106-1)</f>
        <v>-85</v>
      </c>
      <c r="BM106" s="2" t="n">
        <f aca="false">MAX(BL105+IF($A106=BM$4,1,-1),BM105-1,BL106-1)</f>
        <v>-86</v>
      </c>
      <c r="BN106" s="2" t="n">
        <f aca="false">MAX(BM105+IF($A106=BN$4,1,-1),BN105-1,BM106-1)</f>
        <v>-87</v>
      </c>
      <c r="BO106" s="2" t="n">
        <f aca="false">MAX(BN105+IF($A106=BO$4,1,-1),BO105-1,BN106-1)</f>
        <v>-87</v>
      </c>
      <c r="BP106" s="2" t="n">
        <f aca="false">MAX(BO105+IF($A106=BP$4,1,-1),BP105-1,BO106-1)</f>
        <v>-85</v>
      </c>
      <c r="BQ106" s="2" t="n">
        <f aca="false">MAX(BP105+IF($A106=BQ$4,1,-1),BQ105-1,BP106-1)</f>
        <v>-85</v>
      </c>
      <c r="BR106" s="2" t="n">
        <f aca="false">MAX(BQ105+IF($A106=BR$4,1,-1),BR105-1,BQ106-1)</f>
        <v>-85</v>
      </c>
      <c r="BS106" s="2" t="n">
        <f aca="false">MAX(BR105+IF($A106=BS$4,1,-1),BS105-1,BR106-1)</f>
        <v>-85</v>
      </c>
      <c r="BT106" s="2" t="n">
        <f aca="false">MAX(BS105+IF($A106=BT$4,1,-1),BT105-1,BS106-1)</f>
        <v>-85</v>
      </c>
      <c r="BU106" s="2" t="n">
        <f aca="false">MAX(BT105+IF($A106=BU$4,1,-1),BU105-1,BT106-1)</f>
        <v>-85</v>
      </c>
      <c r="BV106" s="2" t="n">
        <f aca="false">MAX(BU105+IF($A106=BV$4,1,-1),BV105-1,BU106-1)</f>
        <v>-85</v>
      </c>
      <c r="BW106" s="2" t="n">
        <f aca="false">MAX(BV105+IF($A106=BW$4,1,-1),BW105-1,BV106-1)</f>
        <v>-85</v>
      </c>
      <c r="BX106" s="2" t="n">
        <f aca="false">MAX(BW105+IF($A106=BX$4,1,-1),BX105-1,BW106-1)</f>
        <v>-85</v>
      </c>
      <c r="BY106" s="2" t="n">
        <f aca="false">MAX(BX105+IF($A106=BY$4,1,-1),BY105-1,BX106-1)</f>
        <v>-85</v>
      </c>
      <c r="BZ106" s="2" t="n">
        <f aca="false">MAX(BY105+IF($A106=BZ$4,1,-1),BZ105-1,BY106-1)</f>
        <v>-86</v>
      </c>
      <c r="CA106" s="2" t="n">
        <f aca="false">MAX(BZ105+IF($A106=CA$4,1,-1),CA105-1,BZ106-1)</f>
        <v>-87</v>
      </c>
      <c r="CB106" s="2" t="n">
        <f aca="false">MAX(CA105+IF($A106=CB$4,1,-1),CB105-1,CA106-1)</f>
        <v>-87</v>
      </c>
      <c r="CC106" s="2" t="n">
        <f aca="false">MAX(CB105+IF($A106=CC$4,1,-1),CC105-1,CB106-1)</f>
        <v>-87</v>
      </c>
      <c r="CD106" s="2" t="n">
        <f aca="false">MAX(CC105+IF($A106=CD$4,1,-1),CD105-1,CC106-1)</f>
        <v>-87</v>
      </c>
      <c r="CE106" s="2" t="n">
        <f aca="false">MAX(CD105+IF($A106=CE$4,1,-1),CE105-1,CD106-1)</f>
        <v>-87</v>
      </c>
      <c r="CF106" s="2" t="n">
        <f aca="false">MAX(CE105+IF($A106=CF$4,1,-1),CF105-1,CE106-1)</f>
        <v>-87</v>
      </c>
      <c r="CG106" s="2" t="n">
        <f aca="false">MAX(CF105+IF($A106=CG$4,1,-1),CG105-1,CF106-1)</f>
        <v>-87</v>
      </c>
      <c r="CH106" s="2" t="n">
        <f aca="false">MAX(CG105+IF($A106=CH$4,1,-1),CH105-1,CG106-1)</f>
        <v>-87</v>
      </c>
      <c r="CI106" s="2" t="n">
        <f aca="false">MAX(CH105+IF($A106=CI$4,1,-1),CI105-1,CH106-1)</f>
        <v>-87</v>
      </c>
      <c r="CJ106" s="2" t="n">
        <f aca="false">MAX(CI105+IF($A106=CJ$4,1,-1),CJ105-1,CI106-1)</f>
        <v>-87</v>
      </c>
      <c r="CK106" s="2" t="n">
        <f aca="false">MAX(CJ105+IF($A106=CK$4,1,-1),CK105-1,CJ106-1)</f>
        <v>-88</v>
      </c>
      <c r="CL106" s="2" t="n">
        <f aca="false">MAX(CK105+IF($A106=CL$4,1,-1),CL105-1,CK106-1)</f>
        <v>-89</v>
      </c>
      <c r="CM106" s="2" t="n">
        <f aca="false">MAX(CL105+IF($A106=CM$4,1,-1),CM105-1,CL106-1)</f>
        <v>-89</v>
      </c>
      <c r="CN106" s="2" t="n">
        <f aca="false">MAX(CM105+IF($A106=CN$4,1,-1),CN105-1,CM106-1)</f>
        <v>-90</v>
      </c>
      <c r="CO106" s="2" t="n">
        <f aca="false">MAX(CN105+IF($A106=CO$4,1,-1),CO105-1,CN106-1)</f>
        <v>-90</v>
      </c>
      <c r="CP106" s="2" t="n">
        <f aca="false">MAX(CO105+IF($A106=CP$4,1,-1),CP105-1,CO106-1)</f>
        <v>-90</v>
      </c>
      <c r="CQ106" s="2" t="n">
        <f aca="false">MAX(CP105+IF($A106=CQ$4,1,-1),CQ105-1,CP106-1)</f>
        <v>-90</v>
      </c>
    </row>
    <row r="107" customFormat="false" ht="15" hidden="false" customHeight="false" outlineLevel="0" collapsed="false">
      <c r="A107" s="4" t="s">
        <v>208</v>
      </c>
      <c r="B107" s="12" t="n">
        <v>-102</v>
      </c>
      <c r="C107" s="2" t="n">
        <f aca="false">MAX(B106+IF($A107=C$4,1,-1),C106-1,B107-1)</f>
        <v>-102</v>
      </c>
      <c r="D107" s="2" t="n">
        <f aca="false">MAX(C106+IF($A107=D$4,1,-1),D106-1,C107-1)</f>
        <v>-100</v>
      </c>
      <c r="E107" s="2" t="n">
        <f aca="false">MAX(D106+IF($A107=E$4,1,-1),E106-1,D107-1)</f>
        <v>-98</v>
      </c>
      <c r="F107" s="2" t="n">
        <f aca="false">MAX(E106+IF($A107=F$4,1,-1),F106-1,E107-1)</f>
        <v>-96</v>
      </c>
      <c r="G107" s="2" t="n">
        <f aca="false">MAX(F106+IF($A107=G$4,1,-1),G106-1,F107-1)</f>
        <v>-94</v>
      </c>
      <c r="H107" s="2" t="n">
        <f aca="false">MAX(G106+IF($A107=H$4,1,-1),H106-1,G107-1)</f>
        <v>-94</v>
      </c>
      <c r="I107" s="2" t="n">
        <f aca="false">MAX(H106+IF($A107=I$4,1,-1),I106-1,H107-1)</f>
        <v>-94</v>
      </c>
      <c r="J107" s="2" t="n">
        <f aca="false">MAX(I106+IF($A107=J$4,1,-1),J106-1,I107-1)</f>
        <v>-94</v>
      </c>
      <c r="K107" s="2" t="n">
        <f aca="false">MAX(J106+IF($A107=K$4,1,-1),K106-1,J107-1)</f>
        <v>-92</v>
      </c>
      <c r="L107" s="2" t="n">
        <f aca="false">MAX(K106+IF($A107=L$4,1,-1),L106-1,K107-1)</f>
        <v>-92</v>
      </c>
      <c r="M107" s="2" t="n">
        <f aca="false">MAX(L106+IF($A107=M$4,1,-1),M106-1,L107-1)</f>
        <v>-92</v>
      </c>
      <c r="N107" s="2" t="n">
        <f aca="false">MAX(M106+IF($A107=N$4,1,-1),N106-1,M107-1)</f>
        <v>-92</v>
      </c>
      <c r="O107" s="2" t="n">
        <f aca="false">MAX(N106+IF($A107=O$4,1,-1),O106-1,N107-1)</f>
        <v>-90</v>
      </c>
      <c r="P107" s="2" t="n">
        <f aca="false">MAX(O106+IF($A107=P$4,1,-1),P106-1,O107-1)</f>
        <v>-90</v>
      </c>
      <c r="Q107" s="2" t="n">
        <f aca="false">MAX(P106+IF($A107=Q$4,1,-1),Q106-1,P107-1)</f>
        <v>-90</v>
      </c>
      <c r="R107" s="2" t="n">
        <f aca="false">MAX(Q106+IF($A107=R$4,1,-1),R106-1,Q107-1)</f>
        <v>-90</v>
      </c>
      <c r="S107" s="2" t="n">
        <f aca="false">MAX(R106+IF($A107=S$4,1,-1),S106-1,R107-1)</f>
        <v>-90</v>
      </c>
      <c r="T107" s="2" t="n">
        <f aca="false">MAX(S106+IF($A107=T$4,1,-1),T106-1,S107-1)</f>
        <v>-90</v>
      </c>
      <c r="U107" s="2" t="n">
        <f aca="false">MAX(T106+IF($A107=U$4,1,-1),U106-1,T107-1)</f>
        <v>-89</v>
      </c>
      <c r="V107" s="2" t="n">
        <f aca="false">MAX(U106+IF($A107=V$4,1,-1),V106-1,U107-1)</f>
        <v>-89</v>
      </c>
      <c r="W107" s="2" t="n">
        <f aca="false">MAX(V106+IF($A107=W$4,1,-1),W106-1,V107-1)</f>
        <v>-89</v>
      </c>
      <c r="X107" s="2" t="n">
        <f aca="false">MAX(W106+IF($A107=X$4,1,-1),X106-1,W107-1)</f>
        <v>-89</v>
      </c>
      <c r="Y107" s="2" t="n">
        <f aca="false">MAX(X106+IF($A107=Y$4,1,-1),Y106-1,X107-1)</f>
        <v>-89</v>
      </c>
      <c r="Z107" s="2" t="n">
        <f aca="false">MAX(Y106+IF($A107=Z$4,1,-1),Z106-1,Y107-1)</f>
        <v>-89</v>
      </c>
      <c r="AA107" s="2" t="n">
        <f aca="false">MAX(Z106+IF($A107=AA$4,1,-1),AA106-1,Z107-1)</f>
        <v>-89</v>
      </c>
      <c r="AB107" s="2" t="n">
        <f aca="false">MAX(AA106+IF($A107=AB$4,1,-1),AB106-1,AA107-1)</f>
        <v>-89</v>
      </c>
      <c r="AC107" s="2" t="n">
        <f aca="false">MAX(AB106+IF($A107=AC$4,1,-1),AC106-1,AB107-1)</f>
        <v>-89</v>
      </c>
      <c r="AD107" s="2" t="n">
        <f aca="false">MAX(AC106+IF($A107=AD$4,1,-1),AD106-1,AC107-1)</f>
        <v>-87</v>
      </c>
      <c r="AE107" s="2" t="n">
        <f aca="false">MAX(AD106+IF($A107=AE$4,1,-1),AE106-1,AD107-1)</f>
        <v>-87</v>
      </c>
      <c r="AF107" s="2" t="n">
        <f aca="false">MAX(AE106+IF($A107=AF$4,1,-1),AF106-1,AE107-1)</f>
        <v>-87</v>
      </c>
      <c r="AG107" s="2" t="n">
        <f aca="false">MAX(AF106+IF($A107=AG$4,1,-1),AG106-1,AF107-1)</f>
        <v>-87</v>
      </c>
      <c r="AH107" s="2" t="n">
        <f aca="false">MAX(AG106+IF($A107=AH$4,1,-1),AH106-1,AG107-1)</f>
        <v>-87</v>
      </c>
      <c r="AI107" s="2" t="n">
        <f aca="false">MAX(AH106+IF($A107=AI$4,1,-1),AI106-1,AH107-1)</f>
        <v>-87</v>
      </c>
      <c r="AJ107" s="2" t="n">
        <f aca="false">MAX(AI106+IF($A107=AJ$4,1,-1),AJ106-1,AI107-1)</f>
        <v>-87</v>
      </c>
      <c r="AK107" s="2" t="n">
        <f aca="false">MAX(AJ106+IF($A107=AK$4,1,-1),AK106-1,AJ107-1)</f>
        <v>-87</v>
      </c>
      <c r="AL107" s="2" t="n">
        <f aca="false">MAX(AK106+IF($A107=AL$4,1,-1),AL106-1,AK107-1)</f>
        <v>-87</v>
      </c>
      <c r="AM107" s="2" t="n">
        <f aca="false">MAX(AL106+IF($A107=AM$4,1,-1),AM106-1,AL107-1)</f>
        <v>-87</v>
      </c>
      <c r="AN107" s="2" t="n">
        <f aca="false">MAX(AM106+IF($A107=AN$4,1,-1),AN106-1,AM107-1)</f>
        <v>-87</v>
      </c>
      <c r="AO107" s="2" t="n">
        <f aca="false">MAX(AN106+IF($A107=AO$4,1,-1),AO106-1,AN107-1)</f>
        <v>-87</v>
      </c>
      <c r="AP107" s="2" t="n">
        <f aca="false">MAX(AO106+IF($A107=AP$4,1,-1),AP106-1,AO107-1)</f>
        <v>-87</v>
      </c>
      <c r="AQ107" s="2" t="n">
        <f aca="false">MAX(AP106+IF($A107=AQ$4,1,-1),AQ106-1,AP107-1)</f>
        <v>-87</v>
      </c>
      <c r="AR107" s="2" t="n">
        <f aca="false">MAX(AQ106+IF($A107=AR$4,1,-1),AR106-1,AQ107-1)</f>
        <v>-87</v>
      </c>
      <c r="AS107" s="2" t="n">
        <f aca="false">MAX(AR106+IF($A107=AS$4,1,-1),AS106-1,AR107-1)</f>
        <v>-87</v>
      </c>
      <c r="AT107" s="2" t="n">
        <f aca="false">MAX(AS106+IF($A107=AT$4,1,-1),AT106-1,AS107-1)</f>
        <v>-87</v>
      </c>
      <c r="AU107" s="2" t="n">
        <f aca="false">MAX(AT106+IF($A107=AU$4,1,-1),AU106-1,AT107-1)</f>
        <v>-87</v>
      </c>
      <c r="AV107" s="2" t="n">
        <f aca="false">MAX(AU106+IF($A107=AV$4,1,-1),AV106-1,AU107-1)</f>
        <v>-87</v>
      </c>
      <c r="AW107" s="2" t="n">
        <f aca="false">MAX(AV106+IF($A107=AW$4,1,-1),AW106-1,AV107-1)</f>
        <v>-88</v>
      </c>
      <c r="AX107" s="2" t="n">
        <f aca="false">MAX(AW106+IF($A107=AX$4,1,-1),AX106-1,AW107-1)</f>
        <v>-88</v>
      </c>
      <c r="AY107" s="2" t="n">
        <f aca="false">MAX(AX106+IF($A107=AY$4,1,-1),AY106-1,AX107-1)</f>
        <v>-88</v>
      </c>
      <c r="AZ107" s="2" t="n">
        <f aca="false">MAX(AY106+IF($A107=AZ$4,1,-1),AZ106-1,AY107-1)</f>
        <v>-88</v>
      </c>
      <c r="BA107" s="2" t="n">
        <f aca="false">MAX(AZ106+IF($A107=BA$4,1,-1),BA106-1,AZ107-1)</f>
        <v>-88</v>
      </c>
      <c r="BB107" s="2" t="n">
        <f aca="false">MAX(BA106+IF($A107=BB$4,1,-1),BB106-1,BA107-1)</f>
        <v>-88</v>
      </c>
      <c r="BC107" s="2" t="n">
        <f aca="false">MAX(BB106+IF($A107=BC$4,1,-1),BC106-1,BB107-1)</f>
        <v>-88</v>
      </c>
      <c r="BD107" s="2" t="n">
        <f aca="false">MAX(BC106+IF($A107=BD$4,1,-1),BD106-1,BC107-1)</f>
        <v>-88</v>
      </c>
      <c r="BE107" s="2" t="n">
        <f aca="false">MAX(BD106+IF($A107=BE$4,1,-1),BE106-1,BD107-1)</f>
        <v>-88</v>
      </c>
      <c r="BF107" s="2" t="n">
        <f aca="false">MAX(BE106+IF($A107=BF$4,1,-1),BF106-1,BE107-1)</f>
        <v>-88</v>
      </c>
      <c r="BG107" s="2" t="n">
        <f aca="false">MAX(BF106+IF($A107=BG$4,1,-1),BG106-1,BF107-1)</f>
        <v>-88</v>
      </c>
      <c r="BH107" s="2" t="n">
        <f aca="false">MAX(BG106+IF($A107=BH$4,1,-1),BH106-1,BG107-1)</f>
        <v>-88</v>
      </c>
      <c r="BI107" s="2" t="n">
        <f aca="false">MAX(BH106+IF($A107=BI$4,1,-1),BI106-1,BH107-1)</f>
        <v>-88</v>
      </c>
      <c r="BJ107" s="2" t="n">
        <f aca="false">MAX(BI106+IF($A107=BJ$4,1,-1),BJ106-1,BI107-1)</f>
        <v>-88</v>
      </c>
      <c r="BK107" s="2" t="n">
        <f aca="false">MAX(BJ106+IF($A107=BK$4,1,-1),BK106-1,BJ107-1)</f>
        <v>-88</v>
      </c>
      <c r="BL107" s="2" t="n">
        <f aca="false">MAX(BK106+IF($A107=BL$4,1,-1),BL106-1,BK107-1)</f>
        <v>-86</v>
      </c>
      <c r="BM107" s="2" t="n">
        <f aca="false">MAX(BL106+IF($A107=BM$4,1,-1),BM106-1,BL107-1)</f>
        <v>-86</v>
      </c>
      <c r="BN107" s="2" t="n">
        <f aca="false">MAX(BM106+IF($A107=BN$4,1,-1),BN106-1,BM107-1)</f>
        <v>-87</v>
      </c>
      <c r="BO107" s="2" t="n">
        <f aca="false">MAX(BN106+IF($A107=BO$4,1,-1),BO106-1,BN107-1)</f>
        <v>-88</v>
      </c>
      <c r="BP107" s="2" t="n">
        <f aca="false">MAX(BO106+IF($A107=BP$4,1,-1),BP106-1,BO107-1)</f>
        <v>-86</v>
      </c>
      <c r="BQ107" s="2" t="n">
        <f aca="false">MAX(BP106+IF($A107=BQ$4,1,-1),BQ106-1,BP107-1)</f>
        <v>-86</v>
      </c>
      <c r="BR107" s="2" t="n">
        <f aca="false">MAX(BQ106+IF($A107=BR$4,1,-1),BR106-1,BQ107-1)</f>
        <v>-86</v>
      </c>
      <c r="BS107" s="2" t="n">
        <f aca="false">MAX(BR106+IF($A107=BS$4,1,-1),BS106-1,BR107-1)</f>
        <v>-86</v>
      </c>
      <c r="BT107" s="2" t="n">
        <f aca="false">MAX(BS106+IF($A107=BT$4,1,-1),BT106-1,BS107-1)</f>
        <v>-86</v>
      </c>
      <c r="BU107" s="2" t="n">
        <f aca="false">MAX(BT106+IF($A107=BU$4,1,-1),BU106-1,BT107-1)</f>
        <v>-86</v>
      </c>
      <c r="BV107" s="2" t="n">
        <f aca="false">MAX(BU106+IF($A107=BV$4,1,-1),BV106-1,BU107-1)</f>
        <v>-86</v>
      </c>
      <c r="BW107" s="2" t="n">
        <f aca="false">MAX(BV106+IF($A107=BW$4,1,-1),BW106-1,BV107-1)</f>
        <v>-86</v>
      </c>
      <c r="BX107" s="2" t="n">
        <f aca="false">MAX(BW106+IF($A107=BX$4,1,-1),BX106-1,BW107-1)</f>
        <v>-86</v>
      </c>
      <c r="BY107" s="2" t="n">
        <f aca="false">MAX(BX106+IF($A107=BY$4,1,-1),BY106-1,BX107-1)</f>
        <v>-86</v>
      </c>
      <c r="BZ107" s="2" t="n">
        <f aca="false">MAX(BY106+IF($A107=BZ$4,1,-1),BZ106-1,BY107-1)</f>
        <v>-86</v>
      </c>
      <c r="CA107" s="2" t="n">
        <f aca="false">MAX(BZ106+IF($A107=CA$4,1,-1),CA106-1,BZ107-1)</f>
        <v>-87</v>
      </c>
      <c r="CB107" s="2" t="n">
        <f aca="false">MAX(CA106+IF($A107=CB$4,1,-1),CB106-1,CA107-1)</f>
        <v>-88</v>
      </c>
      <c r="CC107" s="2" t="n">
        <f aca="false">MAX(CB106+IF($A107=CC$4,1,-1),CC106-1,CB107-1)</f>
        <v>-88</v>
      </c>
      <c r="CD107" s="2" t="n">
        <f aca="false">MAX(CC106+IF($A107=CD$4,1,-1),CD106-1,CC107-1)</f>
        <v>-88</v>
      </c>
      <c r="CE107" s="2" t="n">
        <f aca="false">MAX(CD106+IF($A107=CE$4,1,-1),CE106-1,CD107-1)</f>
        <v>-88</v>
      </c>
      <c r="CF107" s="2" t="n">
        <f aca="false">MAX(CE106+IF($A107=CF$4,1,-1),CF106-1,CE107-1)</f>
        <v>-88</v>
      </c>
      <c r="CG107" s="2" t="n">
        <f aca="false">MAX(CF106+IF($A107=CG$4,1,-1),CG106-1,CF107-1)</f>
        <v>-88</v>
      </c>
      <c r="CH107" s="2" t="n">
        <f aca="false">MAX(CG106+IF($A107=CH$4,1,-1),CH106-1,CG107-1)</f>
        <v>-88</v>
      </c>
      <c r="CI107" s="2" t="n">
        <f aca="false">MAX(CH106+IF($A107=CI$4,1,-1),CI106-1,CH107-1)</f>
        <v>-88</v>
      </c>
      <c r="CJ107" s="2" t="n">
        <f aca="false">MAX(CI106+IF($A107=CJ$4,1,-1),CJ106-1,CI107-1)</f>
        <v>-88</v>
      </c>
      <c r="CK107" s="2" t="n">
        <f aca="false">MAX(CJ106+IF($A107=CK$4,1,-1),CK106-1,CJ107-1)</f>
        <v>-88</v>
      </c>
      <c r="CL107" s="2" t="n">
        <f aca="false">MAX(CK106+IF($A107=CL$4,1,-1),CL106-1,CK107-1)</f>
        <v>-89</v>
      </c>
      <c r="CM107" s="2" t="n">
        <f aca="false">MAX(CL106+IF($A107=CM$4,1,-1),CM106-1,CL107-1)</f>
        <v>-90</v>
      </c>
      <c r="CN107" s="2" t="n">
        <f aca="false">MAX(CM106+IF($A107=CN$4,1,-1),CN106-1,CM107-1)</f>
        <v>-90</v>
      </c>
      <c r="CO107" s="2" t="n">
        <f aca="false">MAX(CN106+IF($A107=CO$4,1,-1),CO106-1,CN107-1)</f>
        <v>-91</v>
      </c>
      <c r="CP107" s="2" t="n">
        <f aca="false">MAX(CO106+IF($A107=CP$4,1,-1),CP106-1,CO107-1)</f>
        <v>-91</v>
      </c>
      <c r="CQ107" s="2" t="n">
        <f aca="false">MAX(CP106+IF($A107=CQ$4,1,-1),CQ106-1,CP107-1)</f>
        <v>-91</v>
      </c>
    </row>
    <row r="108" customFormat="false" ht="15" hidden="false" customHeight="false" outlineLevel="0" collapsed="false">
      <c r="A108" s="4" t="s">
        <v>209</v>
      </c>
      <c r="B108" s="12" t="n">
        <v>-103</v>
      </c>
      <c r="C108" s="2" t="n">
        <f aca="false">MAX(B107+IF($A108=C$4,1,-1),C107-1,B108-1)</f>
        <v>-103</v>
      </c>
      <c r="D108" s="2" t="n">
        <f aca="false">MAX(C107+IF($A108=D$4,1,-1),D107-1,C108-1)</f>
        <v>-101</v>
      </c>
      <c r="E108" s="2" t="n">
        <f aca="false">MAX(D107+IF($A108=E$4,1,-1),E107-1,D108-1)</f>
        <v>-99</v>
      </c>
      <c r="F108" s="2" t="n">
        <f aca="false">MAX(E107+IF($A108=F$4,1,-1),F107-1,E108-1)</f>
        <v>-97</v>
      </c>
      <c r="G108" s="2" t="n">
        <f aca="false">MAX(F107+IF($A108=G$4,1,-1),G107-1,F108-1)</f>
        <v>-95</v>
      </c>
      <c r="H108" s="2" t="n">
        <f aca="false">MAX(G107+IF($A108=H$4,1,-1),H107-1,G108-1)</f>
        <v>-95</v>
      </c>
      <c r="I108" s="2" t="n">
        <f aca="false">MAX(H107+IF($A108=I$4,1,-1),I107-1,H108-1)</f>
        <v>-95</v>
      </c>
      <c r="J108" s="2" t="n">
        <f aca="false">MAX(I107+IF($A108=J$4,1,-1),J107-1,I108-1)</f>
        <v>-95</v>
      </c>
      <c r="K108" s="2" t="n">
        <f aca="false">MAX(J107+IF($A108=K$4,1,-1),K107-1,J108-1)</f>
        <v>-93</v>
      </c>
      <c r="L108" s="2" t="n">
        <f aca="false">MAX(K107+IF($A108=L$4,1,-1),L107-1,K108-1)</f>
        <v>-93</v>
      </c>
      <c r="M108" s="2" t="n">
        <f aca="false">MAX(L107+IF($A108=M$4,1,-1),M107-1,L108-1)</f>
        <v>-93</v>
      </c>
      <c r="N108" s="2" t="n">
        <f aca="false">MAX(M107+IF($A108=N$4,1,-1),N107-1,M108-1)</f>
        <v>-93</v>
      </c>
      <c r="O108" s="2" t="n">
        <f aca="false">MAX(N107+IF($A108=O$4,1,-1),O107-1,N108-1)</f>
        <v>-91</v>
      </c>
      <c r="P108" s="2" t="n">
        <f aca="false">MAX(O107+IF($A108=P$4,1,-1),P107-1,O108-1)</f>
        <v>-91</v>
      </c>
      <c r="Q108" s="2" t="n">
        <f aca="false">MAX(P107+IF($A108=Q$4,1,-1),Q107-1,P108-1)</f>
        <v>-91</v>
      </c>
      <c r="R108" s="2" t="n">
        <f aca="false">MAX(Q107+IF($A108=R$4,1,-1),R107-1,Q108-1)</f>
        <v>-91</v>
      </c>
      <c r="S108" s="2" t="n">
        <f aca="false">MAX(R107+IF($A108=S$4,1,-1),S107-1,R108-1)</f>
        <v>-91</v>
      </c>
      <c r="T108" s="2" t="n">
        <f aca="false">MAX(S107+IF($A108=T$4,1,-1),T107-1,S108-1)</f>
        <v>-91</v>
      </c>
      <c r="U108" s="2" t="n">
        <f aca="false">MAX(T107+IF($A108=U$4,1,-1),U107-1,T108-1)</f>
        <v>-90</v>
      </c>
      <c r="V108" s="2" t="n">
        <f aca="false">MAX(U107+IF($A108=V$4,1,-1),V107-1,U108-1)</f>
        <v>-90</v>
      </c>
      <c r="W108" s="2" t="n">
        <f aca="false">MAX(V107+IF($A108=W$4,1,-1),W107-1,V108-1)</f>
        <v>-90</v>
      </c>
      <c r="X108" s="2" t="n">
        <f aca="false">MAX(W107+IF($A108=X$4,1,-1),X107-1,W108-1)</f>
        <v>-90</v>
      </c>
      <c r="Y108" s="2" t="n">
        <f aca="false">MAX(X107+IF($A108=Y$4,1,-1),Y107-1,X108-1)</f>
        <v>-90</v>
      </c>
      <c r="Z108" s="2" t="n">
        <f aca="false">MAX(Y107+IF($A108=Z$4,1,-1),Z107-1,Y108-1)</f>
        <v>-90</v>
      </c>
      <c r="AA108" s="2" t="n">
        <f aca="false">MAX(Z107+IF($A108=AA$4,1,-1),AA107-1,Z108-1)</f>
        <v>-90</v>
      </c>
      <c r="AB108" s="2" t="n">
        <f aca="false">MAX(AA107+IF($A108=AB$4,1,-1),AB107-1,AA108-1)</f>
        <v>-90</v>
      </c>
      <c r="AC108" s="2" t="n">
        <f aca="false">MAX(AB107+IF($A108=AC$4,1,-1),AC107-1,AB108-1)</f>
        <v>-90</v>
      </c>
      <c r="AD108" s="2" t="n">
        <f aca="false">MAX(AC107+IF($A108=AD$4,1,-1),AD107-1,AC108-1)</f>
        <v>-88</v>
      </c>
      <c r="AE108" s="2" t="n">
        <f aca="false">MAX(AD107+IF($A108=AE$4,1,-1),AE107-1,AD108-1)</f>
        <v>-88</v>
      </c>
      <c r="AF108" s="2" t="n">
        <f aca="false">MAX(AE107+IF($A108=AF$4,1,-1),AF107-1,AE108-1)</f>
        <v>-88</v>
      </c>
      <c r="AG108" s="2" t="n">
        <f aca="false">MAX(AF107+IF($A108=AG$4,1,-1),AG107-1,AF108-1)</f>
        <v>-88</v>
      </c>
      <c r="AH108" s="2" t="n">
        <f aca="false">MAX(AG107+IF($A108=AH$4,1,-1),AH107-1,AG108-1)</f>
        <v>-88</v>
      </c>
      <c r="AI108" s="2" t="n">
        <f aca="false">MAX(AH107+IF($A108=AI$4,1,-1),AI107-1,AH108-1)</f>
        <v>-88</v>
      </c>
      <c r="AJ108" s="2" t="n">
        <f aca="false">MAX(AI107+IF($A108=AJ$4,1,-1),AJ107-1,AI108-1)</f>
        <v>-88</v>
      </c>
      <c r="AK108" s="2" t="n">
        <f aca="false">MAX(AJ107+IF($A108=AK$4,1,-1),AK107-1,AJ108-1)</f>
        <v>-88</v>
      </c>
      <c r="AL108" s="2" t="n">
        <f aca="false">MAX(AK107+IF($A108=AL$4,1,-1),AL107-1,AK108-1)</f>
        <v>-88</v>
      </c>
      <c r="AM108" s="2" t="n">
        <f aca="false">MAX(AL107+IF($A108=AM$4,1,-1),AM107-1,AL108-1)</f>
        <v>-88</v>
      </c>
      <c r="AN108" s="2" t="n">
        <f aca="false">MAX(AM107+IF($A108=AN$4,1,-1),AN107-1,AM108-1)</f>
        <v>-88</v>
      </c>
      <c r="AO108" s="2" t="n">
        <f aca="false">MAX(AN107+IF($A108=AO$4,1,-1),AO107-1,AN108-1)</f>
        <v>-88</v>
      </c>
      <c r="AP108" s="2" t="n">
        <f aca="false">MAX(AO107+IF($A108=AP$4,1,-1),AP107-1,AO108-1)</f>
        <v>-88</v>
      </c>
      <c r="AQ108" s="2" t="n">
        <f aca="false">MAX(AP107+IF($A108=AQ$4,1,-1),AQ107-1,AP108-1)</f>
        <v>-88</v>
      </c>
      <c r="AR108" s="2" t="n">
        <f aca="false">MAX(AQ107+IF($A108=AR$4,1,-1),AR107-1,AQ108-1)</f>
        <v>-88</v>
      </c>
      <c r="AS108" s="2" t="n">
        <f aca="false">MAX(AR107+IF($A108=AS$4,1,-1),AS107-1,AR108-1)</f>
        <v>-88</v>
      </c>
      <c r="AT108" s="2" t="n">
        <f aca="false">MAX(AS107+IF($A108=AT$4,1,-1),AT107-1,AS108-1)</f>
        <v>-88</v>
      </c>
      <c r="AU108" s="2" t="n">
        <f aca="false">MAX(AT107+IF($A108=AU$4,1,-1),AU107-1,AT108-1)</f>
        <v>-88</v>
      </c>
      <c r="AV108" s="2" t="n">
        <f aca="false">MAX(AU107+IF($A108=AV$4,1,-1),AV107-1,AU108-1)</f>
        <v>-88</v>
      </c>
      <c r="AW108" s="2" t="n">
        <f aca="false">MAX(AV107+IF($A108=AW$4,1,-1),AW107-1,AV108-1)</f>
        <v>-88</v>
      </c>
      <c r="AX108" s="2" t="n">
        <f aca="false">MAX(AW107+IF($A108=AX$4,1,-1),AX107-1,AW108-1)</f>
        <v>-89</v>
      </c>
      <c r="AY108" s="2" t="n">
        <f aca="false">MAX(AX107+IF($A108=AY$4,1,-1),AY107-1,AX108-1)</f>
        <v>-89</v>
      </c>
      <c r="AZ108" s="2" t="n">
        <f aca="false">MAX(AY107+IF($A108=AZ$4,1,-1),AZ107-1,AY108-1)</f>
        <v>-89</v>
      </c>
      <c r="BA108" s="2" t="n">
        <f aca="false">MAX(AZ107+IF($A108=BA$4,1,-1),BA107-1,AZ108-1)</f>
        <v>-89</v>
      </c>
      <c r="BB108" s="2" t="n">
        <f aca="false">MAX(BA107+IF($A108=BB$4,1,-1),BB107-1,BA108-1)</f>
        <v>-89</v>
      </c>
      <c r="BC108" s="2" t="n">
        <f aca="false">MAX(BB107+IF($A108=BC$4,1,-1),BC107-1,BB108-1)</f>
        <v>-89</v>
      </c>
      <c r="BD108" s="2" t="n">
        <f aca="false">MAX(BC107+IF($A108=BD$4,1,-1),BD107-1,BC108-1)</f>
        <v>-89</v>
      </c>
      <c r="BE108" s="2" t="n">
        <f aca="false">MAX(BD107+IF($A108=BE$4,1,-1),BE107-1,BD108-1)</f>
        <v>-89</v>
      </c>
      <c r="BF108" s="2" t="n">
        <f aca="false">MAX(BE107+IF($A108=BF$4,1,-1),BF107-1,BE108-1)</f>
        <v>-89</v>
      </c>
      <c r="BG108" s="2" t="n">
        <f aca="false">MAX(BF107+IF($A108=BG$4,1,-1),BG107-1,BF108-1)</f>
        <v>-89</v>
      </c>
      <c r="BH108" s="2" t="n">
        <f aca="false">MAX(BG107+IF($A108=BH$4,1,-1),BH107-1,BG108-1)</f>
        <v>-89</v>
      </c>
      <c r="BI108" s="2" t="n">
        <f aca="false">MAX(BH107+IF($A108=BI$4,1,-1),BI107-1,BH108-1)</f>
        <v>-89</v>
      </c>
      <c r="BJ108" s="2" t="n">
        <f aca="false">MAX(BI107+IF($A108=BJ$4,1,-1),BJ107-1,BI108-1)</f>
        <v>-89</v>
      </c>
      <c r="BK108" s="2" t="n">
        <f aca="false">MAX(BJ107+IF($A108=BK$4,1,-1),BK107-1,BJ108-1)</f>
        <v>-89</v>
      </c>
      <c r="BL108" s="2" t="n">
        <f aca="false">MAX(BK107+IF($A108=BL$4,1,-1),BL107-1,BK108-1)</f>
        <v>-87</v>
      </c>
      <c r="BM108" s="2" t="n">
        <f aca="false">MAX(BL107+IF($A108=BM$4,1,-1),BM107-1,BL108-1)</f>
        <v>-87</v>
      </c>
      <c r="BN108" s="2" t="n">
        <f aca="false">MAX(BM107+IF($A108=BN$4,1,-1),BN107-1,BM108-1)</f>
        <v>-87</v>
      </c>
      <c r="BO108" s="2" t="n">
        <f aca="false">MAX(BN107+IF($A108=BO$4,1,-1),BO107-1,BN108-1)</f>
        <v>-88</v>
      </c>
      <c r="BP108" s="2" t="n">
        <f aca="false">MAX(BO107+IF($A108=BP$4,1,-1),BP107-1,BO108-1)</f>
        <v>-87</v>
      </c>
      <c r="BQ108" s="2" t="n">
        <f aca="false">MAX(BP107+IF($A108=BQ$4,1,-1),BQ107-1,BP108-1)</f>
        <v>-87</v>
      </c>
      <c r="BR108" s="2" t="n">
        <f aca="false">MAX(BQ107+IF($A108=BR$4,1,-1),BR107-1,BQ108-1)</f>
        <v>-87</v>
      </c>
      <c r="BS108" s="2" t="n">
        <f aca="false">MAX(BR107+IF($A108=BS$4,1,-1),BS107-1,BR108-1)</f>
        <v>-87</v>
      </c>
      <c r="BT108" s="2" t="n">
        <f aca="false">MAX(BS107+IF($A108=BT$4,1,-1),BT107-1,BS108-1)</f>
        <v>-87</v>
      </c>
      <c r="BU108" s="2" t="n">
        <f aca="false">MAX(BT107+IF($A108=BU$4,1,-1),BU107-1,BT108-1)</f>
        <v>-87</v>
      </c>
      <c r="BV108" s="2" t="n">
        <f aca="false">MAX(BU107+IF($A108=BV$4,1,-1),BV107-1,BU108-1)</f>
        <v>-87</v>
      </c>
      <c r="BW108" s="2" t="n">
        <f aca="false">MAX(BV107+IF($A108=BW$4,1,-1),BW107-1,BV108-1)</f>
        <v>-87</v>
      </c>
      <c r="BX108" s="2" t="n">
        <f aca="false">MAX(BW107+IF($A108=BX$4,1,-1),BX107-1,BW108-1)</f>
        <v>-87</v>
      </c>
      <c r="BY108" s="2" t="n">
        <f aca="false">MAX(BX107+IF($A108=BY$4,1,-1),BY107-1,BX108-1)</f>
        <v>-87</v>
      </c>
      <c r="BZ108" s="2" t="n">
        <f aca="false">MAX(BY107+IF($A108=BZ$4,1,-1),BZ107-1,BY108-1)</f>
        <v>-87</v>
      </c>
      <c r="CA108" s="2" t="n">
        <f aca="false">MAX(BZ107+IF($A108=CA$4,1,-1),CA107-1,BZ108-1)</f>
        <v>-87</v>
      </c>
      <c r="CB108" s="2" t="n">
        <f aca="false">MAX(CA107+IF($A108=CB$4,1,-1),CB107-1,CA108-1)</f>
        <v>-88</v>
      </c>
      <c r="CC108" s="2" t="n">
        <f aca="false">MAX(CB107+IF($A108=CC$4,1,-1),CC107-1,CB108-1)</f>
        <v>-89</v>
      </c>
      <c r="CD108" s="2" t="n">
        <f aca="false">MAX(CC107+IF($A108=CD$4,1,-1),CD107-1,CC108-1)</f>
        <v>-89</v>
      </c>
      <c r="CE108" s="2" t="n">
        <f aca="false">MAX(CD107+IF($A108=CE$4,1,-1),CE107-1,CD108-1)</f>
        <v>-89</v>
      </c>
      <c r="CF108" s="2" t="n">
        <f aca="false">MAX(CE107+IF($A108=CF$4,1,-1),CF107-1,CE108-1)</f>
        <v>-89</v>
      </c>
      <c r="CG108" s="2" t="n">
        <f aca="false">MAX(CF107+IF($A108=CG$4,1,-1),CG107-1,CF108-1)</f>
        <v>-89</v>
      </c>
      <c r="CH108" s="2" t="n">
        <f aca="false">MAX(CG107+IF($A108=CH$4,1,-1),CH107-1,CG108-1)</f>
        <v>-89</v>
      </c>
      <c r="CI108" s="2" t="n">
        <f aca="false">MAX(CH107+IF($A108=CI$4,1,-1),CI107-1,CH108-1)</f>
        <v>-89</v>
      </c>
      <c r="CJ108" s="2" t="n">
        <f aca="false">MAX(CI107+IF($A108=CJ$4,1,-1),CJ107-1,CI108-1)</f>
        <v>-89</v>
      </c>
      <c r="CK108" s="2" t="n">
        <f aca="false">MAX(CJ107+IF($A108=CK$4,1,-1),CK107-1,CJ108-1)</f>
        <v>-89</v>
      </c>
      <c r="CL108" s="2" t="n">
        <f aca="false">MAX(CK107+IF($A108=CL$4,1,-1),CL107-1,CK108-1)</f>
        <v>-89</v>
      </c>
      <c r="CM108" s="2" t="n">
        <f aca="false">MAX(CL107+IF($A108=CM$4,1,-1),CM107-1,CL108-1)</f>
        <v>-90</v>
      </c>
      <c r="CN108" s="2" t="n">
        <f aca="false">MAX(CM107+IF($A108=CN$4,1,-1),CN107-1,CM108-1)</f>
        <v>-91</v>
      </c>
      <c r="CO108" s="2" t="n">
        <f aca="false">MAX(CN107+IF($A108=CO$4,1,-1),CO107-1,CN108-1)</f>
        <v>-91</v>
      </c>
      <c r="CP108" s="2" t="n">
        <f aca="false">MAX(CO107+IF($A108=CP$4,1,-1),CP107-1,CO108-1)</f>
        <v>-92</v>
      </c>
      <c r="CQ108" s="2" t="n">
        <f aca="false">MAX(CP107+IF($A108=CQ$4,1,-1),CQ107-1,CP108-1)</f>
        <v>-92</v>
      </c>
    </row>
    <row r="109" customFormat="false" ht="15" hidden="false" customHeight="false" outlineLevel="0" collapsed="false">
      <c r="A109" s="4" t="s">
        <v>180</v>
      </c>
      <c r="B109" s="12" t="n">
        <v>-104</v>
      </c>
      <c r="C109" s="2" t="n">
        <f aca="false">MAX(B108+IF($A109=C$4,1,-1),C108-1,B109-1)</f>
        <v>-104</v>
      </c>
      <c r="D109" s="2" t="n">
        <f aca="false">MAX(C108+IF($A109=D$4,1,-1),D108-1,C109-1)</f>
        <v>-102</v>
      </c>
      <c r="E109" s="2" t="n">
        <f aca="false">MAX(D108+IF($A109=E$4,1,-1),E108-1,D109-1)</f>
        <v>-100</v>
      </c>
      <c r="F109" s="2" t="n">
        <f aca="false">MAX(E108+IF($A109=F$4,1,-1),F108-1,E109-1)</f>
        <v>-98</v>
      </c>
      <c r="G109" s="2" t="n">
        <f aca="false">MAX(F108+IF($A109=G$4,1,-1),G108-1,F109-1)</f>
        <v>-96</v>
      </c>
      <c r="H109" s="2" t="n">
        <f aca="false">MAX(G108+IF($A109=H$4,1,-1),H108-1,G109-1)</f>
        <v>-96</v>
      </c>
      <c r="I109" s="2" t="n">
        <f aca="false">MAX(H108+IF($A109=I$4,1,-1),I108-1,H109-1)</f>
        <v>-96</v>
      </c>
      <c r="J109" s="2" t="n">
        <f aca="false">MAX(I108+IF($A109=J$4,1,-1),J108-1,I109-1)</f>
        <v>-96</v>
      </c>
      <c r="K109" s="2" t="n">
        <f aca="false">MAX(J108+IF($A109=K$4,1,-1),K108-1,J109-1)</f>
        <v>-94</v>
      </c>
      <c r="L109" s="2" t="n">
        <f aca="false">MAX(K108+IF($A109=L$4,1,-1),L108-1,K109-1)</f>
        <v>-94</v>
      </c>
      <c r="M109" s="2" t="n">
        <f aca="false">MAX(L108+IF($A109=M$4,1,-1),M108-1,L109-1)</f>
        <v>-94</v>
      </c>
      <c r="N109" s="2" t="n">
        <f aca="false">MAX(M108+IF($A109=N$4,1,-1),N108-1,M109-1)</f>
        <v>-94</v>
      </c>
      <c r="O109" s="2" t="n">
        <f aca="false">MAX(N108+IF($A109=O$4,1,-1),O108-1,N109-1)</f>
        <v>-92</v>
      </c>
      <c r="P109" s="2" t="n">
        <f aca="false">MAX(O108+IF($A109=P$4,1,-1),P108-1,O109-1)</f>
        <v>-92</v>
      </c>
      <c r="Q109" s="2" t="n">
        <f aca="false">MAX(P108+IF($A109=Q$4,1,-1),Q108-1,P109-1)</f>
        <v>-92</v>
      </c>
      <c r="R109" s="2" t="n">
        <f aca="false">MAX(Q108+IF($A109=R$4,1,-1),R108-1,Q109-1)</f>
        <v>-92</v>
      </c>
      <c r="S109" s="2" t="n">
        <f aca="false">MAX(R108+IF($A109=S$4,1,-1),S108-1,R109-1)</f>
        <v>-92</v>
      </c>
      <c r="T109" s="2" t="n">
        <f aca="false">MAX(S108+IF($A109=T$4,1,-1),T108-1,S109-1)</f>
        <v>-92</v>
      </c>
      <c r="U109" s="2" t="n">
        <f aca="false">MAX(T108+IF($A109=U$4,1,-1),U108-1,T109-1)</f>
        <v>-91</v>
      </c>
      <c r="V109" s="2" t="n">
        <f aca="false">MAX(U108+IF($A109=V$4,1,-1),V108-1,U109-1)</f>
        <v>-91</v>
      </c>
      <c r="W109" s="2" t="n">
        <f aca="false">MAX(V108+IF($A109=W$4,1,-1),W108-1,V109-1)</f>
        <v>-91</v>
      </c>
      <c r="X109" s="2" t="n">
        <f aca="false">MAX(W108+IF($A109=X$4,1,-1),X108-1,W109-1)</f>
        <v>-91</v>
      </c>
      <c r="Y109" s="2" t="n">
        <f aca="false">MAX(X108+IF($A109=Y$4,1,-1),Y108-1,X109-1)</f>
        <v>-91</v>
      </c>
      <c r="Z109" s="2" t="n">
        <f aca="false">MAX(Y108+IF($A109=Z$4,1,-1),Z108-1,Y109-1)</f>
        <v>-91</v>
      </c>
      <c r="AA109" s="2" t="n">
        <f aca="false">MAX(Z108+IF($A109=AA$4,1,-1),AA108-1,Z109-1)</f>
        <v>-91</v>
      </c>
      <c r="AB109" s="2" t="n">
        <f aca="false">MAX(AA108+IF($A109=AB$4,1,-1),AB108-1,AA109-1)</f>
        <v>-91</v>
      </c>
      <c r="AC109" s="2" t="n">
        <f aca="false">MAX(AB108+IF($A109=AC$4,1,-1),AC108-1,AB109-1)</f>
        <v>-91</v>
      </c>
      <c r="AD109" s="2" t="n">
        <f aca="false">MAX(AC108+IF($A109=AD$4,1,-1),AD108-1,AC109-1)</f>
        <v>-89</v>
      </c>
      <c r="AE109" s="2" t="n">
        <f aca="false">MAX(AD108+IF($A109=AE$4,1,-1),AE108-1,AD109-1)</f>
        <v>-89</v>
      </c>
      <c r="AF109" s="2" t="n">
        <f aca="false">MAX(AE108+IF($A109=AF$4,1,-1),AF108-1,AE109-1)</f>
        <v>-89</v>
      </c>
      <c r="AG109" s="2" t="n">
        <f aca="false">MAX(AF108+IF($A109=AG$4,1,-1),AG108-1,AF109-1)</f>
        <v>-89</v>
      </c>
      <c r="AH109" s="2" t="n">
        <f aca="false">MAX(AG108+IF($A109=AH$4,1,-1),AH108-1,AG109-1)</f>
        <v>-89</v>
      </c>
      <c r="AI109" s="2" t="n">
        <f aca="false">MAX(AH108+IF($A109=AI$4,1,-1),AI108-1,AH109-1)</f>
        <v>-89</v>
      </c>
      <c r="AJ109" s="2" t="n">
        <f aca="false">MAX(AI108+IF($A109=AJ$4,1,-1),AJ108-1,AI109-1)</f>
        <v>-89</v>
      </c>
      <c r="AK109" s="2" t="n">
        <f aca="false">MAX(AJ108+IF($A109=AK$4,1,-1),AK108-1,AJ109-1)</f>
        <v>-89</v>
      </c>
      <c r="AL109" s="2" t="n">
        <f aca="false">MAX(AK108+IF($A109=AL$4,1,-1),AL108-1,AK109-1)</f>
        <v>-89</v>
      </c>
      <c r="AM109" s="2" t="n">
        <f aca="false">MAX(AL108+IF($A109=AM$4,1,-1),AM108-1,AL109-1)</f>
        <v>-89</v>
      </c>
      <c r="AN109" s="2" t="n">
        <f aca="false">MAX(AM108+IF($A109=AN$4,1,-1),AN108-1,AM109-1)</f>
        <v>-89</v>
      </c>
      <c r="AO109" s="2" t="n">
        <f aca="false">MAX(AN108+IF($A109=AO$4,1,-1),AO108-1,AN109-1)</f>
        <v>-89</v>
      </c>
      <c r="AP109" s="2" t="n">
        <f aca="false">MAX(AO108+IF($A109=AP$4,1,-1),AP108-1,AO109-1)</f>
        <v>-89</v>
      </c>
      <c r="AQ109" s="2" t="n">
        <f aca="false">MAX(AP108+IF($A109=AQ$4,1,-1),AQ108-1,AP109-1)</f>
        <v>-89</v>
      </c>
      <c r="AR109" s="2" t="n">
        <f aca="false">MAX(AQ108+IF($A109=AR$4,1,-1),AR108-1,AQ109-1)</f>
        <v>-89</v>
      </c>
      <c r="AS109" s="2" t="n">
        <f aca="false">MAX(AR108+IF($A109=AS$4,1,-1),AS108-1,AR109-1)</f>
        <v>-89</v>
      </c>
      <c r="AT109" s="2" t="n">
        <f aca="false">MAX(AS108+IF($A109=AT$4,1,-1),AT108-1,AS109-1)</f>
        <v>-89</v>
      </c>
      <c r="AU109" s="2" t="n">
        <f aca="false">MAX(AT108+IF($A109=AU$4,1,-1),AU108-1,AT109-1)</f>
        <v>-89</v>
      </c>
      <c r="AV109" s="2" t="n">
        <f aca="false">MAX(AU108+IF($A109=AV$4,1,-1),AV108-1,AU109-1)</f>
        <v>-89</v>
      </c>
      <c r="AW109" s="2" t="n">
        <f aca="false">MAX(AV108+IF($A109=AW$4,1,-1),AW108-1,AV109-1)</f>
        <v>-89</v>
      </c>
      <c r="AX109" s="2" t="n">
        <f aca="false">MAX(AW108+IF($A109=AX$4,1,-1),AX108-1,AW109-1)</f>
        <v>-89</v>
      </c>
      <c r="AY109" s="2" t="n">
        <f aca="false">MAX(AX108+IF($A109=AY$4,1,-1),AY108-1,AX109-1)</f>
        <v>-90</v>
      </c>
      <c r="AZ109" s="2" t="n">
        <f aca="false">MAX(AY108+IF($A109=AZ$4,1,-1),AZ108-1,AY109-1)</f>
        <v>-90</v>
      </c>
      <c r="BA109" s="2" t="n">
        <f aca="false">MAX(AZ108+IF($A109=BA$4,1,-1),BA108-1,AZ109-1)</f>
        <v>-90</v>
      </c>
      <c r="BB109" s="2" t="n">
        <f aca="false">MAX(BA108+IF($A109=BB$4,1,-1),BB108-1,BA109-1)</f>
        <v>-90</v>
      </c>
      <c r="BC109" s="2" t="n">
        <f aca="false">MAX(BB108+IF($A109=BC$4,1,-1),BC108-1,BB109-1)</f>
        <v>-90</v>
      </c>
      <c r="BD109" s="2" t="n">
        <f aca="false">MAX(BC108+IF($A109=BD$4,1,-1),BD108-1,BC109-1)</f>
        <v>-90</v>
      </c>
      <c r="BE109" s="2" t="n">
        <f aca="false">MAX(BD108+IF($A109=BE$4,1,-1),BE108-1,BD109-1)</f>
        <v>-90</v>
      </c>
      <c r="BF109" s="2" t="n">
        <f aca="false">MAX(BE108+IF($A109=BF$4,1,-1),BF108-1,BE109-1)</f>
        <v>-90</v>
      </c>
      <c r="BG109" s="2" t="n">
        <f aca="false">MAX(BF108+IF($A109=BG$4,1,-1),BG108-1,BF109-1)</f>
        <v>-90</v>
      </c>
      <c r="BH109" s="2" t="n">
        <f aca="false">MAX(BG108+IF($A109=BH$4,1,-1),BH108-1,BG109-1)</f>
        <v>-90</v>
      </c>
      <c r="BI109" s="2" t="n">
        <f aca="false">MAX(BH108+IF($A109=BI$4,1,-1),BI108-1,BH109-1)</f>
        <v>-90</v>
      </c>
      <c r="BJ109" s="2" t="n">
        <f aca="false">MAX(BI108+IF($A109=BJ$4,1,-1),BJ108-1,BI109-1)</f>
        <v>-90</v>
      </c>
      <c r="BK109" s="2" t="n">
        <f aca="false">MAX(BJ108+IF($A109=BK$4,1,-1),BK108-1,BJ109-1)</f>
        <v>-90</v>
      </c>
      <c r="BL109" s="2" t="n">
        <f aca="false">MAX(BK108+IF($A109=BL$4,1,-1),BL108-1,BK109-1)</f>
        <v>-88</v>
      </c>
      <c r="BM109" s="2" t="n">
        <f aca="false">MAX(BL108+IF($A109=BM$4,1,-1),BM108-1,BL109-1)</f>
        <v>-88</v>
      </c>
      <c r="BN109" s="2" t="n">
        <f aca="false">MAX(BM108+IF($A109=BN$4,1,-1),BN108-1,BM109-1)</f>
        <v>-88</v>
      </c>
      <c r="BO109" s="2" t="n">
        <f aca="false">MAX(BN108+IF($A109=BO$4,1,-1),BO108-1,BN109-1)</f>
        <v>-88</v>
      </c>
      <c r="BP109" s="2" t="n">
        <f aca="false">MAX(BO108+IF($A109=BP$4,1,-1),BP108-1,BO109-1)</f>
        <v>-88</v>
      </c>
      <c r="BQ109" s="2" t="n">
        <f aca="false">MAX(BP108+IF($A109=BQ$4,1,-1),BQ108-1,BP109-1)</f>
        <v>-88</v>
      </c>
      <c r="BR109" s="2" t="n">
        <f aca="false">MAX(BQ108+IF($A109=BR$4,1,-1),BR108-1,BQ109-1)</f>
        <v>-88</v>
      </c>
      <c r="BS109" s="2" t="n">
        <f aca="false">MAX(BR108+IF($A109=BS$4,1,-1),BS108-1,BR109-1)</f>
        <v>-88</v>
      </c>
      <c r="BT109" s="2" t="n">
        <f aca="false">MAX(BS108+IF($A109=BT$4,1,-1),BT108-1,BS109-1)</f>
        <v>-88</v>
      </c>
      <c r="BU109" s="2" t="n">
        <f aca="false">MAX(BT108+IF($A109=BU$4,1,-1),BU108-1,BT109-1)</f>
        <v>-88</v>
      </c>
      <c r="BV109" s="2" t="n">
        <f aca="false">MAX(BU108+IF($A109=BV$4,1,-1),BV108-1,BU109-1)</f>
        <v>-88</v>
      </c>
      <c r="BW109" s="2" t="n">
        <f aca="false">MAX(BV108+IF($A109=BW$4,1,-1),BW108-1,BV109-1)</f>
        <v>-88</v>
      </c>
      <c r="BX109" s="2" t="n">
        <f aca="false">MAX(BW108+IF($A109=BX$4,1,-1),BX108-1,BW109-1)</f>
        <v>-88</v>
      </c>
      <c r="BY109" s="2" t="n">
        <f aca="false">MAX(BX108+IF($A109=BY$4,1,-1),BY108-1,BX109-1)</f>
        <v>-88</v>
      </c>
      <c r="BZ109" s="2" t="n">
        <f aca="false">MAX(BY108+IF($A109=BZ$4,1,-1),BZ108-1,BY109-1)</f>
        <v>-88</v>
      </c>
      <c r="CA109" s="2" t="n">
        <f aca="false">MAX(BZ108+IF($A109=CA$4,1,-1),CA108-1,BZ109-1)</f>
        <v>-88</v>
      </c>
      <c r="CB109" s="2" t="n">
        <f aca="false">MAX(CA108+IF($A109=CB$4,1,-1),CB108-1,CA109-1)</f>
        <v>-88</v>
      </c>
      <c r="CC109" s="2" t="n">
        <f aca="false">MAX(CB108+IF($A109=CC$4,1,-1),CC108-1,CB109-1)</f>
        <v>-89</v>
      </c>
      <c r="CD109" s="2" t="n">
        <f aca="false">MAX(CC108+IF($A109=CD$4,1,-1),CD108-1,CC109-1)</f>
        <v>-90</v>
      </c>
      <c r="CE109" s="2" t="n">
        <f aca="false">MAX(CD108+IF($A109=CE$4,1,-1),CE108-1,CD109-1)</f>
        <v>-90</v>
      </c>
      <c r="CF109" s="2" t="n">
        <f aca="false">MAX(CE108+IF($A109=CF$4,1,-1),CF108-1,CE109-1)</f>
        <v>-90</v>
      </c>
      <c r="CG109" s="2" t="n">
        <f aca="false">MAX(CF108+IF($A109=CG$4,1,-1),CG108-1,CF109-1)</f>
        <v>-90</v>
      </c>
      <c r="CH109" s="2" t="n">
        <f aca="false">MAX(CG108+IF($A109=CH$4,1,-1),CH108-1,CG109-1)</f>
        <v>-90</v>
      </c>
      <c r="CI109" s="2" t="n">
        <f aca="false">MAX(CH108+IF($A109=CI$4,1,-1),CI108-1,CH109-1)</f>
        <v>-90</v>
      </c>
      <c r="CJ109" s="2" t="n">
        <f aca="false">MAX(CI108+IF($A109=CJ$4,1,-1),CJ108-1,CI109-1)</f>
        <v>-90</v>
      </c>
      <c r="CK109" s="2" t="n">
        <f aca="false">MAX(CJ108+IF($A109=CK$4,1,-1),CK108-1,CJ109-1)</f>
        <v>-90</v>
      </c>
      <c r="CL109" s="2" t="n">
        <f aca="false">MAX(CK108+IF($A109=CL$4,1,-1),CL108-1,CK109-1)</f>
        <v>-90</v>
      </c>
      <c r="CM109" s="2" t="n">
        <f aca="false">MAX(CL108+IF($A109=CM$4,1,-1),CM108-1,CL109-1)</f>
        <v>-90</v>
      </c>
      <c r="CN109" s="2" t="n">
        <f aca="false">MAX(CM108+IF($A109=CN$4,1,-1),CN108-1,CM109-1)</f>
        <v>-91</v>
      </c>
      <c r="CO109" s="2" t="n">
        <f aca="false">MAX(CN108+IF($A109=CO$4,1,-1),CO108-1,CN109-1)</f>
        <v>-92</v>
      </c>
      <c r="CP109" s="2" t="n">
        <f aca="false">MAX(CO108+IF($A109=CP$4,1,-1),CP108-1,CO109-1)</f>
        <v>-92</v>
      </c>
      <c r="CQ109" s="2" t="n">
        <f aca="false">MAX(CP108+IF($A109=CQ$4,1,-1),CQ108-1,CP109-1)</f>
        <v>-93</v>
      </c>
    </row>
    <row r="110" customFormat="false" ht="15" hidden="false" customHeight="false" outlineLevel="0" collapsed="false">
      <c r="A110" s="4" t="s">
        <v>210</v>
      </c>
      <c r="B110" s="12" t="n">
        <v>-105</v>
      </c>
      <c r="C110" s="2" t="n">
        <f aca="false">MAX(B109+IF($A110=C$4,1,-1),C109-1,B110-1)</f>
        <v>-105</v>
      </c>
      <c r="D110" s="2" t="n">
        <f aca="false">MAX(C109+IF($A110=D$4,1,-1),D109-1,C110-1)</f>
        <v>-103</v>
      </c>
      <c r="E110" s="2" t="n">
        <f aca="false">MAX(D109+IF($A110=E$4,1,-1),E109-1,D110-1)</f>
        <v>-101</v>
      </c>
      <c r="F110" s="2" t="n">
        <f aca="false">MAX(E109+IF($A110=F$4,1,-1),F109-1,E110-1)</f>
        <v>-99</v>
      </c>
      <c r="G110" s="2" t="n">
        <f aca="false">MAX(F109+IF($A110=G$4,1,-1),G109-1,F110-1)</f>
        <v>-97</v>
      </c>
      <c r="H110" s="2" t="n">
        <f aca="false">MAX(G109+IF($A110=H$4,1,-1),H109-1,G110-1)</f>
        <v>-97</v>
      </c>
      <c r="I110" s="2" t="n">
        <f aca="false">MAX(H109+IF($A110=I$4,1,-1),I109-1,H110-1)</f>
        <v>-97</v>
      </c>
      <c r="J110" s="2" t="n">
        <f aca="false">MAX(I109+IF($A110=J$4,1,-1),J109-1,I110-1)</f>
        <v>-97</v>
      </c>
      <c r="K110" s="2" t="n">
        <f aca="false">MAX(J109+IF($A110=K$4,1,-1),K109-1,J110-1)</f>
        <v>-95</v>
      </c>
      <c r="L110" s="2" t="n">
        <f aca="false">MAX(K109+IF($A110=L$4,1,-1),L109-1,K110-1)</f>
        <v>-95</v>
      </c>
      <c r="M110" s="2" t="n">
        <f aca="false">MAX(L109+IF($A110=M$4,1,-1),M109-1,L110-1)</f>
        <v>-95</v>
      </c>
      <c r="N110" s="2" t="n">
        <f aca="false">MAX(M109+IF($A110=N$4,1,-1),N109-1,M110-1)</f>
        <v>-95</v>
      </c>
      <c r="O110" s="2" t="n">
        <f aca="false">MAX(N109+IF($A110=O$4,1,-1),O109-1,N110-1)</f>
        <v>-93</v>
      </c>
      <c r="P110" s="2" t="n">
        <f aca="false">MAX(O109+IF($A110=P$4,1,-1),P109-1,O110-1)</f>
        <v>-93</v>
      </c>
      <c r="Q110" s="2" t="n">
        <f aca="false">MAX(P109+IF($A110=Q$4,1,-1),Q109-1,P110-1)</f>
        <v>-93</v>
      </c>
      <c r="R110" s="2" t="n">
        <f aca="false">MAX(Q109+IF($A110=R$4,1,-1),R109-1,Q110-1)</f>
        <v>-93</v>
      </c>
      <c r="S110" s="2" t="n">
        <f aca="false">MAX(R109+IF($A110=S$4,1,-1),S109-1,R110-1)</f>
        <v>-93</v>
      </c>
      <c r="T110" s="2" t="n">
        <f aca="false">MAX(S109+IF($A110=T$4,1,-1),T109-1,S110-1)</f>
        <v>-93</v>
      </c>
      <c r="U110" s="2" t="n">
        <f aca="false">MAX(T109+IF($A110=U$4,1,-1),U109-1,T110-1)</f>
        <v>-92</v>
      </c>
      <c r="V110" s="2" t="n">
        <f aca="false">MAX(U109+IF($A110=V$4,1,-1),V109-1,U110-1)</f>
        <v>-92</v>
      </c>
      <c r="W110" s="2" t="n">
        <f aca="false">MAX(V109+IF($A110=W$4,1,-1),W109-1,V110-1)</f>
        <v>-92</v>
      </c>
      <c r="X110" s="2" t="n">
        <f aca="false">MAX(W109+IF($A110=X$4,1,-1),X109-1,W110-1)</f>
        <v>-92</v>
      </c>
      <c r="Y110" s="2" t="n">
        <f aca="false">MAX(X109+IF($A110=Y$4,1,-1),Y109-1,X110-1)</f>
        <v>-92</v>
      </c>
      <c r="Z110" s="2" t="n">
        <f aca="false">MAX(Y109+IF($A110=Z$4,1,-1),Z109-1,Y110-1)</f>
        <v>-92</v>
      </c>
      <c r="AA110" s="2" t="n">
        <f aca="false">MAX(Z109+IF($A110=AA$4,1,-1),AA109-1,Z110-1)</f>
        <v>-92</v>
      </c>
      <c r="AB110" s="2" t="n">
        <f aca="false">MAX(AA109+IF($A110=AB$4,1,-1),AB109-1,AA110-1)</f>
        <v>-92</v>
      </c>
      <c r="AC110" s="2" t="n">
        <f aca="false">MAX(AB109+IF($A110=AC$4,1,-1),AC109-1,AB110-1)</f>
        <v>-92</v>
      </c>
      <c r="AD110" s="2" t="n">
        <f aca="false">MAX(AC109+IF($A110=AD$4,1,-1),AD109-1,AC110-1)</f>
        <v>-90</v>
      </c>
      <c r="AE110" s="2" t="n">
        <f aca="false">MAX(AD109+IF($A110=AE$4,1,-1),AE109-1,AD110-1)</f>
        <v>-90</v>
      </c>
      <c r="AF110" s="2" t="n">
        <f aca="false">MAX(AE109+IF($A110=AF$4,1,-1),AF109-1,AE110-1)</f>
        <v>-90</v>
      </c>
      <c r="AG110" s="2" t="n">
        <f aca="false">MAX(AF109+IF($A110=AG$4,1,-1),AG109-1,AF110-1)</f>
        <v>-90</v>
      </c>
      <c r="AH110" s="2" t="n">
        <f aca="false">MAX(AG109+IF($A110=AH$4,1,-1),AH109-1,AG110-1)</f>
        <v>-90</v>
      </c>
      <c r="AI110" s="2" t="n">
        <f aca="false">MAX(AH109+IF($A110=AI$4,1,-1),AI109-1,AH110-1)</f>
        <v>-90</v>
      </c>
      <c r="AJ110" s="2" t="n">
        <f aca="false">MAX(AI109+IF($A110=AJ$4,1,-1),AJ109-1,AI110-1)</f>
        <v>-90</v>
      </c>
      <c r="AK110" s="2" t="n">
        <f aca="false">MAX(AJ109+IF($A110=AK$4,1,-1),AK109-1,AJ110-1)</f>
        <v>-90</v>
      </c>
      <c r="AL110" s="2" t="n">
        <f aca="false">MAX(AK109+IF($A110=AL$4,1,-1),AL109-1,AK110-1)</f>
        <v>-90</v>
      </c>
      <c r="AM110" s="2" t="n">
        <f aca="false">MAX(AL109+IF($A110=AM$4,1,-1),AM109-1,AL110-1)</f>
        <v>-90</v>
      </c>
      <c r="AN110" s="2" t="n">
        <f aca="false">MAX(AM109+IF($A110=AN$4,1,-1),AN109-1,AM110-1)</f>
        <v>-90</v>
      </c>
      <c r="AO110" s="2" t="n">
        <f aca="false">MAX(AN109+IF($A110=AO$4,1,-1),AO109-1,AN110-1)</f>
        <v>-90</v>
      </c>
      <c r="AP110" s="2" t="n">
        <f aca="false">MAX(AO109+IF($A110=AP$4,1,-1),AP109-1,AO110-1)</f>
        <v>-90</v>
      </c>
      <c r="AQ110" s="2" t="n">
        <f aca="false">MAX(AP109+IF($A110=AQ$4,1,-1),AQ109-1,AP110-1)</f>
        <v>-90</v>
      </c>
      <c r="AR110" s="2" t="n">
        <f aca="false">MAX(AQ109+IF($A110=AR$4,1,-1),AR109-1,AQ110-1)</f>
        <v>-90</v>
      </c>
      <c r="AS110" s="2" t="n">
        <f aca="false">MAX(AR109+IF($A110=AS$4,1,-1),AS109-1,AR110-1)</f>
        <v>-90</v>
      </c>
      <c r="AT110" s="2" t="n">
        <f aca="false">MAX(AS109+IF($A110=AT$4,1,-1),AT109-1,AS110-1)</f>
        <v>-90</v>
      </c>
      <c r="AU110" s="2" t="n">
        <f aca="false">MAX(AT109+IF($A110=AU$4,1,-1),AU109-1,AT110-1)</f>
        <v>-90</v>
      </c>
      <c r="AV110" s="2" t="n">
        <f aca="false">MAX(AU109+IF($A110=AV$4,1,-1),AV109-1,AU110-1)</f>
        <v>-90</v>
      </c>
      <c r="AW110" s="2" t="n">
        <f aca="false">MAX(AV109+IF($A110=AW$4,1,-1),AW109-1,AV110-1)</f>
        <v>-90</v>
      </c>
      <c r="AX110" s="2" t="n">
        <f aca="false">MAX(AW109+IF($A110=AX$4,1,-1),AX109-1,AW110-1)</f>
        <v>-90</v>
      </c>
      <c r="AY110" s="2" t="n">
        <f aca="false">MAX(AX109+IF($A110=AY$4,1,-1),AY109-1,AX110-1)</f>
        <v>-90</v>
      </c>
      <c r="AZ110" s="2" t="n">
        <f aca="false">MAX(AY109+IF($A110=AZ$4,1,-1),AZ109-1,AY110-1)</f>
        <v>-91</v>
      </c>
      <c r="BA110" s="2" t="n">
        <f aca="false">MAX(AZ109+IF($A110=BA$4,1,-1),BA109-1,AZ110-1)</f>
        <v>-91</v>
      </c>
      <c r="BB110" s="2" t="n">
        <f aca="false">MAX(BA109+IF($A110=BB$4,1,-1),BB109-1,BA110-1)</f>
        <v>-91</v>
      </c>
      <c r="BC110" s="2" t="n">
        <f aca="false">MAX(BB109+IF($A110=BC$4,1,-1),BC109-1,BB110-1)</f>
        <v>-91</v>
      </c>
      <c r="BD110" s="2" t="n">
        <f aca="false">MAX(BC109+IF($A110=BD$4,1,-1),BD109-1,BC110-1)</f>
        <v>-91</v>
      </c>
      <c r="BE110" s="2" t="n">
        <f aca="false">MAX(BD109+IF($A110=BE$4,1,-1),BE109-1,BD110-1)</f>
        <v>-91</v>
      </c>
      <c r="BF110" s="2" t="n">
        <f aca="false">MAX(BE109+IF($A110=BF$4,1,-1),BF109-1,BE110-1)</f>
        <v>-91</v>
      </c>
      <c r="BG110" s="2" t="n">
        <f aca="false">MAX(BF109+IF($A110=BG$4,1,-1),BG109-1,BF110-1)</f>
        <v>-91</v>
      </c>
      <c r="BH110" s="2" t="n">
        <f aca="false">MAX(BG109+IF($A110=BH$4,1,-1),BH109-1,BG110-1)</f>
        <v>-91</v>
      </c>
      <c r="BI110" s="2" t="n">
        <f aca="false">MAX(BH109+IF($A110=BI$4,1,-1),BI109-1,BH110-1)</f>
        <v>-91</v>
      </c>
      <c r="BJ110" s="2" t="n">
        <f aca="false">MAX(BI109+IF($A110=BJ$4,1,-1),BJ109-1,BI110-1)</f>
        <v>-91</v>
      </c>
      <c r="BK110" s="2" t="n">
        <f aca="false">MAX(BJ109+IF($A110=BK$4,1,-1),BK109-1,BJ110-1)</f>
        <v>-91</v>
      </c>
      <c r="BL110" s="2" t="n">
        <f aca="false">MAX(BK109+IF($A110=BL$4,1,-1),BL109-1,BK110-1)</f>
        <v>-89</v>
      </c>
      <c r="BM110" s="2" t="n">
        <f aca="false">MAX(BL109+IF($A110=BM$4,1,-1),BM109-1,BL110-1)</f>
        <v>-89</v>
      </c>
      <c r="BN110" s="2" t="n">
        <f aca="false">MAX(BM109+IF($A110=BN$4,1,-1),BN109-1,BM110-1)</f>
        <v>-89</v>
      </c>
      <c r="BO110" s="2" t="n">
        <f aca="false">MAX(BN109+IF($A110=BO$4,1,-1),BO109-1,BN110-1)</f>
        <v>-89</v>
      </c>
      <c r="BP110" s="2" t="n">
        <f aca="false">MAX(BO109+IF($A110=BP$4,1,-1),BP109-1,BO110-1)</f>
        <v>-89</v>
      </c>
      <c r="BQ110" s="2" t="n">
        <f aca="false">MAX(BP109+IF($A110=BQ$4,1,-1),BQ109-1,BP110-1)</f>
        <v>-89</v>
      </c>
      <c r="BR110" s="2" t="n">
        <f aca="false">MAX(BQ109+IF($A110=BR$4,1,-1),BR109-1,BQ110-1)</f>
        <v>-89</v>
      </c>
      <c r="BS110" s="2" t="n">
        <f aca="false">MAX(BR109+IF($A110=BS$4,1,-1),BS109-1,BR110-1)</f>
        <v>-89</v>
      </c>
      <c r="BT110" s="2" t="n">
        <f aca="false">MAX(BS109+IF($A110=BT$4,1,-1),BT109-1,BS110-1)</f>
        <v>-89</v>
      </c>
      <c r="BU110" s="2" t="n">
        <f aca="false">MAX(BT109+IF($A110=BU$4,1,-1),BU109-1,BT110-1)</f>
        <v>-89</v>
      </c>
      <c r="BV110" s="2" t="n">
        <f aca="false">MAX(BU109+IF($A110=BV$4,1,-1),BV109-1,BU110-1)</f>
        <v>-89</v>
      </c>
      <c r="BW110" s="2" t="n">
        <f aca="false">MAX(BV109+IF($A110=BW$4,1,-1),BW109-1,BV110-1)</f>
        <v>-89</v>
      </c>
      <c r="BX110" s="2" t="n">
        <f aca="false">MAX(BW109+IF($A110=BX$4,1,-1),BX109-1,BW110-1)</f>
        <v>-89</v>
      </c>
      <c r="BY110" s="2" t="n">
        <f aca="false">MAX(BX109+IF($A110=BY$4,1,-1),BY109-1,BX110-1)</f>
        <v>-89</v>
      </c>
      <c r="BZ110" s="2" t="n">
        <f aca="false">MAX(BY109+IF($A110=BZ$4,1,-1),BZ109-1,BY110-1)</f>
        <v>-89</v>
      </c>
      <c r="CA110" s="2" t="n">
        <f aca="false">MAX(BZ109+IF($A110=CA$4,1,-1),CA109-1,BZ110-1)</f>
        <v>-89</v>
      </c>
      <c r="CB110" s="2" t="n">
        <f aca="false">MAX(CA109+IF($A110=CB$4,1,-1),CB109-1,CA110-1)</f>
        <v>-89</v>
      </c>
      <c r="CC110" s="2" t="n">
        <f aca="false">MAX(CB109+IF($A110=CC$4,1,-1),CC109-1,CB110-1)</f>
        <v>-89</v>
      </c>
      <c r="CD110" s="2" t="n">
        <f aca="false">MAX(CC109+IF($A110=CD$4,1,-1),CD109-1,CC110-1)</f>
        <v>-90</v>
      </c>
      <c r="CE110" s="2" t="n">
        <f aca="false">MAX(CD109+IF($A110=CE$4,1,-1),CE109-1,CD110-1)</f>
        <v>-91</v>
      </c>
      <c r="CF110" s="2" t="n">
        <f aca="false">MAX(CE109+IF($A110=CF$4,1,-1),CF109-1,CE110-1)</f>
        <v>-91</v>
      </c>
      <c r="CG110" s="2" t="n">
        <f aca="false">MAX(CF109+IF($A110=CG$4,1,-1),CG109-1,CF110-1)</f>
        <v>-91</v>
      </c>
      <c r="CH110" s="2" t="n">
        <f aca="false">MAX(CG109+IF($A110=CH$4,1,-1),CH109-1,CG110-1)</f>
        <v>-91</v>
      </c>
      <c r="CI110" s="2" t="n">
        <f aca="false">MAX(CH109+IF($A110=CI$4,1,-1),CI109-1,CH110-1)</f>
        <v>-91</v>
      </c>
      <c r="CJ110" s="2" t="n">
        <f aca="false">MAX(CI109+IF($A110=CJ$4,1,-1),CJ109-1,CI110-1)</f>
        <v>-91</v>
      </c>
      <c r="CK110" s="2" t="n">
        <f aca="false">MAX(CJ109+IF($A110=CK$4,1,-1),CK109-1,CJ110-1)</f>
        <v>-91</v>
      </c>
      <c r="CL110" s="2" t="n">
        <f aca="false">MAX(CK109+IF($A110=CL$4,1,-1),CL109-1,CK110-1)</f>
        <v>-91</v>
      </c>
      <c r="CM110" s="2" t="n">
        <f aca="false">MAX(CL109+IF($A110=CM$4,1,-1),CM109-1,CL110-1)</f>
        <v>-91</v>
      </c>
      <c r="CN110" s="2" t="n">
        <f aca="false">MAX(CM109+IF($A110=CN$4,1,-1),CN109-1,CM110-1)</f>
        <v>-91</v>
      </c>
      <c r="CO110" s="2" t="n">
        <f aca="false">MAX(CN109+IF($A110=CO$4,1,-1),CO109-1,CN110-1)</f>
        <v>-92</v>
      </c>
      <c r="CP110" s="2" t="n">
        <f aca="false">MAX(CO109+IF($A110=CP$4,1,-1),CP109-1,CO110-1)</f>
        <v>-93</v>
      </c>
      <c r="CQ110" s="2" t="n">
        <f aca="false">MAX(CP109+IF($A110=CQ$4,1,-1),CQ109-1,CP110-1)</f>
        <v>-93</v>
      </c>
    </row>
    <row r="111" customFormat="false" ht="15" hidden="false" customHeight="false" outlineLevel="0" collapsed="false">
      <c r="A111" s="4" t="s">
        <v>156</v>
      </c>
      <c r="B111" s="12" t="n">
        <v>-106</v>
      </c>
      <c r="C111" s="2" t="n">
        <f aca="false">MAX(B110+IF($A111=C$4,1,-1),C110-1,B111-1)</f>
        <v>-106</v>
      </c>
      <c r="D111" s="2" t="n">
        <f aca="false">MAX(C110+IF($A111=D$4,1,-1),D110-1,C111-1)</f>
        <v>-104</v>
      </c>
      <c r="E111" s="2" t="n">
        <f aca="false">MAX(D110+IF($A111=E$4,1,-1),E110-1,D111-1)</f>
        <v>-102</v>
      </c>
      <c r="F111" s="2" t="n">
        <f aca="false">MAX(E110+IF($A111=F$4,1,-1),F110-1,E111-1)</f>
        <v>-100</v>
      </c>
      <c r="G111" s="2" t="n">
        <f aca="false">MAX(F110+IF($A111=G$4,1,-1),G110-1,F111-1)</f>
        <v>-98</v>
      </c>
      <c r="H111" s="2" t="n">
        <f aca="false">MAX(G110+IF($A111=H$4,1,-1),H110-1,G111-1)</f>
        <v>-98</v>
      </c>
      <c r="I111" s="2" t="n">
        <f aca="false">MAX(H110+IF($A111=I$4,1,-1),I110-1,H111-1)</f>
        <v>-98</v>
      </c>
      <c r="J111" s="2" t="n">
        <f aca="false">MAX(I110+IF($A111=J$4,1,-1),J110-1,I111-1)</f>
        <v>-98</v>
      </c>
      <c r="K111" s="2" t="n">
        <f aca="false">MAX(J110+IF($A111=K$4,1,-1),K110-1,J111-1)</f>
        <v>-96</v>
      </c>
      <c r="L111" s="2" t="n">
        <f aca="false">MAX(K110+IF($A111=L$4,1,-1),L110-1,K111-1)</f>
        <v>-96</v>
      </c>
      <c r="M111" s="2" t="n">
        <f aca="false">MAX(L110+IF($A111=M$4,1,-1),M110-1,L111-1)</f>
        <v>-96</v>
      </c>
      <c r="N111" s="2" t="n">
        <f aca="false">MAX(M110+IF($A111=N$4,1,-1),N110-1,M111-1)</f>
        <v>-96</v>
      </c>
      <c r="O111" s="2" t="n">
        <f aca="false">MAX(N110+IF($A111=O$4,1,-1),O110-1,N111-1)</f>
        <v>-94</v>
      </c>
      <c r="P111" s="2" t="n">
        <f aca="false">MAX(O110+IF($A111=P$4,1,-1),P110-1,O111-1)</f>
        <v>-94</v>
      </c>
      <c r="Q111" s="2" t="n">
        <f aca="false">MAX(P110+IF($A111=Q$4,1,-1),Q110-1,P111-1)</f>
        <v>-94</v>
      </c>
      <c r="R111" s="2" t="n">
        <f aca="false">MAX(Q110+IF($A111=R$4,1,-1),R110-1,Q111-1)</f>
        <v>-94</v>
      </c>
      <c r="S111" s="2" t="n">
        <f aca="false">MAX(R110+IF($A111=S$4,1,-1),S110-1,R111-1)</f>
        <v>-94</v>
      </c>
      <c r="T111" s="2" t="n">
        <f aca="false">MAX(S110+IF($A111=T$4,1,-1),T110-1,S111-1)</f>
        <v>-94</v>
      </c>
      <c r="U111" s="2" t="n">
        <f aca="false">MAX(T110+IF($A111=U$4,1,-1),U110-1,T111-1)</f>
        <v>-93</v>
      </c>
      <c r="V111" s="2" t="n">
        <f aca="false">MAX(U110+IF($A111=V$4,1,-1),V110-1,U111-1)</f>
        <v>-93</v>
      </c>
      <c r="W111" s="2" t="n">
        <f aca="false">MAX(V110+IF($A111=W$4,1,-1),W110-1,V111-1)</f>
        <v>-93</v>
      </c>
      <c r="X111" s="2" t="n">
        <f aca="false">MAX(W110+IF($A111=X$4,1,-1),X110-1,W111-1)</f>
        <v>-93</v>
      </c>
      <c r="Y111" s="2" t="n">
        <f aca="false">MAX(X110+IF($A111=Y$4,1,-1),Y110-1,X111-1)</f>
        <v>-93</v>
      </c>
      <c r="Z111" s="2" t="n">
        <f aca="false">MAX(Y110+IF($A111=Z$4,1,-1),Z110-1,Y111-1)</f>
        <v>-93</v>
      </c>
      <c r="AA111" s="2" t="n">
        <f aca="false">MAX(Z110+IF($A111=AA$4,1,-1),AA110-1,Z111-1)</f>
        <v>-93</v>
      </c>
      <c r="AB111" s="2" t="n">
        <f aca="false">MAX(AA110+IF($A111=AB$4,1,-1),AB110-1,AA111-1)</f>
        <v>-93</v>
      </c>
      <c r="AC111" s="2" t="n">
        <f aca="false">MAX(AB110+IF($A111=AC$4,1,-1),AC110-1,AB111-1)</f>
        <v>-93</v>
      </c>
      <c r="AD111" s="2" t="n">
        <f aca="false">MAX(AC110+IF($A111=AD$4,1,-1),AD110-1,AC111-1)</f>
        <v>-91</v>
      </c>
      <c r="AE111" s="2" t="n">
        <f aca="false">MAX(AD110+IF($A111=AE$4,1,-1),AE110-1,AD111-1)</f>
        <v>-91</v>
      </c>
      <c r="AF111" s="2" t="n">
        <f aca="false">MAX(AE110+IF($A111=AF$4,1,-1),AF110-1,AE111-1)</f>
        <v>-91</v>
      </c>
      <c r="AG111" s="2" t="n">
        <f aca="false">MAX(AF110+IF($A111=AG$4,1,-1),AG110-1,AF111-1)</f>
        <v>-91</v>
      </c>
      <c r="AH111" s="2" t="n">
        <f aca="false">MAX(AG110+IF($A111=AH$4,1,-1),AH110-1,AG111-1)</f>
        <v>-91</v>
      </c>
      <c r="AI111" s="2" t="n">
        <f aca="false">MAX(AH110+IF($A111=AI$4,1,-1),AI110-1,AH111-1)</f>
        <v>-91</v>
      </c>
      <c r="AJ111" s="2" t="n">
        <f aca="false">MAX(AI110+IF($A111=AJ$4,1,-1),AJ110-1,AI111-1)</f>
        <v>-91</v>
      </c>
      <c r="AK111" s="2" t="n">
        <f aca="false">MAX(AJ110+IF($A111=AK$4,1,-1),AK110-1,AJ111-1)</f>
        <v>-91</v>
      </c>
      <c r="AL111" s="2" t="n">
        <f aca="false">MAX(AK110+IF($A111=AL$4,1,-1),AL110-1,AK111-1)</f>
        <v>-91</v>
      </c>
      <c r="AM111" s="2" t="n">
        <f aca="false">MAX(AL110+IF($A111=AM$4,1,-1),AM110-1,AL111-1)</f>
        <v>-91</v>
      </c>
      <c r="AN111" s="2" t="n">
        <f aca="false">MAX(AM110+IF($A111=AN$4,1,-1),AN110-1,AM111-1)</f>
        <v>-91</v>
      </c>
      <c r="AO111" s="2" t="n">
        <f aca="false">MAX(AN110+IF($A111=AO$4,1,-1),AO110-1,AN111-1)</f>
        <v>-91</v>
      </c>
      <c r="AP111" s="2" t="n">
        <f aca="false">MAX(AO110+IF($A111=AP$4,1,-1),AP110-1,AO111-1)</f>
        <v>-91</v>
      </c>
      <c r="AQ111" s="2" t="n">
        <f aca="false">MAX(AP110+IF($A111=AQ$4,1,-1),AQ110-1,AP111-1)</f>
        <v>-91</v>
      </c>
      <c r="AR111" s="2" t="n">
        <f aca="false">MAX(AQ110+IF($A111=AR$4,1,-1),AR110-1,AQ111-1)</f>
        <v>-91</v>
      </c>
      <c r="AS111" s="2" t="n">
        <f aca="false">MAX(AR110+IF($A111=AS$4,1,-1),AS110-1,AR111-1)</f>
        <v>-91</v>
      </c>
      <c r="AT111" s="2" t="n">
        <f aca="false">MAX(AS110+IF($A111=AT$4,1,-1),AT110-1,AS111-1)</f>
        <v>-91</v>
      </c>
      <c r="AU111" s="2" t="n">
        <f aca="false">MAX(AT110+IF($A111=AU$4,1,-1),AU110-1,AT111-1)</f>
        <v>-91</v>
      </c>
      <c r="AV111" s="2" t="n">
        <f aca="false">MAX(AU110+IF($A111=AV$4,1,-1),AV110-1,AU111-1)</f>
        <v>-91</v>
      </c>
      <c r="AW111" s="2" t="n">
        <f aca="false">MAX(AV110+IF($A111=AW$4,1,-1),AW110-1,AV111-1)</f>
        <v>-91</v>
      </c>
      <c r="AX111" s="2" t="n">
        <f aca="false">MAX(AW110+IF($A111=AX$4,1,-1),AX110-1,AW111-1)</f>
        <v>-91</v>
      </c>
      <c r="AY111" s="2" t="n">
        <f aca="false">MAX(AX110+IF($A111=AY$4,1,-1),AY110-1,AX111-1)</f>
        <v>-91</v>
      </c>
      <c r="AZ111" s="2" t="n">
        <f aca="false">MAX(AY110+IF($A111=AZ$4,1,-1),AZ110-1,AY111-1)</f>
        <v>-91</v>
      </c>
      <c r="BA111" s="2" t="n">
        <f aca="false">MAX(AZ110+IF($A111=BA$4,1,-1),BA110-1,AZ111-1)</f>
        <v>-92</v>
      </c>
      <c r="BB111" s="2" t="n">
        <f aca="false">MAX(BA110+IF($A111=BB$4,1,-1),BB110-1,BA111-1)</f>
        <v>-92</v>
      </c>
      <c r="BC111" s="2" t="n">
        <f aca="false">MAX(BB110+IF($A111=BC$4,1,-1),BC110-1,BB111-1)</f>
        <v>-92</v>
      </c>
      <c r="BD111" s="2" t="n">
        <f aca="false">MAX(BC110+IF($A111=BD$4,1,-1),BD110-1,BC111-1)</f>
        <v>-92</v>
      </c>
      <c r="BE111" s="2" t="n">
        <f aca="false">MAX(BD110+IF($A111=BE$4,1,-1),BE110-1,BD111-1)</f>
        <v>-92</v>
      </c>
      <c r="BF111" s="2" t="n">
        <f aca="false">MAX(BE110+IF($A111=BF$4,1,-1),BF110-1,BE111-1)</f>
        <v>-92</v>
      </c>
      <c r="BG111" s="2" t="n">
        <f aca="false">MAX(BF110+IF($A111=BG$4,1,-1),BG110-1,BF111-1)</f>
        <v>-92</v>
      </c>
      <c r="BH111" s="2" t="n">
        <f aca="false">MAX(BG110+IF($A111=BH$4,1,-1),BH110-1,BG111-1)</f>
        <v>-92</v>
      </c>
      <c r="BI111" s="2" t="n">
        <f aca="false">MAX(BH110+IF($A111=BI$4,1,-1),BI110-1,BH111-1)</f>
        <v>-92</v>
      </c>
      <c r="BJ111" s="2" t="n">
        <f aca="false">MAX(BI110+IF($A111=BJ$4,1,-1),BJ110-1,BI111-1)</f>
        <v>-92</v>
      </c>
      <c r="BK111" s="2" t="n">
        <f aca="false">MAX(BJ110+IF($A111=BK$4,1,-1),BK110-1,BJ111-1)</f>
        <v>-92</v>
      </c>
      <c r="BL111" s="2" t="n">
        <f aca="false">MAX(BK110+IF($A111=BL$4,1,-1),BL110-1,BK111-1)</f>
        <v>-90</v>
      </c>
      <c r="BM111" s="2" t="n">
        <f aca="false">MAX(BL110+IF($A111=BM$4,1,-1),BM110-1,BL111-1)</f>
        <v>-90</v>
      </c>
      <c r="BN111" s="2" t="n">
        <f aca="false">MAX(BM110+IF($A111=BN$4,1,-1),BN110-1,BM111-1)</f>
        <v>-90</v>
      </c>
      <c r="BO111" s="2" t="n">
        <f aca="false">MAX(BN110+IF($A111=BO$4,1,-1),BO110-1,BN111-1)</f>
        <v>-90</v>
      </c>
      <c r="BP111" s="2" t="n">
        <f aca="false">MAX(BO110+IF($A111=BP$4,1,-1),BP110-1,BO111-1)</f>
        <v>-90</v>
      </c>
      <c r="BQ111" s="2" t="n">
        <f aca="false">MAX(BP110+IF($A111=BQ$4,1,-1),BQ110-1,BP111-1)</f>
        <v>-90</v>
      </c>
      <c r="BR111" s="2" t="n">
        <f aca="false">MAX(BQ110+IF($A111=BR$4,1,-1),BR110-1,BQ111-1)</f>
        <v>-90</v>
      </c>
      <c r="BS111" s="2" t="n">
        <f aca="false">MAX(BR110+IF($A111=BS$4,1,-1),BS110-1,BR111-1)</f>
        <v>-90</v>
      </c>
      <c r="BT111" s="2" t="n">
        <f aca="false">MAX(BS110+IF($A111=BT$4,1,-1),BT110-1,BS111-1)</f>
        <v>-90</v>
      </c>
      <c r="BU111" s="2" t="n">
        <f aca="false">MAX(BT110+IF($A111=BU$4,1,-1),BU110-1,BT111-1)</f>
        <v>-90</v>
      </c>
      <c r="BV111" s="2" t="n">
        <f aca="false">MAX(BU110+IF($A111=BV$4,1,-1),BV110-1,BU111-1)</f>
        <v>-90</v>
      </c>
      <c r="BW111" s="2" t="n">
        <f aca="false">MAX(BV110+IF($A111=BW$4,1,-1),BW110-1,BV111-1)</f>
        <v>-90</v>
      </c>
      <c r="BX111" s="2" t="n">
        <f aca="false">MAX(BW110+IF($A111=BX$4,1,-1),BX110-1,BW111-1)</f>
        <v>-90</v>
      </c>
      <c r="BY111" s="2" t="n">
        <f aca="false">MAX(BX110+IF($A111=BY$4,1,-1),BY110-1,BX111-1)</f>
        <v>-90</v>
      </c>
      <c r="BZ111" s="2" t="n">
        <f aca="false">MAX(BY110+IF($A111=BZ$4,1,-1),BZ110-1,BY111-1)</f>
        <v>-90</v>
      </c>
      <c r="CA111" s="2" t="n">
        <f aca="false">MAX(BZ110+IF($A111=CA$4,1,-1),CA110-1,BZ111-1)</f>
        <v>-90</v>
      </c>
      <c r="CB111" s="2" t="n">
        <f aca="false">MAX(CA110+IF($A111=CB$4,1,-1),CB110-1,CA111-1)</f>
        <v>-90</v>
      </c>
      <c r="CC111" s="2" t="n">
        <f aca="false">MAX(CB110+IF($A111=CC$4,1,-1),CC110-1,CB111-1)</f>
        <v>-90</v>
      </c>
      <c r="CD111" s="2" t="n">
        <f aca="false">MAX(CC110+IF($A111=CD$4,1,-1),CD110-1,CC111-1)</f>
        <v>-90</v>
      </c>
      <c r="CE111" s="2" t="n">
        <f aca="false">MAX(CD110+IF($A111=CE$4,1,-1),CE110-1,CD111-1)</f>
        <v>-91</v>
      </c>
      <c r="CF111" s="2" t="n">
        <f aca="false">MAX(CE110+IF($A111=CF$4,1,-1),CF110-1,CE111-1)</f>
        <v>-92</v>
      </c>
      <c r="CG111" s="2" t="n">
        <f aca="false">MAX(CF110+IF($A111=CG$4,1,-1),CG110-1,CF111-1)</f>
        <v>-92</v>
      </c>
      <c r="CH111" s="2" t="n">
        <f aca="false">MAX(CG110+IF($A111=CH$4,1,-1),CH110-1,CG111-1)</f>
        <v>-92</v>
      </c>
      <c r="CI111" s="2" t="n">
        <f aca="false">MAX(CH110+IF($A111=CI$4,1,-1),CI110-1,CH111-1)</f>
        <v>-92</v>
      </c>
      <c r="CJ111" s="2" t="n">
        <f aca="false">MAX(CI110+IF($A111=CJ$4,1,-1),CJ110-1,CI111-1)</f>
        <v>-92</v>
      </c>
      <c r="CK111" s="2" t="n">
        <f aca="false">MAX(CJ110+IF($A111=CK$4,1,-1),CK110-1,CJ111-1)</f>
        <v>-92</v>
      </c>
      <c r="CL111" s="2" t="n">
        <f aca="false">MAX(CK110+IF($A111=CL$4,1,-1),CL110-1,CK111-1)</f>
        <v>-92</v>
      </c>
      <c r="CM111" s="2" t="n">
        <f aca="false">MAX(CL110+IF($A111=CM$4,1,-1),CM110-1,CL111-1)</f>
        <v>-92</v>
      </c>
      <c r="CN111" s="2" t="n">
        <f aca="false">MAX(CM110+IF($A111=CN$4,1,-1),CN110-1,CM111-1)</f>
        <v>-92</v>
      </c>
      <c r="CO111" s="2" t="n">
        <f aca="false">MAX(CN110+IF($A111=CO$4,1,-1),CO110-1,CN111-1)</f>
        <v>-92</v>
      </c>
      <c r="CP111" s="2" t="n">
        <f aca="false">MAX(CO110+IF($A111=CP$4,1,-1),CP110-1,CO111-1)</f>
        <v>-93</v>
      </c>
      <c r="CQ111" s="2" t="n">
        <f aca="false">MAX(CP110+IF($A111=CQ$4,1,-1),CQ110-1,CP111-1)</f>
        <v>-94</v>
      </c>
    </row>
    <row r="112" customFormat="false" ht="15" hidden="false" customHeight="false" outlineLevel="0" collapsed="false">
      <c r="A112" s="4" t="s">
        <v>135</v>
      </c>
      <c r="B112" s="12" t="n">
        <v>-107</v>
      </c>
      <c r="C112" s="2" t="n">
        <f aca="false">MAX(B111+IF($A112=C$4,1,-1),C111-1,B112-1)</f>
        <v>-107</v>
      </c>
      <c r="D112" s="2" t="n">
        <f aca="false">MAX(C111+IF($A112=D$4,1,-1),D111-1,C112-1)</f>
        <v>-105</v>
      </c>
      <c r="E112" s="2" t="n">
        <f aca="false">MAX(D111+IF($A112=E$4,1,-1),E111-1,D112-1)</f>
        <v>-103</v>
      </c>
      <c r="F112" s="2" t="n">
        <f aca="false">MAX(E111+IF($A112=F$4,1,-1),F111-1,E112-1)</f>
        <v>-101</v>
      </c>
      <c r="G112" s="2" t="n">
        <f aca="false">MAX(F111+IF($A112=G$4,1,-1),G111-1,F112-1)</f>
        <v>-99</v>
      </c>
      <c r="H112" s="2" t="n">
        <f aca="false">MAX(G111+IF($A112=H$4,1,-1),H111-1,G112-1)</f>
        <v>-99</v>
      </c>
      <c r="I112" s="2" t="n">
        <f aca="false">MAX(H111+IF($A112=I$4,1,-1),I111-1,H112-1)</f>
        <v>-99</v>
      </c>
      <c r="J112" s="2" t="n">
        <f aca="false">MAX(I111+IF($A112=J$4,1,-1),J111-1,I112-1)</f>
        <v>-99</v>
      </c>
      <c r="K112" s="2" t="n">
        <f aca="false">MAX(J111+IF($A112=K$4,1,-1),K111-1,J112-1)</f>
        <v>-97</v>
      </c>
      <c r="L112" s="2" t="n">
        <f aca="false">MAX(K111+IF($A112=L$4,1,-1),L111-1,K112-1)</f>
        <v>-97</v>
      </c>
      <c r="M112" s="2" t="n">
        <f aca="false">MAX(L111+IF($A112=M$4,1,-1),M111-1,L112-1)</f>
        <v>-97</v>
      </c>
      <c r="N112" s="2" t="n">
        <f aca="false">MAX(M111+IF($A112=N$4,1,-1),N111-1,M112-1)</f>
        <v>-97</v>
      </c>
      <c r="O112" s="2" t="n">
        <f aca="false">MAX(N111+IF($A112=O$4,1,-1),O111-1,N112-1)</f>
        <v>-95</v>
      </c>
      <c r="P112" s="2" t="n">
        <f aca="false">MAX(O111+IF($A112=P$4,1,-1),P111-1,O112-1)</f>
        <v>-95</v>
      </c>
      <c r="Q112" s="2" t="n">
        <f aca="false">MAX(P111+IF($A112=Q$4,1,-1),Q111-1,P112-1)</f>
        <v>-95</v>
      </c>
      <c r="R112" s="2" t="n">
        <f aca="false">MAX(Q111+IF($A112=R$4,1,-1),R111-1,Q112-1)</f>
        <v>-95</v>
      </c>
      <c r="S112" s="2" t="n">
        <f aca="false">MAX(R111+IF($A112=S$4,1,-1),S111-1,R112-1)</f>
        <v>-95</v>
      </c>
      <c r="T112" s="2" t="n">
        <f aca="false">MAX(S111+IF($A112=T$4,1,-1),T111-1,S112-1)</f>
        <v>-95</v>
      </c>
      <c r="U112" s="2" t="n">
        <f aca="false">MAX(T111+IF($A112=U$4,1,-1),U111-1,T112-1)</f>
        <v>-94</v>
      </c>
      <c r="V112" s="2" t="n">
        <f aca="false">MAX(U111+IF($A112=V$4,1,-1),V111-1,U112-1)</f>
        <v>-94</v>
      </c>
      <c r="W112" s="2" t="n">
        <f aca="false">MAX(V111+IF($A112=W$4,1,-1),W111-1,V112-1)</f>
        <v>-94</v>
      </c>
      <c r="X112" s="2" t="n">
        <f aca="false">MAX(W111+IF($A112=X$4,1,-1),X111-1,W112-1)</f>
        <v>-94</v>
      </c>
      <c r="Y112" s="2" t="n">
        <f aca="false">MAX(X111+IF($A112=Y$4,1,-1),Y111-1,X112-1)</f>
        <v>-94</v>
      </c>
      <c r="Z112" s="2" t="n">
        <f aca="false">MAX(Y111+IF($A112=Z$4,1,-1),Z111-1,Y112-1)</f>
        <v>-94</v>
      </c>
      <c r="AA112" s="2" t="n">
        <f aca="false">MAX(Z111+IF($A112=AA$4,1,-1),AA111-1,Z112-1)</f>
        <v>-94</v>
      </c>
      <c r="AB112" s="2" t="n">
        <f aca="false">MAX(AA111+IF($A112=AB$4,1,-1),AB111-1,AA112-1)</f>
        <v>-94</v>
      </c>
      <c r="AC112" s="2" t="n">
        <f aca="false">MAX(AB111+IF($A112=AC$4,1,-1),AC111-1,AB112-1)</f>
        <v>-94</v>
      </c>
      <c r="AD112" s="2" t="n">
        <f aca="false">MAX(AC111+IF($A112=AD$4,1,-1),AD111-1,AC112-1)</f>
        <v>-92</v>
      </c>
      <c r="AE112" s="2" t="n">
        <f aca="false">MAX(AD111+IF($A112=AE$4,1,-1),AE111-1,AD112-1)</f>
        <v>-92</v>
      </c>
      <c r="AF112" s="2" t="n">
        <f aca="false">MAX(AE111+IF($A112=AF$4,1,-1),AF111-1,AE112-1)</f>
        <v>-92</v>
      </c>
      <c r="AG112" s="2" t="n">
        <f aca="false">MAX(AF111+IF($A112=AG$4,1,-1),AG111-1,AF112-1)</f>
        <v>-92</v>
      </c>
      <c r="AH112" s="2" t="n">
        <f aca="false">MAX(AG111+IF($A112=AH$4,1,-1),AH111-1,AG112-1)</f>
        <v>-92</v>
      </c>
      <c r="AI112" s="2" t="n">
        <f aca="false">MAX(AH111+IF($A112=AI$4,1,-1),AI111-1,AH112-1)</f>
        <v>-92</v>
      </c>
      <c r="AJ112" s="2" t="n">
        <f aca="false">MAX(AI111+IF($A112=AJ$4,1,-1),AJ111-1,AI112-1)</f>
        <v>-92</v>
      </c>
      <c r="AK112" s="2" t="n">
        <f aca="false">MAX(AJ111+IF($A112=AK$4,1,-1),AK111-1,AJ112-1)</f>
        <v>-92</v>
      </c>
      <c r="AL112" s="2" t="n">
        <f aca="false">MAX(AK111+IF($A112=AL$4,1,-1),AL111-1,AK112-1)</f>
        <v>-92</v>
      </c>
      <c r="AM112" s="2" t="n">
        <f aca="false">MAX(AL111+IF($A112=AM$4,1,-1),AM111-1,AL112-1)</f>
        <v>-92</v>
      </c>
      <c r="AN112" s="2" t="n">
        <f aca="false">MAX(AM111+IF($A112=AN$4,1,-1),AN111-1,AM112-1)</f>
        <v>-92</v>
      </c>
      <c r="AO112" s="2" t="n">
        <f aca="false">MAX(AN111+IF($A112=AO$4,1,-1),AO111-1,AN112-1)</f>
        <v>-92</v>
      </c>
      <c r="AP112" s="2" t="n">
        <f aca="false">MAX(AO111+IF($A112=AP$4,1,-1),AP111-1,AO112-1)</f>
        <v>-92</v>
      </c>
      <c r="AQ112" s="2" t="n">
        <f aca="false">MAX(AP111+IF($A112=AQ$4,1,-1),AQ111-1,AP112-1)</f>
        <v>-92</v>
      </c>
      <c r="AR112" s="2" t="n">
        <f aca="false">MAX(AQ111+IF($A112=AR$4,1,-1),AR111-1,AQ112-1)</f>
        <v>-92</v>
      </c>
      <c r="AS112" s="2" t="n">
        <f aca="false">MAX(AR111+IF($A112=AS$4,1,-1),AS111-1,AR112-1)</f>
        <v>-92</v>
      </c>
      <c r="AT112" s="2" t="n">
        <f aca="false">MAX(AS111+IF($A112=AT$4,1,-1),AT111-1,AS112-1)</f>
        <v>-92</v>
      </c>
      <c r="AU112" s="2" t="n">
        <f aca="false">MAX(AT111+IF($A112=AU$4,1,-1),AU111-1,AT112-1)</f>
        <v>-92</v>
      </c>
      <c r="AV112" s="2" t="n">
        <f aca="false">MAX(AU111+IF($A112=AV$4,1,-1),AV111-1,AU112-1)</f>
        <v>-92</v>
      </c>
      <c r="AW112" s="2" t="n">
        <f aca="false">MAX(AV111+IF($A112=AW$4,1,-1),AW111-1,AV112-1)</f>
        <v>-92</v>
      </c>
      <c r="AX112" s="2" t="n">
        <f aca="false">MAX(AW111+IF($A112=AX$4,1,-1),AX111-1,AW112-1)</f>
        <v>-92</v>
      </c>
      <c r="AY112" s="2" t="n">
        <f aca="false">MAX(AX111+IF($A112=AY$4,1,-1),AY111-1,AX112-1)</f>
        <v>-92</v>
      </c>
      <c r="AZ112" s="2" t="n">
        <f aca="false">MAX(AY111+IF($A112=AZ$4,1,-1),AZ111-1,AY112-1)</f>
        <v>-92</v>
      </c>
      <c r="BA112" s="2" t="n">
        <f aca="false">MAX(AZ111+IF($A112=BA$4,1,-1),BA111-1,AZ112-1)</f>
        <v>-92</v>
      </c>
      <c r="BB112" s="2" t="n">
        <f aca="false">MAX(BA111+IF($A112=BB$4,1,-1),BB111-1,BA112-1)</f>
        <v>-93</v>
      </c>
      <c r="BC112" s="2" t="n">
        <f aca="false">MAX(BB111+IF($A112=BC$4,1,-1),BC111-1,BB112-1)</f>
        <v>-93</v>
      </c>
      <c r="BD112" s="2" t="n">
        <f aca="false">MAX(BC111+IF($A112=BD$4,1,-1),BD111-1,BC112-1)</f>
        <v>-93</v>
      </c>
      <c r="BE112" s="2" t="n">
        <f aca="false">MAX(BD111+IF($A112=BE$4,1,-1),BE111-1,BD112-1)</f>
        <v>-93</v>
      </c>
      <c r="BF112" s="2" t="n">
        <f aca="false">MAX(BE111+IF($A112=BF$4,1,-1),BF111-1,BE112-1)</f>
        <v>-93</v>
      </c>
      <c r="BG112" s="2" t="n">
        <f aca="false">MAX(BF111+IF($A112=BG$4,1,-1),BG111-1,BF112-1)</f>
        <v>-93</v>
      </c>
      <c r="BH112" s="2" t="n">
        <f aca="false">MAX(BG111+IF($A112=BH$4,1,-1),BH111-1,BG112-1)</f>
        <v>-93</v>
      </c>
      <c r="BI112" s="2" t="n">
        <f aca="false">MAX(BH111+IF($A112=BI$4,1,-1),BI111-1,BH112-1)</f>
        <v>-93</v>
      </c>
      <c r="BJ112" s="2" t="n">
        <f aca="false">MAX(BI111+IF($A112=BJ$4,1,-1),BJ111-1,BI112-1)</f>
        <v>-93</v>
      </c>
      <c r="BK112" s="2" t="n">
        <f aca="false">MAX(BJ111+IF($A112=BK$4,1,-1),BK111-1,BJ112-1)</f>
        <v>-93</v>
      </c>
      <c r="BL112" s="2" t="n">
        <f aca="false">MAX(BK111+IF($A112=BL$4,1,-1),BL111-1,BK112-1)</f>
        <v>-91</v>
      </c>
      <c r="BM112" s="2" t="n">
        <f aca="false">MAX(BL111+IF($A112=BM$4,1,-1),BM111-1,BL112-1)</f>
        <v>-91</v>
      </c>
      <c r="BN112" s="2" t="n">
        <f aca="false">MAX(BM111+IF($A112=BN$4,1,-1),BN111-1,BM112-1)</f>
        <v>-91</v>
      </c>
      <c r="BO112" s="2" t="n">
        <f aca="false">MAX(BN111+IF($A112=BO$4,1,-1),BO111-1,BN112-1)</f>
        <v>-91</v>
      </c>
      <c r="BP112" s="2" t="n">
        <f aca="false">MAX(BO111+IF($A112=BP$4,1,-1),BP111-1,BO112-1)</f>
        <v>-91</v>
      </c>
      <c r="BQ112" s="2" t="n">
        <f aca="false">MAX(BP111+IF($A112=BQ$4,1,-1),BQ111-1,BP112-1)</f>
        <v>-91</v>
      </c>
      <c r="BR112" s="2" t="n">
        <f aca="false">MAX(BQ111+IF($A112=BR$4,1,-1),BR111-1,BQ112-1)</f>
        <v>-91</v>
      </c>
      <c r="BS112" s="2" t="n">
        <f aca="false">MAX(BR111+IF($A112=BS$4,1,-1),BS111-1,BR112-1)</f>
        <v>-91</v>
      </c>
      <c r="BT112" s="2" t="n">
        <f aca="false">MAX(BS111+IF($A112=BT$4,1,-1),BT111-1,BS112-1)</f>
        <v>-91</v>
      </c>
      <c r="BU112" s="2" t="n">
        <f aca="false">MAX(BT111+IF($A112=BU$4,1,-1),BU111-1,BT112-1)</f>
        <v>-91</v>
      </c>
      <c r="BV112" s="2" t="n">
        <f aca="false">MAX(BU111+IF($A112=BV$4,1,-1),BV111-1,BU112-1)</f>
        <v>-89</v>
      </c>
      <c r="BW112" s="2" t="n">
        <f aca="false">MAX(BV111+IF($A112=BW$4,1,-1),BW111-1,BV112-1)</f>
        <v>-90</v>
      </c>
      <c r="BX112" s="2" t="n">
        <f aca="false">MAX(BW111+IF($A112=BX$4,1,-1),BX111-1,BW112-1)</f>
        <v>-91</v>
      </c>
      <c r="BY112" s="2" t="n">
        <f aca="false">MAX(BX111+IF($A112=BY$4,1,-1),BY111-1,BX112-1)</f>
        <v>-91</v>
      </c>
      <c r="BZ112" s="2" t="n">
        <f aca="false">MAX(BY111+IF($A112=BZ$4,1,-1),BZ111-1,BY112-1)</f>
        <v>-91</v>
      </c>
      <c r="CA112" s="2" t="n">
        <f aca="false">MAX(BZ111+IF($A112=CA$4,1,-1),CA111-1,BZ112-1)</f>
        <v>-91</v>
      </c>
      <c r="CB112" s="2" t="n">
        <f aca="false">MAX(CA111+IF($A112=CB$4,1,-1),CB111-1,CA112-1)</f>
        <v>-91</v>
      </c>
      <c r="CC112" s="2" t="n">
        <f aca="false">MAX(CB111+IF($A112=CC$4,1,-1),CC111-1,CB112-1)</f>
        <v>-91</v>
      </c>
      <c r="CD112" s="2" t="n">
        <f aca="false">MAX(CC111+IF($A112=CD$4,1,-1),CD111-1,CC112-1)</f>
        <v>-91</v>
      </c>
      <c r="CE112" s="2" t="n">
        <f aca="false">MAX(CD111+IF($A112=CE$4,1,-1),CE111-1,CD112-1)</f>
        <v>-91</v>
      </c>
      <c r="CF112" s="2" t="n">
        <f aca="false">MAX(CE111+IF($A112=CF$4,1,-1),CF111-1,CE112-1)</f>
        <v>-92</v>
      </c>
      <c r="CG112" s="2" t="n">
        <f aca="false">MAX(CF111+IF($A112=CG$4,1,-1),CG111-1,CF112-1)</f>
        <v>-93</v>
      </c>
      <c r="CH112" s="2" t="n">
        <f aca="false">MAX(CG111+IF($A112=CH$4,1,-1),CH111-1,CG112-1)</f>
        <v>-93</v>
      </c>
      <c r="CI112" s="2" t="n">
        <f aca="false">MAX(CH111+IF($A112=CI$4,1,-1),CI111-1,CH112-1)</f>
        <v>-93</v>
      </c>
      <c r="CJ112" s="2" t="n">
        <f aca="false">MAX(CI111+IF($A112=CJ$4,1,-1),CJ111-1,CI112-1)</f>
        <v>-93</v>
      </c>
      <c r="CK112" s="2" t="n">
        <f aca="false">MAX(CJ111+IF($A112=CK$4,1,-1),CK111-1,CJ112-1)</f>
        <v>-93</v>
      </c>
      <c r="CL112" s="2" t="n">
        <f aca="false">MAX(CK111+IF($A112=CL$4,1,-1),CL111-1,CK112-1)</f>
        <v>-93</v>
      </c>
      <c r="CM112" s="2" t="n">
        <f aca="false">MAX(CL111+IF($A112=CM$4,1,-1),CM111-1,CL112-1)</f>
        <v>-93</v>
      </c>
      <c r="CN112" s="2" t="n">
        <f aca="false">MAX(CM111+IF($A112=CN$4,1,-1),CN111-1,CM112-1)</f>
        <v>-93</v>
      </c>
      <c r="CO112" s="2" t="n">
        <f aca="false">MAX(CN111+IF($A112=CO$4,1,-1),CO111-1,CN112-1)</f>
        <v>-93</v>
      </c>
      <c r="CP112" s="2" t="n">
        <f aca="false">MAX(CO111+IF($A112=CP$4,1,-1),CP111-1,CO112-1)</f>
        <v>-93</v>
      </c>
      <c r="CQ112" s="2" t="n">
        <f aca="false">MAX(CP111+IF($A112=CQ$4,1,-1),CQ111-1,CP112-1)</f>
        <v>-94</v>
      </c>
    </row>
    <row r="113" customFormat="false" ht="15" hidden="false" customHeight="false" outlineLevel="0" collapsed="false">
      <c r="A113" s="4" t="s">
        <v>89</v>
      </c>
      <c r="B113" s="12" t="n">
        <v>-108</v>
      </c>
      <c r="C113" s="2" t="n">
        <f aca="false">MAX(B112+IF($A113=C$4,1,-1),C112-1,B113-1)</f>
        <v>-108</v>
      </c>
      <c r="D113" s="2" t="n">
        <f aca="false">MAX(C112+IF($A113=D$4,1,-1),D112-1,C113-1)</f>
        <v>-106</v>
      </c>
      <c r="E113" s="2" t="n">
        <f aca="false">MAX(D112+IF($A113=E$4,1,-1),E112-1,D113-1)</f>
        <v>-104</v>
      </c>
      <c r="F113" s="2" t="n">
        <f aca="false">MAX(E112+IF($A113=F$4,1,-1),F112-1,E113-1)</f>
        <v>-102</v>
      </c>
      <c r="G113" s="2" t="n">
        <f aca="false">MAX(F112+IF($A113=G$4,1,-1),G112-1,F113-1)</f>
        <v>-100</v>
      </c>
      <c r="H113" s="2" t="n">
        <f aca="false">MAX(G112+IF($A113=H$4,1,-1),H112-1,G113-1)</f>
        <v>-100</v>
      </c>
      <c r="I113" s="2" t="n">
        <f aca="false">MAX(H112+IF($A113=I$4,1,-1),I112-1,H113-1)</f>
        <v>-100</v>
      </c>
      <c r="J113" s="2" t="n">
        <f aca="false">MAX(I112+IF($A113=J$4,1,-1),J112-1,I113-1)</f>
        <v>-100</v>
      </c>
      <c r="K113" s="2" t="n">
        <f aca="false">MAX(J112+IF($A113=K$4,1,-1),K112-1,J113-1)</f>
        <v>-98</v>
      </c>
      <c r="L113" s="2" t="n">
        <f aca="false">MAX(K112+IF($A113=L$4,1,-1),L112-1,K113-1)</f>
        <v>-98</v>
      </c>
      <c r="M113" s="2" t="n">
        <f aca="false">MAX(L112+IF($A113=M$4,1,-1),M112-1,L113-1)</f>
        <v>-98</v>
      </c>
      <c r="N113" s="2" t="n">
        <f aca="false">MAX(M112+IF($A113=N$4,1,-1),N112-1,M113-1)</f>
        <v>-98</v>
      </c>
      <c r="O113" s="2" t="n">
        <f aca="false">MAX(N112+IF($A113=O$4,1,-1),O112-1,N113-1)</f>
        <v>-96</v>
      </c>
      <c r="P113" s="2" t="n">
        <f aca="false">MAX(O112+IF($A113=P$4,1,-1),P112-1,O113-1)</f>
        <v>-96</v>
      </c>
      <c r="Q113" s="2" t="n">
        <f aca="false">MAX(P112+IF($A113=Q$4,1,-1),Q112-1,P113-1)</f>
        <v>-96</v>
      </c>
      <c r="R113" s="2" t="n">
        <f aca="false">MAX(Q112+IF($A113=R$4,1,-1),R112-1,Q113-1)</f>
        <v>-96</v>
      </c>
      <c r="S113" s="2" t="n">
        <f aca="false">MAX(R112+IF($A113=S$4,1,-1),S112-1,R113-1)</f>
        <v>-96</v>
      </c>
      <c r="T113" s="2" t="n">
        <f aca="false">MAX(S112+IF($A113=T$4,1,-1),T112-1,S113-1)</f>
        <v>-96</v>
      </c>
      <c r="U113" s="2" t="n">
        <f aca="false">MAX(T112+IF($A113=U$4,1,-1),U112-1,T113-1)</f>
        <v>-95</v>
      </c>
      <c r="V113" s="2" t="n">
        <f aca="false">MAX(U112+IF($A113=V$4,1,-1),V112-1,U113-1)</f>
        <v>-95</v>
      </c>
      <c r="W113" s="2" t="n">
        <f aca="false">MAX(V112+IF($A113=W$4,1,-1),W112-1,V113-1)</f>
        <v>-95</v>
      </c>
      <c r="X113" s="2" t="n">
        <f aca="false">MAX(W112+IF($A113=X$4,1,-1),X112-1,W113-1)</f>
        <v>-95</v>
      </c>
      <c r="Y113" s="2" t="n">
        <f aca="false">MAX(X112+IF($A113=Y$4,1,-1),Y112-1,X113-1)</f>
        <v>-95</v>
      </c>
      <c r="Z113" s="2" t="n">
        <f aca="false">MAX(Y112+IF($A113=Z$4,1,-1),Z112-1,Y113-1)</f>
        <v>-95</v>
      </c>
      <c r="AA113" s="2" t="n">
        <f aca="false">MAX(Z112+IF($A113=AA$4,1,-1),AA112-1,Z113-1)</f>
        <v>-95</v>
      </c>
      <c r="AB113" s="2" t="n">
        <f aca="false">MAX(AA112+IF($A113=AB$4,1,-1),AB112-1,AA113-1)</f>
        <v>-95</v>
      </c>
      <c r="AC113" s="2" t="n">
        <f aca="false">MAX(AB112+IF($A113=AC$4,1,-1),AC112-1,AB113-1)</f>
        <v>-95</v>
      </c>
      <c r="AD113" s="2" t="n">
        <f aca="false">MAX(AC112+IF($A113=AD$4,1,-1),AD112-1,AC113-1)</f>
        <v>-93</v>
      </c>
      <c r="AE113" s="2" t="n">
        <f aca="false">MAX(AD112+IF($A113=AE$4,1,-1),AE112-1,AD113-1)</f>
        <v>-93</v>
      </c>
      <c r="AF113" s="2" t="n">
        <f aca="false">MAX(AE112+IF($A113=AF$4,1,-1),AF112-1,AE113-1)</f>
        <v>-93</v>
      </c>
      <c r="AG113" s="2" t="n">
        <f aca="false">MAX(AF112+IF($A113=AG$4,1,-1),AG112-1,AF113-1)</f>
        <v>-93</v>
      </c>
      <c r="AH113" s="2" t="n">
        <f aca="false">MAX(AG112+IF($A113=AH$4,1,-1),AH112-1,AG113-1)</f>
        <v>-93</v>
      </c>
      <c r="AI113" s="2" t="n">
        <f aca="false">MAX(AH112+IF($A113=AI$4,1,-1),AI112-1,AH113-1)</f>
        <v>-93</v>
      </c>
      <c r="AJ113" s="2" t="n">
        <f aca="false">MAX(AI112+IF($A113=AJ$4,1,-1),AJ112-1,AI113-1)</f>
        <v>-93</v>
      </c>
      <c r="AK113" s="2" t="n">
        <f aca="false">MAX(AJ112+IF($A113=AK$4,1,-1),AK112-1,AJ113-1)</f>
        <v>-93</v>
      </c>
      <c r="AL113" s="2" t="n">
        <f aca="false">MAX(AK112+IF($A113=AL$4,1,-1),AL112-1,AK113-1)</f>
        <v>-93</v>
      </c>
      <c r="AM113" s="2" t="n">
        <f aca="false">MAX(AL112+IF($A113=AM$4,1,-1),AM112-1,AL113-1)</f>
        <v>-93</v>
      </c>
      <c r="AN113" s="2" t="n">
        <f aca="false">MAX(AM112+IF($A113=AN$4,1,-1),AN112-1,AM113-1)</f>
        <v>-93</v>
      </c>
      <c r="AO113" s="2" t="n">
        <f aca="false">MAX(AN112+IF($A113=AO$4,1,-1),AO112-1,AN113-1)</f>
        <v>-93</v>
      </c>
      <c r="AP113" s="2" t="n">
        <f aca="false">MAX(AO112+IF($A113=AP$4,1,-1),AP112-1,AO113-1)</f>
        <v>-93</v>
      </c>
      <c r="AQ113" s="2" t="n">
        <f aca="false">MAX(AP112+IF($A113=AQ$4,1,-1),AQ112-1,AP113-1)</f>
        <v>-93</v>
      </c>
      <c r="AR113" s="2" t="n">
        <f aca="false">MAX(AQ112+IF($A113=AR$4,1,-1),AR112-1,AQ113-1)</f>
        <v>-93</v>
      </c>
      <c r="AS113" s="2" t="n">
        <f aca="false">MAX(AR112+IF($A113=AS$4,1,-1),AS112-1,AR113-1)</f>
        <v>-93</v>
      </c>
      <c r="AT113" s="2" t="n">
        <f aca="false">MAX(AS112+IF($A113=AT$4,1,-1),AT112-1,AS113-1)</f>
        <v>-93</v>
      </c>
      <c r="AU113" s="2" t="n">
        <f aca="false">MAX(AT112+IF($A113=AU$4,1,-1),AU112-1,AT113-1)</f>
        <v>-93</v>
      </c>
      <c r="AV113" s="2" t="n">
        <f aca="false">MAX(AU112+IF($A113=AV$4,1,-1),AV112-1,AU113-1)</f>
        <v>-93</v>
      </c>
      <c r="AW113" s="2" t="n">
        <f aca="false">MAX(AV112+IF($A113=AW$4,1,-1),AW112-1,AV113-1)</f>
        <v>-93</v>
      </c>
      <c r="AX113" s="2" t="n">
        <f aca="false">MAX(AW112+IF($A113=AX$4,1,-1),AX112-1,AW113-1)</f>
        <v>-93</v>
      </c>
      <c r="AY113" s="2" t="n">
        <f aca="false">MAX(AX112+IF($A113=AY$4,1,-1),AY112-1,AX113-1)</f>
        <v>-93</v>
      </c>
      <c r="AZ113" s="2" t="n">
        <f aca="false">MAX(AY112+IF($A113=AZ$4,1,-1),AZ112-1,AY113-1)</f>
        <v>-93</v>
      </c>
      <c r="BA113" s="2" t="n">
        <f aca="false">MAX(AZ112+IF($A113=BA$4,1,-1),BA112-1,AZ113-1)</f>
        <v>-93</v>
      </c>
      <c r="BB113" s="2" t="n">
        <f aca="false">MAX(BA112+IF($A113=BB$4,1,-1),BB112-1,BA113-1)</f>
        <v>-93</v>
      </c>
      <c r="BC113" s="2" t="n">
        <f aca="false">MAX(BB112+IF($A113=BC$4,1,-1),BC112-1,BB113-1)</f>
        <v>-94</v>
      </c>
      <c r="BD113" s="2" t="n">
        <f aca="false">MAX(BC112+IF($A113=BD$4,1,-1),BD112-1,BC113-1)</f>
        <v>-94</v>
      </c>
      <c r="BE113" s="2" t="n">
        <f aca="false">MAX(BD112+IF($A113=BE$4,1,-1),BE112-1,BD113-1)</f>
        <v>-94</v>
      </c>
      <c r="BF113" s="2" t="n">
        <f aca="false">MAX(BE112+IF($A113=BF$4,1,-1),BF112-1,BE113-1)</f>
        <v>-94</v>
      </c>
      <c r="BG113" s="2" t="n">
        <f aca="false">MAX(BF112+IF($A113=BG$4,1,-1),BG112-1,BF113-1)</f>
        <v>-94</v>
      </c>
      <c r="BH113" s="2" t="n">
        <f aca="false">MAX(BG112+IF($A113=BH$4,1,-1),BH112-1,BG113-1)</f>
        <v>-94</v>
      </c>
      <c r="BI113" s="2" t="n">
        <f aca="false">MAX(BH112+IF($A113=BI$4,1,-1),BI112-1,BH113-1)</f>
        <v>-94</v>
      </c>
      <c r="BJ113" s="2" t="n">
        <f aca="false">MAX(BI112+IF($A113=BJ$4,1,-1),BJ112-1,BI113-1)</f>
        <v>-94</v>
      </c>
      <c r="BK113" s="2" t="n">
        <f aca="false">MAX(BJ112+IF($A113=BK$4,1,-1),BK112-1,BJ113-1)</f>
        <v>-94</v>
      </c>
      <c r="BL113" s="2" t="n">
        <f aca="false">MAX(BK112+IF($A113=BL$4,1,-1),BL112-1,BK113-1)</f>
        <v>-92</v>
      </c>
      <c r="BM113" s="2" t="n">
        <f aca="false">MAX(BL112+IF($A113=BM$4,1,-1),BM112-1,BL113-1)</f>
        <v>-92</v>
      </c>
      <c r="BN113" s="2" t="n">
        <f aca="false">MAX(BM112+IF($A113=BN$4,1,-1),BN112-1,BM113-1)</f>
        <v>-92</v>
      </c>
      <c r="BO113" s="2" t="n">
        <f aca="false">MAX(BN112+IF($A113=BO$4,1,-1),BO112-1,BN113-1)</f>
        <v>-92</v>
      </c>
      <c r="BP113" s="2" t="n">
        <f aca="false">MAX(BO112+IF($A113=BP$4,1,-1),BP112-1,BO113-1)</f>
        <v>-92</v>
      </c>
      <c r="BQ113" s="2" t="n">
        <f aca="false">MAX(BP112+IF($A113=BQ$4,1,-1),BQ112-1,BP113-1)</f>
        <v>-92</v>
      </c>
      <c r="BR113" s="2" t="n">
        <f aca="false">MAX(BQ112+IF($A113=BR$4,1,-1),BR112-1,BQ113-1)</f>
        <v>-92</v>
      </c>
      <c r="BS113" s="2" t="n">
        <f aca="false">MAX(BR112+IF($A113=BS$4,1,-1),BS112-1,BR113-1)</f>
        <v>-92</v>
      </c>
      <c r="BT113" s="2" t="n">
        <f aca="false">MAX(BS112+IF($A113=BT$4,1,-1),BT112-1,BS113-1)</f>
        <v>-92</v>
      </c>
      <c r="BU113" s="2" t="n">
        <f aca="false">MAX(BT112+IF($A113=BU$4,1,-1),BU112-1,BT113-1)</f>
        <v>-92</v>
      </c>
      <c r="BV113" s="2" t="n">
        <f aca="false">MAX(BU112+IF($A113=BV$4,1,-1),BV112-1,BU113-1)</f>
        <v>-90</v>
      </c>
      <c r="BW113" s="2" t="n">
        <f aca="false">MAX(BV112+IF($A113=BW$4,1,-1),BW112-1,BV113-1)</f>
        <v>-90</v>
      </c>
      <c r="BX113" s="2" t="n">
        <f aca="false">MAX(BW112+IF($A113=BX$4,1,-1),BX112-1,BW113-1)</f>
        <v>-91</v>
      </c>
      <c r="BY113" s="2" t="n">
        <f aca="false">MAX(BX112+IF($A113=BY$4,1,-1),BY112-1,BX113-1)</f>
        <v>-92</v>
      </c>
      <c r="BZ113" s="2" t="n">
        <f aca="false">MAX(BY112+IF($A113=BZ$4,1,-1),BZ112-1,BY113-1)</f>
        <v>-92</v>
      </c>
      <c r="CA113" s="2" t="n">
        <f aca="false">MAX(BZ112+IF($A113=CA$4,1,-1),CA112-1,BZ113-1)</f>
        <v>-92</v>
      </c>
      <c r="CB113" s="2" t="n">
        <f aca="false">MAX(CA112+IF($A113=CB$4,1,-1),CB112-1,CA113-1)</f>
        <v>-92</v>
      </c>
      <c r="CC113" s="2" t="n">
        <f aca="false">MAX(CB112+IF($A113=CC$4,1,-1),CC112-1,CB113-1)</f>
        <v>-92</v>
      </c>
      <c r="CD113" s="2" t="n">
        <f aca="false">MAX(CC112+IF($A113=CD$4,1,-1),CD112-1,CC113-1)</f>
        <v>-92</v>
      </c>
      <c r="CE113" s="2" t="n">
        <f aca="false">MAX(CD112+IF($A113=CE$4,1,-1),CE112-1,CD113-1)</f>
        <v>-92</v>
      </c>
      <c r="CF113" s="2" t="n">
        <f aca="false">MAX(CE112+IF($A113=CF$4,1,-1),CF112-1,CE113-1)</f>
        <v>-92</v>
      </c>
      <c r="CG113" s="2" t="n">
        <f aca="false">MAX(CF112+IF($A113=CG$4,1,-1),CG112-1,CF113-1)</f>
        <v>-93</v>
      </c>
      <c r="CH113" s="2" t="n">
        <f aca="false">MAX(CG112+IF($A113=CH$4,1,-1),CH112-1,CG113-1)</f>
        <v>-94</v>
      </c>
      <c r="CI113" s="2" t="n">
        <f aca="false">MAX(CH112+IF($A113=CI$4,1,-1),CI112-1,CH113-1)</f>
        <v>-94</v>
      </c>
      <c r="CJ113" s="2" t="n">
        <f aca="false">MAX(CI112+IF($A113=CJ$4,1,-1),CJ112-1,CI113-1)</f>
        <v>-94</v>
      </c>
      <c r="CK113" s="2" t="n">
        <f aca="false">MAX(CJ112+IF($A113=CK$4,1,-1),CK112-1,CJ113-1)</f>
        <v>-94</v>
      </c>
      <c r="CL113" s="2" t="n">
        <f aca="false">MAX(CK112+IF($A113=CL$4,1,-1),CL112-1,CK113-1)</f>
        <v>-94</v>
      </c>
      <c r="CM113" s="2" t="n">
        <f aca="false">MAX(CL112+IF($A113=CM$4,1,-1),CM112-1,CL113-1)</f>
        <v>-94</v>
      </c>
      <c r="CN113" s="2" t="n">
        <f aca="false">MAX(CM112+IF($A113=CN$4,1,-1),CN112-1,CM113-1)</f>
        <v>-94</v>
      </c>
      <c r="CO113" s="2" t="n">
        <f aca="false">MAX(CN112+IF($A113=CO$4,1,-1),CO112-1,CN113-1)</f>
        <v>-94</v>
      </c>
      <c r="CP113" s="2" t="n">
        <f aca="false">MAX(CO112+IF($A113=CP$4,1,-1),CP112-1,CO113-1)</f>
        <v>-94</v>
      </c>
      <c r="CQ113" s="2" t="n">
        <f aca="false">MAX(CP112+IF($A113=CQ$4,1,-1),CQ112-1,CP113-1)</f>
        <v>-94</v>
      </c>
    </row>
    <row r="114" customFormat="false" ht="15" hidden="false" customHeight="false" outlineLevel="0" collapsed="false">
      <c r="A114" s="4" t="s">
        <v>211</v>
      </c>
      <c r="B114" s="12" t="n">
        <v>-109</v>
      </c>
      <c r="C114" s="2" t="n">
        <f aca="false">MAX(B113+IF($A114=C$4,1,-1),C113-1,B114-1)</f>
        <v>-109</v>
      </c>
      <c r="D114" s="2" t="n">
        <f aca="false">MAX(C113+IF($A114=D$4,1,-1),D113-1,C114-1)</f>
        <v>-107</v>
      </c>
      <c r="E114" s="2" t="n">
        <f aca="false">MAX(D113+IF($A114=E$4,1,-1),E113-1,D114-1)</f>
        <v>-105</v>
      </c>
      <c r="F114" s="2" t="n">
        <f aca="false">MAX(E113+IF($A114=F$4,1,-1),F113-1,E114-1)</f>
        <v>-103</v>
      </c>
      <c r="G114" s="2" t="n">
        <f aca="false">MAX(F113+IF($A114=G$4,1,-1),G113-1,F114-1)</f>
        <v>-101</v>
      </c>
      <c r="H114" s="2" t="n">
        <f aca="false">MAX(G113+IF($A114=H$4,1,-1),H113-1,G114-1)</f>
        <v>-101</v>
      </c>
      <c r="I114" s="2" t="n">
        <f aca="false">MAX(H113+IF($A114=I$4,1,-1),I113-1,H114-1)</f>
        <v>-101</v>
      </c>
      <c r="J114" s="2" t="n">
        <f aca="false">MAX(I113+IF($A114=J$4,1,-1),J113-1,I114-1)</f>
        <v>-101</v>
      </c>
      <c r="K114" s="2" t="n">
        <f aca="false">MAX(J113+IF($A114=K$4,1,-1),K113-1,J114-1)</f>
        <v>-99</v>
      </c>
      <c r="L114" s="2" t="n">
        <f aca="false">MAX(K113+IF($A114=L$4,1,-1),L113-1,K114-1)</f>
        <v>-99</v>
      </c>
      <c r="M114" s="2" t="n">
        <f aca="false">MAX(L113+IF($A114=M$4,1,-1),M113-1,L114-1)</f>
        <v>-99</v>
      </c>
      <c r="N114" s="2" t="n">
        <f aca="false">MAX(M113+IF($A114=N$4,1,-1),N113-1,M114-1)</f>
        <v>-99</v>
      </c>
      <c r="O114" s="2" t="n">
        <f aca="false">MAX(N113+IF($A114=O$4,1,-1),O113-1,N114-1)</f>
        <v>-97</v>
      </c>
      <c r="P114" s="2" t="n">
        <f aca="false">MAX(O113+IF($A114=P$4,1,-1),P113-1,O114-1)</f>
        <v>-97</v>
      </c>
      <c r="Q114" s="2" t="n">
        <f aca="false">MAX(P113+IF($A114=Q$4,1,-1),Q113-1,P114-1)</f>
        <v>-97</v>
      </c>
      <c r="R114" s="2" t="n">
        <f aca="false">MAX(Q113+IF($A114=R$4,1,-1),R113-1,Q114-1)</f>
        <v>-97</v>
      </c>
      <c r="S114" s="2" t="n">
        <f aca="false">MAX(R113+IF($A114=S$4,1,-1),S113-1,R114-1)</f>
        <v>-97</v>
      </c>
      <c r="T114" s="2" t="n">
        <f aca="false">MAX(S113+IF($A114=T$4,1,-1),T113-1,S114-1)</f>
        <v>-97</v>
      </c>
      <c r="U114" s="2" t="n">
        <f aca="false">MAX(T113+IF($A114=U$4,1,-1),U113-1,T114-1)</f>
        <v>-96</v>
      </c>
      <c r="V114" s="2" t="n">
        <f aca="false">MAX(U113+IF($A114=V$4,1,-1),V113-1,U114-1)</f>
        <v>-96</v>
      </c>
      <c r="W114" s="2" t="n">
        <f aca="false">MAX(V113+IF($A114=W$4,1,-1),W113-1,V114-1)</f>
        <v>-96</v>
      </c>
      <c r="X114" s="2" t="n">
        <f aca="false">MAX(W113+IF($A114=X$4,1,-1),X113-1,W114-1)</f>
        <v>-96</v>
      </c>
      <c r="Y114" s="2" t="n">
        <f aca="false">MAX(X113+IF($A114=Y$4,1,-1),Y113-1,X114-1)</f>
        <v>-96</v>
      </c>
      <c r="Z114" s="2" t="n">
        <f aca="false">MAX(Y113+IF($A114=Z$4,1,-1),Z113-1,Y114-1)</f>
        <v>-96</v>
      </c>
      <c r="AA114" s="2" t="n">
        <f aca="false">MAX(Z113+IF($A114=AA$4,1,-1),AA113-1,Z114-1)</f>
        <v>-96</v>
      </c>
      <c r="AB114" s="2" t="n">
        <f aca="false">MAX(AA113+IF($A114=AB$4,1,-1),AB113-1,AA114-1)</f>
        <v>-96</v>
      </c>
      <c r="AC114" s="2" t="n">
        <f aca="false">MAX(AB113+IF($A114=AC$4,1,-1),AC113-1,AB114-1)</f>
        <v>-96</v>
      </c>
      <c r="AD114" s="2" t="n">
        <f aca="false">MAX(AC113+IF($A114=AD$4,1,-1),AD113-1,AC114-1)</f>
        <v>-94</v>
      </c>
      <c r="AE114" s="2" t="n">
        <f aca="false">MAX(AD113+IF($A114=AE$4,1,-1),AE113-1,AD114-1)</f>
        <v>-94</v>
      </c>
      <c r="AF114" s="2" t="n">
        <f aca="false">MAX(AE113+IF($A114=AF$4,1,-1),AF113-1,AE114-1)</f>
        <v>-94</v>
      </c>
      <c r="AG114" s="2" t="n">
        <f aca="false">MAX(AF113+IF($A114=AG$4,1,-1),AG113-1,AF114-1)</f>
        <v>-94</v>
      </c>
      <c r="AH114" s="2" t="n">
        <f aca="false">MAX(AG113+IF($A114=AH$4,1,-1),AH113-1,AG114-1)</f>
        <v>-94</v>
      </c>
      <c r="AI114" s="2" t="n">
        <f aca="false">MAX(AH113+IF($A114=AI$4,1,-1),AI113-1,AH114-1)</f>
        <v>-94</v>
      </c>
      <c r="AJ114" s="2" t="n">
        <f aca="false">MAX(AI113+IF($A114=AJ$4,1,-1),AJ113-1,AI114-1)</f>
        <v>-94</v>
      </c>
      <c r="AK114" s="2" t="n">
        <f aca="false">MAX(AJ113+IF($A114=AK$4,1,-1),AK113-1,AJ114-1)</f>
        <v>-94</v>
      </c>
      <c r="AL114" s="2" t="n">
        <f aca="false">MAX(AK113+IF($A114=AL$4,1,-1),AL113-1,AK114-1)</f>
        <v>-94</v>
      </c>
      <c r="AM114" s="2" t="n">
        <f aca="false">MAX(AL113+IF($A114=AM$4,1,-1),AM113-1,AL114-1)</f>
        <v>-94</v>
      </c>
      <c r="AN114" s="2" t="n">
        <f aca="false">MAX(AM113+IF($A114=AN$4,1,-1),AN113-1,AM114-1)</f>
        <v>-94</v>
      </c>
      <c r="AO114" s="2" t="n">
        <f aca="false">MAX(AN113+IF($A114=AO$4,1,-1),AO113-1,AN114-1)</f>
        <v>-94</v>
      </c>
      <c r="AP114" s="2" t="n">
        <f aca="false">MAX(AO113+IF($A114=AP$4,1,-1),AP113-1,AO114-1)</f>
        <v>-94</v>
      </c>
      <c r="AQ114" s="2" t="n">
        <f aca="false">MAX(AP113+IF($A114=AQ$4,1,-1),AQ113-1,AP114-1)</f>
        <v>-94</v>
      </c>
      <c r="AR114" s="2" t="n">
        <f aca="false">MAX(AQ113+IF($A114=AR$4,1,-1),AR113-1,AQ114-1)</f>
        <v>-94</v>
      </c>
      <c r="AS114" s="2" t="n">
        <f aca="false">MAX(AR113+IF($A114=AS$4,1,-1),AS113-1,AR114-1)</f>
        <v>-94</v>
      </c>
      <c r="AT114" s="2" t="n">
        <f aca="false">MAX(AS113+IF($A114=AT$4,1,-1),AT113-1,AS114-1)</f>
        <v>-94</v>
      </c>
      <c r="AU114" s="2" t="n">
        <f aca="false">MAX(AT113+IF($A114=AU$4,1,-1),AU113-1,AT114-1)</f>
        <v>-94</v>
      </c>
      <c r="AV114" s="2" t="n">
        <f aca="false">MAX(AU113+IF($A114=AV$4,1,-1),AV113-1,AU114-1)</f>
        <v>-94</v>
      </c>
      <c r="AW114" s="2" t="n">
        <f aca="false">MAX(AV113+IF($A114=AW$4,1,-1),AW113-1,AV114-1)</f>
        <v>-94</v>
      </c>
      <c r="AX114" s="2" t="n">
        <f aca="false">MAX(AW113+IF($A114=AX$4,1,-1),AX113-1,AW114-1)</f>
        <v>-94</v>
      </c>
      <c r="AY114" s="2" t="n">
        <f aca="false">MAX(AX113+IF($A114=AY$4,1,-1),AY113-1,AX114-1)</f>
        <v>-94</v>
      </c>
      <c r="AZ114" s="2" t="n">
        <f aca="false">MAX(AY113+IF($A114=AZ$4,1,-1),AZ113-1,AY114-1)</f>
        <v>-94</v>
      </c>
      <c r="BA114" s="2" t="n">
        <f aca="false">MAX(AZ113+IF($A114=BA$4,1,-1),BA113-1,AZ114-1)</f>
        <v>-94</v>
      </c>
      <c r="BB114" s="2" t="n">
        <f aca="false">MAX(BA113+IF($A114=BB$4,1,-1),BB113-1,BA114-1)</f>
        <v>-94</v>
      </c>
      <c r="BC114" s="2" t="n">
        <f aca="false">MAX(BB113+IF($A114=BC$4,1,-1),BC113-1,BB114-1)</f>
        <v>-94</v>
      </c>
      <c r="BD114" s="2" t="n">
        <f aca="false">MAX(BC113+IF($A114=BD$4,1,-1),BD113-1,BC114-1)</f>
        <v>-95</v>
      </c>
      <c r="BE114" s="2" t="n">
        <f aca="false">MAX(BD113+IF($A114=BE$4,1,-1),BE113-1,BD114-1)</f>
        <v>-95</v>
      </c>
      <c r="BF114" s="2" t="n">
        <f aca="false">MAX(BE113+IF($A114=BF$4,1,-1),BF113-1,BE114-1)</f>
        <v>-95</v>
      </c>
      <c r="BG114" s="2" t="n">
        <f aca="false">MAX(BF113+IF($A114=BG$4,1,-1),BG113-1,BF114-1)</f>
        <v>-95</v>
      </c>
      <c r="BH114" s="2" t="n">
        <f aca="false">MAX(BG113+IF($A114=BH$4,1,-1),BH113-1,BG114-1)</f>
        <v>-95</v>
      </c>
      <c r="BI114" s="2" t="n">
        <f aca="false">MAX(BH113+IF($A114=BI$4,1,-1),BI113-1,BH114-1)</f>
        <v>-95</v>
      </c>
      <c r="BJ114" s="2" t="n">
        <f aca="false">MAX(BI113+IF($A114=BJ$4,1,-1),BJ113-1,BI114-1)</f>
        <v>-95</v>
      </c>
      <c r="BK114" s="2" t="n">
        <f aca="false">MAX(BJ113+IF($A114=BK$4,1,-1),BK113-1,BJ114-1)</f>
        <v>-95</v>
      </c>
      <c r="BL114" s="2" t="n">
        <f aca="false">MAX(BK113+IF($A114=BL$4,1,-1),BL113-1,BK114-1)</f>
        <v>-93</v>
      </c>
      <c r="BM114" s="2" t="n">
        <f aca="false">MAX(BL113+IF($A114=BM$4,1,-1),BM113-1,BL114-1)</f>
        <v>-93</v>
      </c>
      <c r="BN114" s="2" t="n">
        <f aca="false">MAX(BM113+IF($A114=BN$4,1,-1),BN113-1,BM114-1)</f>
        <v>-93</v>
      </c>
      <c r="BO114" s="2" t="n">
        <f aca="false">MAX(BN113+IF($A114=BO$4,1,-1),BO113-1,BN114-1)</f>
        <v>-93</v>
      </c>
      <c r="BP114" s="2" t="n">
        <f aca="false">MAX(BO113+IF($A114=BP$4,1,-1),BP113-1,BO114-1)</f>
        <v>-93</v>
      </c>
      <c r="BQ114" s="2" t="n">
        <f aca="false">MAX(BP113+IF($A114=BQ$4,1,-1),BQ113-1,BP114-1)</f>
        <v>-93</v>
      </c>
      <c r="BR114" s="2" t="n">
        <f aca="false">MAX(BQ113+IF($A114=BR$4,1,-1),BR113-1,BQ114-1)</f>
        <v>-93</v>
      </c>
      <c r="BS114" s="2" t="n">
        <f aca="false">MAX(BR113+IF($A114=BS$4,1,-1),BS113-1,BR114-1)</f>
        <v>-93</v>
      </c>
      <c r="BT114" s="2" t="n">
        <f aca="false">MAX(BS113+IF($A114=BT$4,1,-1),BT113-1,BS114-1)</f>
        <v>-93</v>
      </c>
      <c r="BU114" s="2" t="n">
        <f aca="false">MAX(BT113+IF($A114=BU$4,1,-1),BU113-1,BT114-1)</f>
        <v>-93</v>
      </c>
      <c r="BV114" s="2" t="n">
        <f aca="false">MAX(BU113+IF($A114=BV$4,1,-1),BV113-1,BU114-1)</f>
        <v>-91</v>
      </c>
      <c r="BW114" s="2" t="n">
        <f aca="false">MAX(BV113+IF($A114=BW$4,1,-1),BW113-1,BV114-1)</f>
        <v>-91</v>
      </c>
      <c r="BX114" s="2" t="n">
        <f aca="false">MAX(BW113+IF($A114=BX$4,1,-1),BX113-1,BW114-1)</f>
        <v>-91</v>
      </c>
      <c r="BY114" s="2" t="n">
        <f aca="false">MAX(BX113+IF($A114=BY$4,1,-1),BY113-1,BX114-1)</f>
        <v>-92</v>
      </c>
      <c r="BZ114" s="2" t="n">
        <f aca="false">MAX(BY113+IF($A114=BZ$4,1,-1),BZ113-1,BY114-1)</f>
        <v>-93</v>
      </c>
      <c r="CA114" s="2" t="n">
        <f aca="false">MAX(BZ113+IF($A114=CA$4,1,-1),CA113-1,BZ114-1)</f>
        <v>-93</v>
      </c>
      <c r="CB114" s="2" t="n">
        <f aca="false">MAX(CA113+IF($A114=CB$4,1,-1),CB113-1,CA114-1)</f>
        <v>-93</v>
      </c>
      <c r="CC114" s="2" t="n">
        <f aca="false">MAX(CB113+IF($A114=CC$4,1,-1),CC113-1,CB114-1)</f>
        <v>-93</v>
      </c>
      <c r="CD114" s="2" t="n">
        <f aca="false">MAX(CC113+IF($A114=CD$4,1,-1),CD113-1,CC114-1)</f>
        <v>-93</v>
      </c>
      <c r="CE114" s="2" t="n">
        <f aca="false">MAX(CD113+IF($A114=CE$4,1,-1),CE113-1,CD114-1)</f>
        <v>-93</v>
      </c>
      <c r="CF114" s="2" t="n">
        <f aca="false">MAX(CE113+IF($A114=CF$4,1,-1),CF113-1,CE114-1)</f>
        <v>-93</v>
      </c>
      <c r="CG114" s="2" t="n">
        <f aca="false">MAX(CF113+IF($A114=CG$4,1,-1),CG113-1,CF114-1)</f>
        <v>-93</v>
      </c>
      <c r="CH114" s="2" t="n">
        <f aca="false">MAX(CG113+IF($A114=CH$4,1,-1),CH113-1,CG114-1)</f>
        <v>-94</v>
      </c>
      <c r="CI114" s="2" t="n">
        <f aca="false">MAX(CH113+IF($A114=CI$4,1,-1),CI113-1,CH114-1)</f>
        <v>-95</v>
      </c>
      <c r="CJ114" s="2" t="n">
        <f aca="false">MAX(CI113+IF($A114=CJ$4,1,-1),CJ113-1,CI114-1)</f>
        <v>-95</v>
      </c>
      <c r="CK114" s="2" t="n">
        <f aca="false">MAX(CJ113+IF($A114=CK$4,1,-1),CK113-1,CJ114-1)</f>
        <v>-95</v>
      </c>
      <c r="CL114" s="2" t="n">
        <f aca="false">MAX(CK113+IF($A114=CL$4,1,-1),CL113-1,CK114-1)</f>
        <v>-95</v>
      </c>
      <c r="CM114" s="2" t="n">
        <f aca="false">MAX(CL113+IF($A114=CM$4,1,-1),CM113-1,CL114-1)</f>
        <v>-95</v>
      </c>
      <c r="CN114" s="2" t="n">
        <f aca="false">MAX(CM113+IF($A114=CN$4,1,-1),CN113-1,CM114-1)</f>
        <v>-95</v>
      </c>
      <c r="CO114" s="2" t="n">
        <f aca="false">MAX(CN113+IF($A114=CO$4,1,-1),CO113-1,CN114-1)</f>
        <v>-95</v>
      </c>
      <c r="CP114" s="2" t="n">
        <f aca="false">MAX(CO113+IF($A114=CP$4,1,-1),CP113-1,CO114-1)</f>
        <v>-95</v>
      </c>
      <c r="CQ114" s="2" t="n">
        <f aca="false">MAX(CP113+IF($A114=CQ$4,1,-1),CQ113-1,CP114-1)</f>
        <v>-95</v>
      </c>
    </row>
    <row r="115" customFormat="false" ht="15" hidden="false" customHeight="false" outlineLevel="0" collapsed="false">
      <c r="A115" s="4" t="s">
        <v>118</v>
      </c>
      <c r="B115" s="12" t="n">
        <v>-110</v>
      </c>
      <c r="C115" s="2" t="n">
        <f aca="false">MAX(B114+IF($A115=C$4,1,-1),C114-1,B115-1)</f>
        <v>-110</v>
      </c>
      <c r="D115" s="2" t="n">
        <f aca="false">MAX(C114+IF($A115=D$4,1,-1),D114-1,C115-1)</f>
        <v>-108</v>
      </c>
      <c r="E115" s="2" t="n">
        <f aca="false">MAX(D114+IF($A115=E$4,1,-1),E114-1,D115-1)</f>
        <v>-106</v>
      </c>
      <c r="F115" s="2" t="n">
        <f aca="false">MAX(E114+IF($A115=F$4,1,-1),F114-1,E115-1)</f>
        <v>-104</v>
      </c>
      <c r="G115" s="2" t="n">
        <f aca="false">MAX(F114+IF($A115=G$4,1,-1),G114-1,F115-1)</f>
        <v>-102</v>
      </c>
      <c r="H115" s="2" t="n">
        <f aca="false">MAX(G114+IF($A115=H$4,1,-1),H114-1,G115-1)</f>
        <v>-102</v>
      </c>
      <c r="I115" s="2" t="n">
        <f aca="false">MAX(H114+IF($A115=I$4,1,-1),I114-1,H115-1)</f>
        <v>-102</v>
      </c>
      <c r="J115" s="2" t="n">
        <f aca="false">MAX(I114+IF($A115=J$4,1,-1),J114-1,I115-1)</f>
        <v>-102</v>
      </c>
      <c r="K115" s="2" t="n">
        <f aca="false">MAX(J114+IF($A115=K$4,1,-1),K114-1,J115-1)</f>
        <v>-100</v>
      </c>
      <c r="L115" s="2" t="n">
        <f aca="false">MAX(K114+IF($A115=L$4,1,-1),L114-1,K115-1)</f>
        <v>-100</v>
      </c>
      <c r="M115" s="2" t="n">
        <f aca="false">MAX(L114+IF($A115=M$4,1,-1),M114-1,L115-1)</f>
        <v>-100</v>
      </c>
      <c r="N115" s="2" t="n">
        <f aca="false">MAX(M114+IF($A115=N$4,1,-1),N114-1,M115-1)</f>
        <v>-100</v>
      </c>
      <c r="O115" s="2" t="n">
        <f aca="false">MAX(N114+IF($A115=O$4,1,-1),O114-1,N115-1)</f>
        <v>-98</v>
      </c>
      <c r="P115" s="2" t="n">
        <f aca="false">MAX(O114+IF($A115=P$4,1,-1),P114-1,O115-1)</f>
        <v>-98</v>
      </c>
      <c r="Q115" s="2" t="n">
        <f aca="false">MAX(P114+IF($A115=Q$4,1,-1),Q114-1,P115-1)</f>
        <v>-98</v>
      </c>
      <c r="R115" s="2" t="n">
        <f aca="false">MAX(Q114+IF($A115=R$4,1,-1),R114-1,Q115-1)</f>
        <v>-98</v>
      </c>
      <c r="S115" s="2" t="n">
        <f aca="false">MAX(R114+IF($A115=S$4,1,-1),S114-1,R115-1)</f>
        <v>-98</v>
      </c>
      <c r="T115" s="2" t="n">
        <f aca="false">MAX(S114+IF($A115=T$4,1,-1),T114-1,S115-1)</f>
        <v>-98</v>
      </c>
      <c r="U115" s="2" t="n">
        <f aca="false">MAX(T114+IF($A115=U$4,1,-1),U114-1,T115-1)</f>
        <v>-97</v>
      </c>
      <c r="V115" s="2" t="n">
        <f aca="false">MAX(U114+IF($A115=V$4,1,-1),V114-1,U115-1)</f>
        <v>-97</v>
      </c>
      <c r="W115" s="2" t="n">
        <f aca="false">MAX(V114+IF($A115=W$4,1,-1),W114-1,V115-1)</f>
        <v>-97</v>
      </c>
      <c r="X115" s="2" t="n">
        <f aca="false">MAX(W114+IF($A115=X$4,1,-1),X114-1,W115-1)</f>
        <v>-97</v>
      </c>
      <c r="Y115" s="2" t="n">
        <f aca="false">MAX(X114+IF($A115=Y$4,1,-1),Y114-1,X115-1)</f>
        <v>-97</v>
      </c>
      <c r="Z115" s="2" t="n">
        <f aca="false">MAX(Y114+IF($A115=Z$4,1,-1),Z114-1,Y115-1)</f>
        <v>-97</v>
      </c>
      <c r="AA115" s="2" t="n">
        <f aca="false">MAX(Z114+IF($A115=AA$4,1,-1),AA114-1,Z115-1)</f>
        <v>-97</v>
      </c>
      <c r="AB115" s="2" t="n">
        <f aca="false">MAX(AA114+IF($A115=AB$4,1,-1),AB114-1,AA115-1)</f>
        <v>-97</v>
      </c>
      <c r="AC115" s="2" t="n">
        <f aca="false">MAX(AB114+IF($A115=AC$4,1,-1),AC114-1,AB115-1)</f>
        <v>-97</v>
      </c>
      <c r="AD115" s="2" t="n">
        <f aca="false">MAX(AC114+IF($A115=AD$4,1,-1),AD114-1,AC115-1)</f>
        <v>-95</v>
      </c>
      <c r="AE115" s="2" t="n">
        <f aca="false">MAX(AD114+IF($A115=AE$4,1,-1),AE114-1,AD115-1)</f>
        <v>-95</v>
      </c>
      <c r="AF115" s="2" t="n">
        <f aca="false">MAX(AE114+IF($A115=AF$4,1,-1),AF114-1,AE115-1)</f>
        <v>-95</v>
      </c>
      <c r="AG115" s="2" t="n">
        <f aca="false">MAX(AF114+IF($A115=AG$4,1,-1),AG114-1,AF115-1)</f>
        <v>-95</v>
      </c>
      <c r="AH115" s="2" t="n">
        <f aca="false">MAX(AG114+IF($A115=AH$4,1,-1),AH114-1,AG115-1)</f>
        <v>-95</v>
      </c>
      <c r="AI115" s="2" t="n">
        <f aca="false">MAX(AH114+IF($A115=AI$4,1,-1),AI114-1,AH115-1)</f>
        <v>-95</v>
      </c>
      <c r="AJ115" s="2" t="n">
        <f aca="false">MAX(AI114+IF($A115=AJ$4,1,-1),AJ114-1,AI115-1)</f>
        <v>-95</v>
      </c>
      <c r="AK115" s="2" t="n">
        <f aca="false">MAX(AJ114+IF($A115=AK$4,1,-1),AK114-1,AJ115-1)</f>
        <v>-95</v>
      </c>
      <c r="AL115" s="2" t="n">
        <f aca="false">MAX(AK114+IF($A115=AL$4,1,-1),AL114-1,AK115-1)</f>
        <v>-95</v>
      </c>
      <c r="AM115" s="2" t="n">
        <f aca="false">MAX(AL114+IF($A115=AM$4,1,-1),AM114-1,AL115-1)</f>
        <v>-95</v>
      </c>
      <c r="AN115" s="2" t="n">
        <f aca="false">MAX(AM114+IF($A115=AN$4,1,-1),AN114-1,AM115-1)</f>
        <v>-95</v>
      </c>
      <c r="AO115" s="2" t="n">
        <f aca="false">MAX(AN114+IF($A115=AO$4,1,-1),AO114-1,AN115-1)</f>
        <v>-95</v>
      </c>
      <c r="AP115" s="2" t="n">
        <f aca="false">MAX(AO114+IF($A115=AP$4,1,-1),AP114-1,AO115-1)</f>
        <v>-95</v>
      </c>
      <c r="AQ115" s="2" t="n">
        <f aca="false">MAX(AP114+IF($A115=AQ$4,1,-1),AQ114-1,AP115-1)</f>
        <v>-95</v>
      </c>
      <c r="AR115" s="2" t="n">
        <f aca="false">MAX(AQ114+IF($A115=AR$4,1,-1),AR114-1,AQ115-1)</f>
        <v>-95</v>
      </c>
      <c r="AS115" s="2" t="n">
        <f aca="false">MAX(AR114+IF($A115=AS$4,1,-1),AS114-1,AR115-1)</f>
        <v>-95</v>
      </c>
      <c r="AT115" s="2" t="n">
        <f aca="false">MAX(AS114+IF($A115=AT$4,1,-1),AT114-1,AS115-1)</f>
        <v>-95</v>
      </c>
      <c r="AU115" s="2" t="n">
        <f aca="false">MAX(AT114+IF($A115=AU$4,1,-1),AU114-1,AT115-1)</f>
        <v>-95</v>
      </c>
      <c r="AV115" s="2" t="n">
        <f aca="false">MAX(AU114+IF($A115=AV$4,1,-1),AV114-1,AU115-1)</f>
        <v>-93</v>
      </c>
      <c r="AW115" s="2" t="n">
        <f aca="false">MAX(AV114+IF($A115=AW$4,1,-1),AW114-1,AV115-1)</f>
        <v>-94</v>
      </c>
      <c r="AX115" s="2" t="n">
        <f aca="false">MAX(AW114+IF($A115=AX$4,1,-1),AX114-1,AW115-1)</f>
        <v>-95</v>
      </c>
      <c r="AY115" s="2" t="n">
        <f aca="false">MAX(AX114+IF($A115=AY$4,1,-1),AY114-1,AX115-1)</f>
        <v>-95</v>
      </c>
      <c r="AZ115" s="2" t="n">
        <f aca="false">MAX(AY114+IF($A115=AZ$4,1,-1),AZ114-1,AY115-1)</f>
        <v>-95</v>
      </c>
      <c r="BA115" s="2" t="n">
        <f aca="false">MAX(AZ114+IF($A115=BA$4,1,-1),BA114-1,AZ115-1)</f>
        <v>-95</v>
      </c>
      <c r="BB115" s="2" t="n">
        <f aca="false">MAX(BA114+IF($A115=BB$4,1,-1),BB114-1,BA115-1)</f>
        <v>-95</v>
      </c>
      <c r="BC115" s="2" t="n">
        <f aca="false">MAX(BB114+IF($A115=BC$4,1,-1),BC114-1,BB115-1)</f>
        <v>-95</v>
      </c>
      <c r="BD115" s="2" t="n">
        <f aca="false">MAX(BC114+IF($A115=BD$4,1,-1),BD114-1,BC115-1)</f>
        <v>-95</v>
      </c>
      <c r="BE115" s="2" t="n">
        <f aca="false">MAX(BD114+IF($A115=BE$4,1,-1),BE114-1,BD115-1)</f>
        <v>-96</v>
      </c>
      <c r="BF115" s="2" t="n">
        <f aca="false">MAX(BE114+IF($A115=BF$4,1,-1),BF114-1,BE115-1)</f>
        <v>-96</v>
      </c>
      <c r="BG115" s="2" t="n">
        <f aca="false">MAX(BF114+IF($A115=BG$4,1,-1),BG114-1,BF115-1)</f>
        <v>-96</v>
      </c>
      <c r="BH115" s="2" t="n">
        <f aca="false">MAX(BG114+IF($A115=BH$4,1,-1),BH114-1,BG115-1)</f>
        <v>-96</v>
      </c>
      <c r="BI115" s="2" t="n">
        <f aca="false">MAX(BH114+IF($A115=BI$4,1,-1),BI114-1,BH115-1)</f>
        <v>-96</v>
      </c>
      <c r="BJ115" s="2" t="n">
        <f aca="false">MAX(BI114+IF($A115=BJ$4,1,-1),BJ114-1,BI115-1)</f>
        <v>-96</v>
      </c>
      <c r="BK115" s="2" t="n">
        <f aca="false">MAX(BJ114+IF($A115=BK$4,1,-1),BK114-1,BJ115-1)</f>
        <v>-96</v>
      </c>
      <c r="BL115" s="2" t="n">
        <f aca="false">MAX(BK114+IF($A115=BL$4,1,-1),BL114-1,BK115-1)</f>
        <v>-94</v>
      </c>
      <c r="BM115" s="2" t="n">
        <f aca="false">MAX(BL114+IF($A115=BM$4,1,-1),BM114-1,BL115-1)</f>
        <v>-94</v>
      </c>
      <c r="BN115" s="2" t="n">
        <f aca="false">MAX(BM114+IF($A115=BN$4,1,-1),BN114-1,BM115-1)</f>
        <v>-94</v>
      </c>
      <c r="BO115" s="2" t="n">
        <f aca="false">MAX(BN114+IF($A115=BO$4,1,-1),BO114-1,BN115-1)</f>
        <v>-94</v>
      </c>
      <c r="BP115" s="2" t="n">
        <f aca="false">MAX(BO114+IF($A115=BP$4,1,-1),BP114-1,BO115-1)</f>
        <v>-94</v>
      </c>
      <c r="BQ115" s="2" t="n">
        <f aca="false">MAX(BP114+IF($A115=BQ$4,1,-1),BQ114-1,BP115-1)</f>
        <v>-94</v>
      </c>
      <c r="BR115" s="2" t="n">
        <f aca="false">MAX(BQ114+IF($A115=BR$4,1,-1),BR114-1,BQ115-1)</f>
        <v>-94</v>
      </c>
      <c r="BS115" s="2" t="n">
        <f aca="false">MAX(BR114+IF($A115=BS$4,1,-1),BS114-1,BR115-1)</f>
        <v>-94</v>
      </c>
      <c r="BT115" s="2" t="n">
        <f aca="false">MAX(BS114+IF($A115=BT$4,1,-1),BT114-1,BS115-1)</f>
        <v>-94</v>
      </c>
      <c r="BU115" s="2" t="n">
        <f aca="false">MAX(BT114+IF($A115=BU$4,1,-1),BU114-1,BT115-1)</f>
        <v>-94</v>
      </c>
      <c r="BV115" s="2" t="n">
        <f aca="false">MAX(BU114+IF($A115=BV$4,1,-1),BV114-1,BU115-1)</f>
        <v>-92</v>
      </c>
      <c r="BW115" s="2" t="n">
        <f aca="false">MAX(BV114+IF($A115=BW$4,1,-1),BW114-1,BV115-1)</f>
        <v>-92</v>
      </c>
      <c r="BX115" s="2" t="n">
        <f aca="false">MAX(BW114+IF($A115=BX$4,1,-1),BX114-1,BW115-1)</f>
        <v>-92</v>
      </c>
      <c r="BY115" s="2" t="n">
        <f aca="false">MAX(BX114+IF($A115=BY$4,1,-1),BY114-1,BX115-1)</f>
        <v>-92</v>
      </c>
      <c r="BZ115" s="2" t="n">
        <f aca="false">MAX(BY114+IF($A115=BZ$4,1,-1),BZ114-1,BY115-1)</f>
        <v>-93</v>
      </c>
      <c r="CA115" s="2" t="n">
        <f aca="false">MAX(BZ114+IF($A115=CA$4,1,-1),CA114-1,BZ115-1)</f>
        <v>-94</v>
      </c>
      <c r="CB115" s="2" t="n">
        <f aca="false">MAX(CA114+IF($A115=CB$4,1,-1),CB114-1,CA115-1)</f>
        <v>-94</v>
      </c>
      <c r="CC115" s="2" t="n">
        <f aca="false">MAX(CB114+IF($A115=CC$4,1,-1),CC114-1,CB115-1)</f>
        <v>-94</v>
      </c>
      <c r="CD115" s="2" t="n">
        <f aca="false">MAX(CC114+IF($A115=CD$4,1,-1),CD114-1,CC115-1)</f>
        <v>-94</v>
      </c>
      <c r="CE115" s="2" t="n">
        <f aca="false">MAX(CD114+IF($A115=CE$4,1,-1),CE114-1,CD115-1)</f>
        <v>-94</v>
      </c>
      <c r="CF115" s="2" t="n">
        <f aca="false">MAX(CE114+IF($A115=CF$4,1,-1),CF114-1,CE115-1)</f>
        <v>-94</v>
      </c>
      <c r="CG115" s="2" t="n">
        <f aca="false">MAX(CF114+IF($A115=CG$4,1,-1),CG114-1,CF115-1)</f>
        <v>-94</v>
      </c>
      <c r="CH115" s="2" t="n">
        <f aca="false">MAX(CG114+IF($A115=CH$4,1,-1),CH114-1,CG115-1)</f>
        <v>-94</v>
      </c>
      <c r="CI115" s="2" t="n">
        <f aca="false">MAX(CH114+IF($A115=CI$4,1,-1),CI114-1,CH115-1)</f>
        <v>-95</v>
      </c>
      <c r="CJ115" s="2" t="n">
        <f aca="false">MAX(CI114+IF($A115=CJ$4,1,-1),CJ114-1,CI115-1)</f>
        <v>-96</v>
      </c>
      <c r="CK115" s="2" t="n">
        <f aca="false">MAX(CJ114+IF($A115=CK$4,1,-1),CK114-1,CJ115-1)</f>
        <v>-96</v>
      </c>
      <c r="CL115" s="2" t="n">
        <f aca="false">MAX(CK114+IF($A115=CL$4,1,-1),CL114-1,CK115-1)</f>
        <v>-96</v>
      </c>
      <c r="CM115" s="2" t="n">
        <f aca="false">MAX(CL114+IF($A115=CM$4,1,-1),CM114-1,CL115-1)</f>
        <v>-96</v>
      </c>
      <c r="CN115" s="2" t="n">
        <f aca="false">MAX(CM114+IF($A115=CN$4,1,-1),CN114-1,CM115-1)</f>
        <v>-96</v>
      </c>
      <c r="CO115" s="2" t="n">
        <f aca="false">MAX(CN114+IF($A115=CO$4,1,-1),CO114-1,CN115-1)</f>
        <v>-96</v>
      </c>
      <c r="CP115" s="2" t="n">
        <f aca="false">MAX(CO114+IF($A115=CP$4,1,-1),CP114-1,CO115-1)</f>
        <v>-96</v>
      </c>
      <c r="CQ115" s="2" t="n">
        <f aca="false">MAX(CP114+IF($A115=CQ$4,1,-1),CQ114-1,CP115-1)</f>
        <v>-96</v>
      </c>
    </row>
    <row r="116" customFormat="false" ht="15" hidden="false" customHeight="false" outlineLevel="0" collapsed="false">
      <c r="A116" s="4" t="s">
        <v>212</v>
      </c>
      <c r="B116" s="12" t="n">
        <v>-111</v>
      </c>
      <c r="C116" s="2" t="n">
        <f aca="false">MAX(B115+IF($A116=C$4,1,-1),C115-1,B116-1)</f>
        <v>-111</v>
      </c>
      <c r="D116" s="2" t="n">
        <f aca="false">MAX(C115+IF($A116=D$4,1,-1),D115-1,C116-1)</f>
        <v>-109</v>
      </c>
      <c r="E116" s="2" t="n">
        <f aca="false">MAX(D115+IF($A116=E$4,1,-1),E115-1,D116-1)</f>
        <v>-107</v>
      </c>
      <c r="F116" s="2" t="n">
        <f aca="false">MAX(E115+IF($A116=F$4,1,-1),F115-1,E116-1)</f>
        <v>-105</v>
      </c>
      <c r="G116" s="2" t="n">
        <f aca="false">MAX(F115+IF($A116=G$4,1,-1),G115-1,F116-1)</f>
        <v>-103</v>
      </c>
      <c r="H116" s="2" t="n">
        <f aca="false">MAX(G115+IF($A116=H$4,1,-1),H115-1,G116-1)</f>
        <v>-103</v>
      </c>
      <c r="I116" s="2" t="n">
        <f aca="false">MAX(H115+IF($A116=I$4,1,-1),I115-1,H116-1)</f>
        <v>-103</v>
      </c>
      <c r="J116" s="2" t="n">
        <f aca="false">MAX(I115+IF($A116=J$4,1,-1),J115-1,I116-1)</f>
        <v>-103</v>
      </c>
      <c r="K116" s="2" t="n">
        <f aca="false">MAX(J115+IF($A116=K$4,1,-1),K115-1,J116-1)</f>
        <v>-101</v>
      </c>
      <c r="L116" s="2" t="n">
        <f aca="false">MAX(K115+IF($A116=L$4,1,-1),L115-1,K116-1)</f>
        <v>-101</v>
      </c>
      <c r="M116" s="2" t="n">
        <f aca="false">MAX(L115+IF($A116=M$4,1,-1),M115-1,L116-1)</f>
        <v>-101</v>
      </c>
      <c r="N116" s="2" t="n">
        <f aca="false">MAX(M115+IF($A116=N$4,1,-1),N115-1,M116-1)</f>
        <v>-101</v>
      </c>
      <c r="O116" s="2" t="n">
        <f aca="false">MAX(N115+IF($A116=O$4,1,-1),O115-1,N116-1)</f>
        <v>-99</v>
      </c>
      <c r="P116" s="2" t="n">
        <f aca="false">MAX(O115+IF($A116=P$4,1,-1),P115-1,O116-1)</f>
        <v>-99</v>
      </c>
      <c r="Q116" s="2" t="n">
        <f aca="false">MAX(P115+IF($A116=Q$4,1,-1),Q115-1,P116-1)</f>
        <v>-99</v>
      </c>
      <c r="R116" s="2" t="n">
        <f aca="false">MAX(Q115+IF($A116=R$4,1,-1),R115-1,Q116-1)</f>
        <v>-99</v>
      </c>
      <c r="S116" s="2" t="n">
        <f aca="false">MAX(R115+IF($A116=S$4,1,-1),S115-1,R116-1)</f>
        <v>-99</v>
      </c>
      <c r="T116" s="2" t="n">
        <f aca="false">MAX(S115+IF($A116=T$4,1,-1),T115-1,S116-1)</f>
        <v>-99</v>
      </c>
      <c r="U116" s="2" t="n">
        <f aca="false">MAX(T115+IF($A116=U$4,1,-1),U115-1,T116-1)</f>
        <v>-98</v>
      </c>
      <c r="V116" s="2" t="n">
        <f aca="false">MAX(U115+IF($A116=V$4,1,-1),V115-1,U116-1)</f>
        <v>-98</v>
      </c>
      <c r="W116" s="2" t="n">
        <f aca="false">MAX(V115+IF($A116=W$4,1,-1),W115-1,V116-1)</f>
        <v>-98</v>
      </c>
      <c r="X116" s="2" t="n">
        <f aca="false">MAX(W115+IF($A116=X$4,1,-1),X115-1,W116-1)</f>
        <v>-98</v>
      </c>
      <c r="Y116" s="2" t="n">
        <f aca="false">MAX(X115+IF($A116=Y$4,1,-1),Y115-1,X116-1)</f>
        <v>-98</v>
      </c>
      <c r="Z116" s="2" t="n">
        <f aca="false">MAX(Y115+IF($A116=Z$4,1,-1),Z115-1,Y116-1)</f>
        <v>-98</v>
      </c>
      <c r="AA116" s="2" t="n">
        <f aca="false">MAX(Z115+IF($A116=AA$4,1,-1),AA115-1,Z116-1)</f>
        <v>-98</v>
      </c>
      <c r="AB116" s="2" t="n">
        <f aca="false">MAX(AA115+IF($A116=AB$4,1,-1),AB115-1,AA116-1)</f>
        <v>-98</v>
      </c>
      <c r="AC116" s="2" t="n">
        <f aca="false">MAX(AB115+IF($A116=AC$4,1,-1),AC115-1,AB116-1)</f>
        <v>-98</v>
      </c>
      <c r="AD116" s="2" t="n">
        <f aca="false">MAX(AC115+IF($A116=AD$4,1,-1),AD115-1,AC116-1)</f>
        <v>-96</v>
      </c>
      <c r="AE116" s="2" t="n">
        <f aca="false">MAX(AD115+IF($A116=AE$4,1,-1),AE115-1,AD116-1)</f>
        <v>-96</v>
      </c>
      <c r="AF116" s="2" t="n">
        <f aca="false">MAX(AE115+IF($A116=AF$4,1,-1),AF115-1,AE116-1)</f>
        <v>-96</v>
      </c>
      <c r="AG116" s="2" t="n">
        <f aca="false">MAX(AF115+IF($A116=AG$4,1,-1),AG115-1,AF116-1)</f>
        <v>-96</v>
      </c>
      <c r="AH116" s="2" t="n">
        <f aca="false">MAX(AG115+IF($A116=AH$4,1,-1),AH115-1,AG116-1)</f>
        <v>-96</v>
      </c>
      <c r="AI116" s="2" t="n">
        <f aca="false">MAX(AH115+IF($A116=AI$4,1,-1),AI115-1,AH116-1)</f>
        <v>-96</v>
      </c>
      <c r="AJ116" s="2" t="n">
        <f aca="false">MAX(AI115+IF($A116=AJ$4,1,-1),AJ115-1,AI116-1)</f>
        <v>-96</v>
      </c>
      <c r="AK116" s="2" t="n">
        <f aca="false">MAX(AJ115+IF($A116=AK$4,1,-1),AK115-1,AJ116-1)</f>
        <v>-96</v>
      </c>
      <c r="AL116" s="2" t="n">
        <f aca="false">MAX(AK115+IF($A116=AL$4,1,-1),AL115-1,AK116-1)</f>
        <v>-96</v>
      </c>
      <c r="AM116" s="2" t="n">
        <f aca="false">MAX(AL115+IF($A116=AM$4,1,-1),AM115-1,AL116-1)</f>
        <v>-96</v>
      </c>
      <c r="AN116" s="2" t="n">
        <f aca="false">MAX(AM115+IF($A116=AN$4,1,-1),AN115-1,AM116-1)</f>
        <v>-96</v>
      </c>
      <c r="AO116" s="2" t="n">
        <f aca="false">MAX(AN115+IF($A116=AO$4,1,-1),AO115-1,AN116-1)</f>
        <v>-96</v>
      </c>
      <c r="AP116" s="2" t="n">
        <f aca="false">MAX(AO115+IF($A116=AP$4,1,-1),AP115-1,AO116-1)</f>
        <v>-96</v>
      </c>
      <c r="AQ116" s="2" t="n">
        <f aca="false">MAX(AP115+IF($A116=AQ$4,1,-1),AQ115-1,AP116-1)</f>
        <v>-96</v>
      </c>
      <c r="AR116" s="2" t="n">
        <f aca="false">MAX(AQ115+IF($A116=AR$4,1,-1),AR115-1,AQ116-1)</f>
        <v>-96</v>
      </c>
      <c r="AS116" s="2" t="n">
        <f aca="false">MAX(AR115+IF($A116=AS$4,1,-1),AS115-1,AR116-1)</f>
        <v>-96</v>
      </c>
      <c r="AT116" s="2" t="n">
        <f aca="false">MAX(AS115+IF($A116=AT$4,1,-1),AT115-1,AS116-1)</f>
        <v>-96</v>
      </c>
      <c r="AU116" s="2" t="n">
        <f aca="false">MAX(AT115+IF($A116=AU$4,1,-1),AU115-1,AT116-1)</f>
        <v>-96</v>
      </c>
      <c r="AV116" s="2" t="n">
        <f aca="false">MAX(AU115+IF($A116=AV$4,1,-1),AV115-1,AU116-1)</f>
        <v>-94</v>
      </c>
      <c r="AW116" s="2" t="n">
        <f aca="false">MAX(AV115+IF($A116=AW$4,1,-1),AW115-1,AV116-1)</f>
        <v>-94</v>
      </c>
      <c r="AX116" s="2" t="n">
        <f aca="false">MAX(AW115+IF($A116=AX$4,1,-1),AX115-1,AW116-1)</f>
        <v>-95</v>
      </c>
      <c r="AY116" s="2" t="n">
        <f aca="false">MAX(AX115+IF($A116=AY$4,1,-1),AY115-1,AX116-1)</f>
        <v>-96</v>
      </c>
      <c r="AZ116" s="2" t="n">
        <f aca="false">MAX(AY115+IF($A116=AZ$4,1,-1),AZ115-1,AY116-1)</f>
        <v>-96</v>
      </c>
      <c r="BA116" s="2" t="n">
        <f aca="false">MAX(AZ115+IF($A116=BA$4,1,-1),BA115-1,AZ116-1)</f>
        <v>-96</v>
      </c>
      <c r="BB116" s="2" t="n">
        <f aca="false">MAX(BA115+IF($A116=BB$4,1,-1),BB115-1,BA116-1)</f>
        <v>-96</v>
      </c>
      <c r="BC116" s="2" t="n">
        <f aca="false">MAX(BB115+IF($A116=BC$4,1,-1),BC115-1,BB116-1)</f>
        <v>-96</v>
      </c>
      <c r="BD116" s="2" t="n">
        <f aca="false">MAX(BC115+IF($A116=BD$4,1,-1),BD115-1,BC116-1)</f>
        <v>-96</v>
      </c>
      <c r="BE116" s="2" t="n">
        <f aca="false">MAX(BD115+IF($A116=BE$4,1,-1),BE115-1,BD116-1)</f>
        <v>-96</v>
      </c>
      <c r="BF116" s="2" t="n">
        <f aca="false">MAX(BE115+IF($A116=BF$4,1,-1),BF115-1,BE116-1)</f>
        <v>-97</v>
      </c>
      <c r="BG116" s="2" t="n">
        <f aca="false">MAX(BF115+IF($A116=BG$4,1,-1),BG115-1,BF116-1)</f>
        <v>-97</v>
      </c>
      <c r="BH116" s="2" t="n">
        <f aca="false">MAX(BG115+IF($A116=BH$4,1,-1),BH115-1,BG116-1)</f>
        <v>-97</v>
      </c>
      <c r="BI116" s="2" t="n">
        <f aca="false">MAX(BH115+IF($A116=BI$4,1,-1),BI115-1,BH116-1)</f>
        <v>-97</v>
      </c>
      <c r="BJ116" s="2" t="n">
        <f aca="false">MAX(BI115+IF($A116=BJ$4,1,-1),BJ115-1,BI116-1)</f>
        <v>-97</v>
      </c>
      <c r="BK116" s="2" t="n">
        <f aca="false">MAX(BJ115+IF($A116=BK$4,1,-1),BK115-1,BJ116-1)</f>
        <v>-97</v>
      </c>
      <c r="BL116" s="2" t="n">
        <f aca="false">MAX(BK115+IF($A116=BL$4,1,-1),BL115-1,BK116-1)</f>
        <v>-95</v>
      </c>
      <c r="BM116" s="2" t="n">
        <f aca="false">MAX(BL115+IF($A116=BM$4,1,-1),BM115-1,BL116-1)</f>
        <v>-95</v>
      </c>
      <c r="BN116" s="2" t="n">
        <f aca="false">MAX(BM115+IF($A116=BN$4,1,-1),BN115-1,BM116-1)</f>
        <v>-95</v>
      </c>
      <c r="BO116" s="2" t="n">
        <f aca="false">MAX(BN115+IF($A116=BO$4,1,-1),BO115-1,BN116-1)</f>
        <v>-95</v>
      </c>
      <c r="BP116" s="2" t="n">
        <f aca="false">MAX(BO115+IF($A116=BP$4,1,-1),BP115-1,BO116-1)</f>
        <v>-95</v>
      </c>
      <c r="BQ116" s="2" t="n">
        <f aca="false">MAX(BP115+IF($A116=BQ$4,1,-1),BQ115-1,BP116-1)</f>
        <v>-95</v>
      </c>
      <c r="BR116" s="2" t="n">
        <f aca="false">MAX(BQ115+IF($A116=BR$4,1,-1),BR115-1,BQ116-1)</f>
        <v>-95</v>
      </c>
      <c r="BS116" s="2" t="n">
        <f aca="false">MAX(BR115+IF($A116=BS$4,1,-1),BS115-1,BR116-1)</f>
        <v>-95</v>
      </c>
      <c r="BT116" s="2" t="n">
        <f aca="false">MAX(BS115+IF($A116=BT$4,1,-1),BT115-1,BS116-1)</f>
        <v>-95</v>
      </c>
      <c r="BU116" s="2" t="n">
        <f aca="false">MAX(BT115+IF($A116=BU$4,1,-1),BU115-1,BT116-1)</f>
        <v>-95</v>
      </c>
      <c r="BV116" s="2" t="n">
        <f aca="false">MAX(BU115+IF($A116=BV$4,1,-1),BV115-1,BU116-1)</f>
        <v>-93</v>
      </c>
      <c r="BW116" s="2" t="n">
        <f aca="false">MAX(BV115+IF($A116=BW$4,1,-1),BW115-1,BV116-1)</f>
        <v>-93</v>
      </c>
      <c r="BX116" s="2" t="n">
        <f aca="false">MAX(BW115+IF($A116=BX$4,1,-1),BX115-1,BW116-1)</f>
        <v>-93</v>
      </c>
      <c r="BY116" s="2" t="n">
        <f aca="false">MAX(BX115+IF($A116=BY$4,1,-1),BY115-1,BX116-1)</f>
        <v>-93</v>
      </c>
      <c r="BZ116" s="2" t="n">
        <f aca="false">MAX(BY115+IF($A116=BZ$4,1,-1),BZ115-1,BY116-1)</f>
        <v>-93</v>
      </c>
      <c r="CA116" s="2" t="n">
        <f aca="false">MAX(BZ115+IF($A116=CA$4,1,-1),CA115-1,BZ116-1)</f>
        <v>-94</v>
      </c>
      <c r="CB116" s="2" t="n">
        <f aca="false">MAX(CA115+IF($A116=CB$4,1,-1),CB115-1,CA116-1)</f>
        <v>-95</v>
      </c>
      <c r="CC116" s="2" t="n">
        <f aca="false">MAX(CB115+IF($A116=CC$4,1,-1),CC115-1,CB116-1)</f>
        <v>-95</v>
      </c>
      <c r="CD116" s="2" t="n">
        <f aca="false">MAX(CC115+IF($A116=CD$4,1,-1),CD115-1,CC116-1)</f>
        <v>-95</v>
      </c>
      <c r="CE116" s="2" t="n">
        <f aca="false">MAX(CD115+IF($A116=CE$4,1,-1),CE115-1,CD116-1)</f>
        <v>-95</v>
      </c>
      <c r="CF116" s="2" t="n">
        <f aca="false">MAX(CE115+IF($A116=CF$4,1,-1),CF115-1,CE116-1)</f>
        <v>-95</v>
      </c>
      <c r="CG116" s="2" t="n">
        <f aca="false">MAX(CF115+IF($A116=CG$4,1,-1),CG115-1,CF116-1)</f>
        <v>-95</v>
      </c>
      <c r="CH116" s="2" t="n">
        <f aca="false">MAX(CG115+IF($A116=CH$4,1,-1),CH115-1,CG116-1)</f>
        <v>-95</v>
      </c>
      <c r="CI116" s="2" t="n">
        <f aca="false">MAX(CH115+IF($A116=CI$4,1,-1),CI115-1,CH116-1)</f>
        <v>-95</v>
      </c>
      <c r="CJ116" s="2" t="n">
        <f aca="false">MAX(CI115+IF($A116=CJ$4,1,-1),CJ115-1,CI116-1)</f>
        <v>-96</v>
      </c>
      <c r="CK116" s="2" t="n">
        <f aca="false">MAX(CJ115+IF($A116=CK$4,1,-1),CK115-1,CJ116-1)</f>
        <v>-97</v>
      </c>
      <c r="CL116" s="2" t="n">
        <f aca="false">MAX(CK115+IF($A116=CL$4,1,-1),CL115-1,CK116-1)</f>
        <v>-97</v>
      </c>
      <c r="CM116" s="2" t="n">
        <f aca="false">MAX(CL115+IF($A116=CM$4,1,-1),CM115-1,CL116-1)</f>
        <v>-97</v>
      </c>
      <c r="CN116" s="2" t="n">
        <f aca="false">MAX(CM115+IF($A116=CN$4,1,-1),CN115-1,CM116-1)</f>
        <v>-97</v>
      </c>
      <c r="CO116" s="2" t="n">
        <f aca="false">MAX(CN115+IF($A116=CO$4,1,-1),CO115-1,CN116-1)</f>
        <v>-97</v>
      </c>
      <c r="CP116" s="2" t="n">
        <f aca="false">MAX(CO115+IF($A116=CP$4,1,-1),CP115-1,CO116-1)</f>
        <v>-97</v>
      </c>
      <c r="CQ116" s="2" t="n">
        <f aca="false">MAX(CP115+IF($A116=CQ$4,1,-1),CQ115-1,CP116-1)</f>
        <v>-97</v>
      </c>
    </row>
    <row r="117" customFormat="false" ht="15" hidden="false" customHeight="false" outlineLevel="0" collapsed="false">
      <c r="A117" s="4" t="s">
        <v>213</v>
      </c>
      <c r="B117" s="12" t="n">
        <v>-112</v>
      </c>
      <c r="C117" s="2" t="n">
        <f aca="false">MAX(B116+IF($A117=C$4,1,-1),C116-1,B117-1)</f>
        <v>-112</v>
      </c>
      <c r="D117" s="2" t="n">
        <f aca="false">MAX(C116+IF($A117=D$4,1,-1),D116-1,C117-1)</f>
        <v>-110</v>
      </c>
      <c r="E117" s="2" t="n">
        <f aca="false">MAX(D116+IF($A117=E$4,1,-1),E116-1,D117-1)</f>
        <v>-108</v>
      </c>
      <c r="F117" s="2" t="n">
        <f aca="false">MAX(E116+IF($A117=F$4,1,-1),F116-1,E117-1)</f>
        <v>-106</v>
      </c>
      <c r="G117" s="2" t="n">
        <f aca="false">MAX(F116+IF($A117=G$4,1,-1),G116-1,F117-1)</f>
        <v>-104</v>
      </c>
      <c r="H117" s="2" t="n">
        <f aca="false">MAX(G116+IF($A117=H$4,1,-1),H116-1,G117-1)</f>
        <v>-104</v>
      </c>
      <c r="I117" s="2" t="n">
        <f aca="false">MAX(H116+IF($A117=I$4,1,-1),I116-1,H117-1)</f>
        <v>-104</v>
      </c>
      <c r="J117" s="2" t="n">
        <f aca="false">MAX(I116+IF($A117=J$4,1,-1),J116-1,I117-1)</f>
        <v>-104</v>
      </c>
      <c r="K117" s="2" t="n">
        <f aca="false">MAX(J116+IF($A117=K$4,1,-1),K116-1,J117-1)</f>
        <v>-102</v>
      </c>
      <c r="L117" s="2" t="n">
        <f aca="false">MAX(K116+IF($A117=L$4,1,-1),L116-1,K117-1)</f>
        <v>-102</v>
      </c>
      <c r="M117" s="2" t="n">
        <f aca="false">MAX(L116+IF($A117=M$4,1,-1),M116-1,L117-1)</f>
        <v>-102</v>
      </c>
      <c r="N117" s="2" t="n">
        <f aca="false">MAX(M116+IF($A117=N$4,1,-1),N116-1,M117-1)</f>
        <v>-102</v>
      </c>
      <c r="O117" s="2" t="n">
        <f aca="false">MAX(N116+IF($A117=O$4,1,-1),O116-1,N117-1)</f>
        <v>-100</v>
      </c>
      <c r="P117" s="2" t="n">
        <f aca="false">MAX(O116+IF($A117=P$4,1,-1),P116-1,O117-1)</f>
        <v>-100</v>
      </c>
      <c r="Q117" s="2" t="n">
        <f aca="false">MAX(P116+IF($A117=Q$4,1,-1),Q116-1,P117-1)</f>
        <v>-100</v>
      </c>
      <c r="R117" s="2" t="n">
        <f aca="false">MAX(Q116+IF($A117=R$4,1,-1),R116-1,Q117-1)</f>
        <v>-100</v>
      </c>
      <c r="S117" s="2" t="n">
        <f aca="false">MAX(R116+IF($A117=S$4,1,-1),S116-1,R117-1)</f>
        <v>-100</v>
      </c>
      <c r="T117" s="2" t="n">
        <f aca="false">MAX(S116+IF($A117=T$4,1,-1),T116-1,S117-1)</f>
        <v>-100</v>
      </c>
      <c r="U117" s="2" t="n">
        <f aca="false">MAX(T116+IF($A117=U$4,1,-1),U116-1,T117-1)</f>
        <v>-99</v>
      </c>
      <c r="V117" s="2" t="n">
        <f aca="false">MAX(U116+IF($A117=V$4,1,-1),V116-1,U117-1)</f>
        <v>-99</v>
      </c>
      <c r="W117" s="2" t="n">
        <f aca="false">MAX(V116+IF($A117=W$4,1,-1),W116-1,V117-1)</f>
        <v>-99</v>
      </c>
      <c r="X117" s="2" t="n">
        <f aca="false">MAX(W116+IF($A117=X$4,1,-1),X116-1,W117-1)</f>
        <v>-99</v>
      </c>
      <c r="Y117" s="2" t="n">
        <f aca="false">MAX(X116+IF($A117=Y$4,1,-1),Y116-1,X117-1)</f>
        <v>-99</v>
      </c>
      <c r="Z117" s="2" t="n">
        <f aca="false">MAX(Y116+IF($A117=Z$4,1,-1),Z116-1,Y117-1)</f>
        <v>-99</v>
      </c>
      <c r="AA117" s="2" t="n">
        <f aca="false">MAX(Z116+IF($A117=AA$4,1,-1),AA116-1,Z117-1)</f>
        <v>-99</v>
      </c>
      <c r="AB117" s="2" t="n">
        <f aca="false">MAX(AA116+IF($A117=AB$4,1,-1),AB116-1,AA117-1)</f>
        <v>-99</v>
      </c>
      <c r="AC117" s="2" t="n">
        <f aca="false">MAX(AB116+IF($A117=AC$4,1,-1),AC116-1,AB117-1)</f>
        <v>-99</v>
      </c>
      <c r="AD117" s="2" t="n">
        <f aca="false">MAX(AC116+IF($A117=AD$4,1,-1),AD116-1,AC117-1)</f>
        <v>-97</v>
      </c>
      <c r="AE117" s="2" t="n">
        <f aca="false">MAX(AD116+IF($A117=AE$4,1,-1),AE116-1,AD117-1)</f>
        <v>-97</v>
      </c>
      <c r="AF117" s="2" t="n">
        <f aca="false">MAX(AE116+IF($A117=AF$4,1,-1),AF116-1,AE117-1)</f>
        <v>-97</v>
      </c>
      <c r="AG117" s="2" t="n">
        <f aca="false">MAX(AF116+IF($A117=AG$4,1,-1),AG116-1,AF117-1)</f>
        <v>-97</v>
      </c>
      <c r="AH117" s="2" t="n">
        <f aca="false">MAX(AG116+IF($A117=AH$4,1,-1),AH116-1,AG117-1)</f>
        <v>-97</v>
      </c>
      <c r="AI117" s="2" t="n">
        <f aca="false">MAX(AH116+IF($A117=AI$4,1,-1),AI116-1,AH117-1)</f>
        <v>-97</v>
      </c>
      <c r="AJ117" s="2" t="n">
        <f aca="false">MAX(AI116+IF($A117=AJ$4,1,-1),AJ116-1,AI117-1)</f>
        <v>-97</v>
      </c>
      <c r="AK117" s="2" t="n">
        <f aca="false">MAX(AJ116+IF($A117=AK$4,1,-1),AK116-1,AJ117-1)</f>
        <v>-97</v>
      </c>
      <c r="AL117" s="2" t="n">
        <f aca="false">MAX(AK116+IF($A117=AL$4,1,-1),AL116-1,AK117-1)</f>
        <v>-97</v>
      </c>
      <c r="AM117" s="2" t="n">
        <f aca="false">MAX(AL116+IF($A117=AM$4,1,-1),AM116-1,AL117-1)</f>
        <v>-97</v>
      </c>
      <c r="AN117" s="2" t="n">
        <f aca="false">MAX(AM116+IF($A117=AN$4,1,-1),AN116-1,AM117-1)</f>
        <v>-97</v>
      </c>
      <c r="AO117" s="2" t="n">
        <f aca="false">MAX(AN116+IF($A117=AO$4,1,-1),AO116-1,AN117-1)</f>
        <v>-97</v>
      </c>
      <c r="AP117" s="2" t="n">
        <f aca="false">MAX(AO116+IF($A117=AP$4,1,-1),AP116-1,AO117-1)</f>
        <v>-97</v>
      </c>
      <c r="AQ117" s="2" t="n">
        <f aca="false">MAX(AP116+IF($A117=AQ$4,1,-1),AQ116-1,AP117-1)</f>
        <v>-97</v>
      </c>
      <c r="AR117" s="2" t="n">
        <f aca="false">MAX(AQ116+IF($A117=AR$4,1,-1),AR116-1,AQ117-1)</f>
        <v>-97</v>
      </c>
      <c r="AS117" s="2" t="n">
        <f aca="false">MAX(AR116+IF($A117=AS$4,1,-1),AS116-1,AR117-1)</f>
        <v>-97</v>
      </c>
      <c r="AT117" s="2" t="n">
        <f aca="false">MAX(AS116+IF($A117=AT$4,1,-1),AT116-1,AS117-1)</f>
        <v>-97</v>
      </c>
      <c r="AU117" s="2" t="n">
        <f aca="false">MAX(AT116+IF($A117=AU$4,1,-1),AU116-1,AT117-1)</f>
        <v>-97</v>
      </c>
      <c r="AV117" s="2" t="n">
        <f aca="false">MAX(AU116+IF($A117=AV$4,1,-1),AV116-1,AU117-1)</f>
        <v>-95</v>
      </c>
      <c r="AW117" s="2" t="n">
        <f aca="false">MAX(AV116+IF($A117=AW$4,1,-1),AW116-1,AV117-1)</f>
        <v>-95</v>
      </c>
      <c r="AX117" s="2" t="n">
        <f aca="false">MAX(AW116+IF($A117=AX$4,1,-1),AX116-1,AW117-1)</f>
        <v>-95</v>
      </c>
      <c r="AY117" s="2" t="n">
        <f aca="false">MAX(AX116+IF($A117=AY$4,1,-1),AY116-1,AX117-1)</f>
        <v>-96</v>
      </c>
      <c r="AZ117" s="2" t="n">
        <f aca="false">MAX(AY116+IF($A117=AZ$4,1,-1),AZ116-1,AY117-1)</f>
        <v>-97</v>
      </c>
      <c r="BA117" s="2" t="n">
        <f aca="false">MAX(AZ116+IF($A117=BA$4,1,-1),BA116-1,AZ117-1)</f>
        <v>-97</v>
      </c>
      <c r="BB117" s="2" t="n">
        <f aca="false">MAX(BA116+IF($A117=BB$4,1,-1),BB116-1,BA117-1)</f>
        <v>-97</v>
      </c>
      <c r="BC117" s="2" t="n">
        <f aca="false">MAX(BB116+IF($A117=BC$4,1,-1),BC116-1,BB117-1)</f>
        <v>-97</v>
      </c>
      <c r="BD117" s="2" t="n">
        <f aca="false">MAX(BC116+IF($A117=BD$4,1,-1),BD116-1,BC117-1)</f>
        <v>-97</v>
      </c>
      <c r="BE117" s="2" t="n">
        <f aca="false">MAX(BD116+IF($A117=BE$4,1,-1),BE116-1,BD117-1)</f>
        <v>-97</v>
      </c>
      <c r="BF117" s="2" t="n">
        <f aca="false">MAX(BE116+IF($A117=BF$4,1,-1),BF116-1,BE117-1)</f>
        <v>-97</v>
      </c>
      <c r="BG117" s="2" t="n">
        <f aca="false">MAX(BF116+IF($A117=BG$4,1,-1),BG116-1,BF117-1)</f>
        <v>-98</v>
      </c>
      <c r="BH117" s="2" t="n">
        <f aca="false">MAX(BG116+IF($A117=BH$4,1,-1),BH116-1,BG117-1)</f>
        <v>-98</v>
      </c>
      <c r="BI117" s="2" t="n">
        <f aca="false">MAX(BH116+IF($A117=BI$4,1,-1),BI116-1,BH117-1)</f>
        <v>-98</v>
      </c>
      <c r="BJ117" s="2" t="n">
        <f aca="false">MAX(BI116+IF($A117=BJ$4,1,-1),BJ116-1,BI117-1)</f>
        <v>-98</v>
      </c>
      <c r="BK117" s="2" t="n">
        <f aca="false">MAX(BJ116+IF($A117=BK$4,1,-1),BK116-1,BJ117-1)</f>
        <v>-98</v>
      </c>
      <c r="BL117" s="2" t="n">
        <f aca="false">MAX(BK116+IF($A117=BL$4,1,-1),BL116-1,BK117-1)</f>
        <v>-96</v>
      </c>
      <c r="BM117" s="2" t="n">
        <f aca="false">MAX(BL116+IF($A117=BM$4,1,-1),BM116-1,BL117-1)</f>
        <v>-96</v>
      </c>
      <c r="BN117" s="2" t="n">
        <f aca="false">MAX(BM116+IF($A117=BN$4,1,-1),BN116-1,BM117-1)</f>
        <v>-96</v>
      </c>
      <c r="BO117" s="2" t="n">
        <f aca="false">MAX(BN116+IF($A117=BO$4,1,-1),BO116-1,BN117-1)</f>
        <v>-96</v>
      </c>
      <c r="BP117" s="2" t="n">
        <f aca="false">MAX(BO116+IF($A117=BP$4,1,-1),BP116-1,BO117-1)</f>
        <v>-96</v>
      </c>
      <c r="BQ117" s="2" t="n">
        <f aca="false">MAX(BP116+IF($A117=BQ$4,1,-1),BQ116-1,BP117-1)</f>
        <v>-96</v>
      </c>
      <c r="BR117" s="2" t="n">
        <f aca="false">MAX(BQ116+IF($A117=BR$4,1,-1),BR116-1,BQ117-1)</f>
        <v>-96</v>
      </c>
      <c r="BS117" s="2" t="n">
        <f aca="false">MAX(BR116+IF($A117=BS$4,1,-1),BS116-1,BR117-1)</f>
        <v>-96</v>
      </c>
      <c r="BT117" s="2" t="n">
        <f aca="false">MAX(BS116+IF($A117=BT$4,1,-1),BT116-1,BS117-1)</f>
        <v>-96</v>
      </c>
      <c r="BU117" s="2" t="n">
        <f aca="false">MAX(BT116+IF($A117=BU$4,1,-1),BU116-1,BT117-1)</f>
        <v>-96</v>
      </c>
      <c r="BV117" s="2" t="n">
        <f aca="false">MAX(BU116+IF($A117=BV$4,1,-1),BV116-1,BU117-1)</f>
        <v>-94</v>
      </c>
      <c r="BW117" s="2" t="n">
        <f aca="false">MAX(BV116+IF($A117=BW$4,1,-1),BW116-1,BV117-1)</f>
        <v>-94</v>
      </c>
      <c r="BX117" s="2" t="n">
        <f aca="false">MAX(BW116+IF($A117=BX$4,1,-1),BX116-1,BW117-1)</f>
        <v>-94</v>
      </c>
      <c r="BY117" s="2" t="n">
        <f aca="false">MAX(BX116+IF($A117=BY$4,1,-1),BY116-1,BX117-1)</f>
        <v>-94</v>
      </c>
      <c r="BZ117" s="2" t="n">
        <f aca="false">MAX(BY116+IF($A117=BZ$4,1,-1),BZ116-1,BY117-1)</f>
        <v>-94</v>
      </c>
      <c r="CA117" s="2" t="n">
        <f aca="false">MAX(BZ116+IF($A117=CA$4,1,-1),CA116-1,BZ117-1)</f>
        <v>-94</v>
      </c>
      <c r="CB117" s="2" t="n">
        <f aca="false">MAX(CA116+IF($A117=CB$4,1,-1),CB116-1,CA117-1)</f>
        <v>-95</v>
      </c>
      <c r="CC117" s="2" t="n">
        <f aca="false">MAX(CB116+IF($A117=CC$4,1,-1),CC116-1,CB117-1)</f>
        <v>-96</v>
      </c>
      <c r="CD117" s="2" t="n">
        <f aca="false">MAX(CC116+IF($A117=CD$4,1,-1),CD116-1,CC117-1)</f>
        <v>-96</v>
      </c>
      <c r="CE117" s="2" t="n">
        <f aca="false">MAX(CD116+IF($A117=CE$4,1,-1),CE116-1,CD117-1)</f>
        <v>-96</v>
      </c>
      <c r="CF117" s="2" t="n">
        <f aca="false">MAX(CE116+IF($A117=CF$4,1,-1),CF116-1,CE117-1)</f>
        <v>-96</v>
      </c>
      <c r="CG117" s="2" t="n">
        <f aca="false">MAX(CF116+IF($A117=CG$4,1,-1),CG116-1,CF117-1)</f>
        <v>-96</v>
      </c>
      <c r="CH117" s="2" t="n">
        <f aca="false">MAX(CG116+IF($A117=CH$4,1,-1),CH116-1,CG117-1)</f>
        <v>-96</v>
      </c>
      <c r="CI117" s="2" t="n">
        <f aca="false">MAX(CH116+IF($A117=CI$4,1,-1),CI116-1,CH117-1)</f>
        <v>-96</v>
      </c>
      <c r="CJ117" s="2" t="n">
        <f aca="false">MAX(CI116+IF($A117=CJ$4,1,-1),CJ116-1,CI117-1)</f>
        <v>-96</v>
      </c>
      <c r="CK117" s="2" t="n">
        <f aca="false">MAX(CJ116+IF($A117=CK$4,1,-1),CK116-1,CJ117-1)</f>
        <v>-97</v>
      </c>
      <c r="CL117" s="2" t="n">
        <f aca="false">MAX(CK116+IF($A117=CL$4,1,-1),CL116-1,CK117-1)</f>
        <v>-98</v>
      </c>
      <c r="CM117" s="2" t="n">
        <f aca="false">MAX(CL116+IF($A117=CM$4,1,-1),CM116-1,CL117-1)</f>
        <v>-98</v>
      </c>
      <c r="CN117" s="2" t="n">
        <f aca="false">MAX(CM116+IF($A117=CN$4,1,-1),CN116-1,CM117-1)</f>
        <v>-98</v>
      </c>
      <c r="CO117" s="2" t="n">
        <f aca="false">MAX(CN116+IF($A117=CO$4,1,-1),CO116-1,CN117-1)</f>
        <v>-98</v>
      </c>
      <c r="CP117" s="2" t="n">
        <f aca="false">MAX(CO116+IF($A117=CP$4,1,-1),CP116-1,CO117-1)</f>
        <v>-98</v>
      </c>
      <c r="CQ117" s="2" t="n">
        <f aca="false">MAX(CP116+IF($A117=CQ$4,1,-1),CQ116-1,CP117-1)</f>
        <v>-98</v>
      </c>
    </row>
    <row r="118" customFormat="false" ht="15" hidden="false" customHeight="false" outlineLevel="0" collapsed="false">
      <c r="A118" s="4" t="s">
        <v>214</v>
      </c>
      <c r="B118" s="12" t="n">
        <v>-113</v>
      </c>
      <c r="C118" s="2" t="n">
        <f aca="false">MAX(B117+IF($A118=C$4,1,-1),C117-1,B118-1)</f>
        <v>-113</v>
      </c>
      <c r="D118" s="2" t="n">
        <f aca="false">MAX(C117+IF($A118=D$4,1,-1),D117-1,C118-1)</f>
        <v>-111</v>
      </c>
      <c r="E118" s="2" t="n">
        <f aca="false">MAX(D117+IF($A118=E$4,1,-1),E117-1,D118-1)</f>
        <v>-109</v>
      </c>
      <c r="F118" s="2" t="n">
        <f aca="false">MAX(E117+IF($A118=F$4,1,-1),F117-1,E118-1)</f>
        <v>-107</v>
      </c>
      <c r="G118" s="2" t="n">
        <f aca="false">MAX(F117+IF($A118=G$4,1,-1),G117-1,F118-1)</f>
        <v>-105</v>
      </c>
      <c r="H118" s="2" t="n">
        <f aca="false">MAX(G117+IF($A118=H$4,1,-1),H117-1,G118-1)</f>
        <v>-105</v>
      </c>
      <c r="I118" s="2" t="n">
        <f aca="false">MAX(H117+IF($A118=I$4,1,-1),I117-1,H118-1)</f>
        <v>-105</v>
      </c>
      <c r="J118" s="2" t="n">
        <f aca="false">MAX(I117+IF($A118=J$4,1,-1),J117-1,I118-1)</f>
        <v>-105</v>
      </c>
      <c r="K118" s="2" t="n">
        <f aca="false">MAX(J117+IF($A118=K$4,1,-1),K117-1,J118-1)</f>
        <v>-103</v>
      </c>
      <c r="L118" s="2" t="n">
        <f aca="false">MAX(K117+IF($A118=L$4,1,-1),L117-1,K118-1)</f>
        <v>-103</v>
      </c>
      <c r="M118" s="2" t="n">
        <f aca="false">MAX(L117+IF($A118=M$4,1,-1),M117-1,L118-1)</f>
        <v>-103</v>
      </c>
      <c r="N118" s="2" t="n">
        <f aca="false">MAX(M117+IF($A118=N$4,1,-1),N117-1,M118-1)</f>
        <v>-103</v>
      </c>
      <c r="O118" s="2" t="n">
        <f aca="false">MAX(N117+IF($A118=O$4,1,-1),O117-1,N118-1)</f>
        <v>-101</v>
      </c>
      <c r="P118" s="2" t="n">
        <f aca="false">MAX(O117+IF($A118=P$4,1,-1),P117-1,O118-1)</f>
        <v>-101</v>
      </c>
      <c r="Q118" s="2" t="n">
        <f aca="false">MAX(P117+IF($A118=Q$4,1,-1),Q117-1,P118-1)</f>
        <v>-101</v>
      </c>
      <c r="R118" s="2" t="n">
        <f aca="false">MAX(Q117+IF($A118=R$4,1,-1),R117-1,Q118-1)</f>
        <v>-101</v>
      </c>
      <c r="S118" s="2" t="n">
        <f aca="false">MAX(R117+IF($A118=S$4,1,-1),S117-1,R118-1)</f>
        <v>-101</v>
      </c>
      <c r="T118" s="2" t="n">
        <f aca="false">MAX(S117+IF($A118=T$4,1,-1),T117-1,S118-1)</f>
        <v>-101</v>
      </c>
      <c r="U118" s="2" t="n">
        <f aca="false">MAX(T117+IF($A118=U$4,1,-1),U117-1,T118-1)</f>
        <v>-100</v>
      </c>
      <c r="V118" s="2" t="n">
        <f aca="false">MAX(U117+IF($A118=V$4,1,-1),V117-1,U118-1)</f>
        <v>-100</v>
      </c>
      <c r="W118" s="2" t="n">
        <f aca="false">MAX(V117+IF($A118=W$4,1,-1),W117-1,V118-1)</f>
        <v>-100</v>
      </c>
      <c r="X118" s="2" t="n">
        <f aca="false">MAX(W117+IF($A118=X$4,1,-1),X117-1,W118-1)</f>
        <v>-100</v>
      </c>
      <c r="Y118" s="2" t="n">
        <f aca="false">MAX(X117+IF($A118=Y$4,1,-1),Y117-1,X118-1)</f>
        <v>-100</v>
      </c>
      <c r="Z118" s="2" t="n">
        <f aca="false">MAX(Y117+IF($A118=Z$4,1,-1),Z117-1,Y118-1)</f>
        <v>-100</v>
      </c>
      <c r="AA118" s="2" t="n">
        <f aca="false">MAX(Z117+IF($A118=AA$4,1,-1),AA117-1,Z118-1)</f>
        <v>-100</v>
      </c>
      <c r="AB118" s="2" t="n">
        <f aca="false">MAX(AA117+IF($A118=AB$4,1,-1),AB117-1,AA118-1)</f>
        <v>-100</v>
      </c>
      <c r="AC118" s="2" t="n">
        <f aca="false">MAX(AB117+IF($A118=AC$4,1,-1),AC117-1,AB118-1)</f>
        <v>-100</v>
      </c>
      <c r="AD118" s="2" t="n">
        <f aca="false">MAX(AC117+IF($A118=AD$4,1,-1),AD117-1,AC118-1)</f>
        <v>-98</v>
      </c>
      <c r="AE118" s="2" t="n">
        <f aca="false">MAX(AD117+IF($A118=AE$4,1,-1),AE117-1,AD118-1)</f>
        <v>-98</v>
      </c>
      <c r="AF118" s="2" t="n">
        <f aca="false">MAX(AE117+IF($A118=AF$4,1,-1),AF117-1,AE118-1)</f>
        <v>-98</v>
      </c>
      <c r="AG118" s="2" t="n">
        <f aca="false">MAX(AF117+IF($A118=AG$4,1,-1),AG117-1,AF118-1)</f>
        <v>-98</v>
      </c>
      <c r="AH118" s="2" t="n">
        <f aca="false">MAX(AG117+IF($A118=AH$4,1,-1),AH117-1,AG118-1)</f>
        <v>-98</v>
      </c>
      <c r="AI118" s="2" t="n">
        <f aca="false">MAX(AH117+IF($A118=AI$4,1,-1),AI117-1,AH118-1)</f>
        <v>-98</v>
      </c>
      <c r="AJ118" s="2" t="n">
        <f aca="false">MAX(AI117+IF($A118=AJ$4,1,-1),AJ117-1,AI118-1)</f>
        <v>-98</v>
      </c>
      <c r="AK118" s="2" t="n">
        <f aca="false">MAX(AJ117+IF($A118=AK$4,1,-1),AK117-1,AJ118-1)</f>
        <v>-98</v>
      </c>
      <c r="AL118" s="2" t="n">
        <f aca="false">MAX(AK117+IF($A118=AL$4,1,-1),AL117-1,AK118-1)</f>
        <v>-98</v>
      </c>
      <c r="AM118" s="2" t="n">
        <f aca="false">MAX(AL117+IF($A118=AM$4,1,-1),AM117-1,AL118-1)</f>
        <v>-98</v>
      </c>
      <c r="AN118" s="2" t="n">
        <f aca="false">MAX(AM117+IF($A118=AN$4,1,-1),AN117-1,AM118-1)</f>
        <v>-98</v>
      </c>
      <c r="AO118" s="2" t="n">
        <f aca="false">MAX(AN117+IF($A118=AO$4,1,-1),AO117-1,AN118-1)</f>
        <v>-98</v>
      </c>
      <c r="AP118" s="2" t="n">
        <f aca="false">MAX(AO117+IF($A118=AP$4,1,-1),AP117-1,AO118-1)</f>
        <v>-98</v>
      </c>
      <c r="AQ118" s="2" t="n">
        <f aca="false">MAX(AP117+IF($A118=AQ$4,1,-1),AQ117-1,AP118-1)</f>
        <v>-98</v>
      </c>
      <c r="AR118" s="2" t="n">
        <f aca="false">MAX(AQ117+IF($A118=AR$4,1,-1),AR117-1,AQ118-1)</f>
        <v>-98</v>
      </c>
      <c r="AS118" s="2" t="n">
        <f aca="false">MAX(AR117+IF($A118=AS$4,1,-1),AS117-1,AR118-1)</f>
        <v>-98</v>
      </c>
      <c r="AT118" s="2" t="n">
        <f aca="false">MAX(AS117+IF($A118=AT$4,1,-1),AT117-1,AS118-1)</f>
        <v>-98</v>
      </c>
      <c r="AU118" s="2" t="n">
        <f aca="false">MAX(AT117+IF($A118=AU$4,1,-1),AU117-1,AT118-1)</f>
        <v>-98</v>
      </c>
      <c r="AV118" s="2" t="n">
        <f aca="false">MAX(AU117+IF($A118=AV$4,1,-1),AV117-1,AU118-1)</f>
        <v>-96</v>
      </c>
      <c r="AW118" s="2" t="n">
        <f aca="false">MAX(AV117+IF($A118=AW$4,1,-1),AW117-1,AV118-1)</f>
        <v>-96</v>
      </c>
      <c r="AX118" s="2" t="n">
        <f aca="false">MAX(AW117+IF($A118=AX$4,1,-1),AX117-1,AW118-1)</f>
        <v>-96</v>
      </c>
      <c r="AY118" s="2" t="n">
        <f aca="false">MAX(AX117+IF($A118=AY$4,1,-1),AY117-1,AX118-1)</f>
        <v>-96</v>
      </c>
      <c r="AZ118" s="2" t="n">
        <f aca="false">MAX(AY117+IF($A118=AZ$4,1,-1),AZ117-1,AY118-1)</f>
        <v>-97</v>
      </c>
      <c r="BA118" s="2" t="n">
        <f aca="false">MAX(AZ117+IF($A118=BA$4,1,-1),BA117-1,AZ118-1)</f>
        <v>-98</v>
      </c>
      <c r="BB118" s="2" t="n">
        <f aca="false">MAX(BA117+IF($A118=BB$4,1,-1),BB117-1,BA118-1)</f>
        <v>-98</v>
      </c>
      <c r="BC118" s="2" t="n">
        <f aca="false">MAX(BB117+IF($A118=BC$4,1,-1),BC117-1,BB118-1)</f>
        <v>-98</v>
      </c>
      <c r="BD118" s="2" t="n">
        <f aca="false">MAX(BC117+IF($A118=BD$4,1,-1),BD117-1,BC118-1)</f>
        <v>-98</v>
      </c>
      <c r="BE118" s="2" t="n">
        <f aca="false">MAX(BD117+IF($A118=BE$4,1,-1),BE117-1,BD118-1)</f>
        <v>-98</v>
      </c>
      <c r="BF118" s="2" t="n">
        <f aca="false">MAX(BE117+IF($A118=BF$4,1,-1),BF117-1,BE118-1)</f>
        <v>-98</v>
      </c>
      <c r="BG118" s="2" t="n">
        <f aca="false">MAX(BF117+IF($A118=BG$4,1,-1),BG117-1,BF118-1)</f>
        <v>-98</v>
      </c>
      <c r="BH118" s="2" t="n">
        <f aca="false">MAX(BG117+IF($A118=BH$4,1,-1),BH117-1,BG118-1)</f>
        <v>-99</v>
      </c>
      <c r="BI118" s="2" t="n">
        <f aca="false">MAX(BH117+IF($A118=BI$4,1,-1),BI117-1,BH118-1)</f>
        <v>-99</v>
      </c>
      <c r="BJ118" s="2" t="n">
        <f aca="false">MAX(BI117+IF($A118=BJ$4,1,-1),BJ117-1,BI118-1)</f>
        <v>-99</v>
      </c>
      <c r="BK118" s="2" t="n">
        <f aca="false">MAX(BJ117+IF($A118=BK$4,1,-1),BK117-1,BJ118-1)</f>
        <v>-99</v>
      </c>
      <c r="BL118" s="2" t="n">
        <f aca="false">MAX(BK117+IF($A118=BL$4,1,-1),BL117-1,BK118-1)</f>
        <v>-97</v>
      </c>
      <c r="BM118" s="2" t="n">
        <f aca="false">MAX(BL117+IF($A118=BM$4,1,-1),BM117-1,BL118-1)</f>
        <v>-97</v>
      </c>
      <c r="BN118" s="2" t="n">
        <f aca="false">MAX(BM117+IF($A118=BN$4,1,-1),BN117-1,BM118-1)</f>
        <v>-97</v>
      </c>
      <c r="BO118" s="2" t="n">
        <f aca="false">MAX(BN117+IF($A118=BO$4,1,-1),BO117-1,BN118-1)</f>
        <v>-97</v>
      </c>
      <c r="BP118" s="2" t="n">
        <f aca="false">MAX(BO117+IF($A118=BP$4,1,-1),BP117-1,BO118-1)</f>
        <v>-97</v>
      </c>
      <c r="BQ118" s="2" t="n">
        <f aca="false">MAX(BP117+IF($A118=BQ$4,1,-1),BQ117-1,BP118-1)</f>
        <v>-97</v>
      </c>
      <c r="BR118" s="2" t="n">
        <f aca="false">MAX(BQ117+IF($A118=BR$4,1,-1),BR117-1,BQ118-1)</f>
        <v>-97</v>
      </c>
      <c r="BS118" s="2" t="n">
        <f aca="false">MAX(BR117+IF($A118=BS$4,1,-1),BS117-1,BR118-1)</f>
        <v>-97</v>
      </c>
      <c r="BT118" s="2" t="n">
        <f aca="false">MAX(BS117+IF($A118=BT$4,1,-1),BT117-1,BS118-1)</f>
        <v>-97</v>
      </c>
      <c r="BU118" s="2" t="n">
        <f aca="false">MAX(BT117+IF($A118=BU$4,1,-1),BU117-1,BT118-1)</f>
        <v>-97</v>
      </c>
      <c r="BV118" s="2" t="n">
        <f aca="false">MAX(BU117+IF($A118=BV$4,1,-1),BV117-1,BU118-1)</f>
        <v>-95</v>
      </c>
      <c r="BW118" s="2" t="n">
        <f aca="false">MAX(BV117+IF($A118=BW$4,1,-1),BW117-1,BV118-1)</f>
        <v>-95</v>
      </c>
      <c r="BX118" s="2" t="n">
        <f aca="false">MAX(BW117+IF($A118=BX$4,1,-1),BX117-1,BW118-1)</f>
        <v>-95</v>
      </c>
      <c r="BY118" s="2" t="n">
        <f aca="false">MAX(BX117+IF($A118=BY$4,1,-1),BY117-1,BX118-1)</f>
        <v>-95</v>
      </c>
      <c r="BZ118" s="2" t="n">
        <f aca="false">MAX(BY117+IF($A118=BZ$4,1,-1),BZ117-1,BY118-1)</f>
        <v>-95</v>
      </c>
      <c r="CA118" s="2" t="n">
        <f aca="false">MAX(BZ117+IF($A118=CA$4,1,-1),CA117-1,BZ118-1)</f>
        <v>-95</v>
      </c>
      <c r="CB118" s="2" t="n">
        <f aca="false">MAX(CA117+IF($A118=CB$4,1,-1),CB117-1,CA118-1)</f>
        <v>-95</v>
      </c>
      <c r="CC118" s="2" t="n">
        <f aca="false">MAX(CB117+IF($A118=CC$4,1,-1),CC117-1,CB118-1)</f>
        <v>-96</v>
      </c>
      <c r="CD118" s="2" t="n">
        <f aca="false">MAX(CC117+IF($A118=CD$4,1,-1),CD117-1,CC118-1)</f>
        <v>-97</v>
      </c>
      <c r="CE118" s="2" t="n">
        <f aca="false">MAX(CD117+IF($A118=CE$4,1,-1),CE117-1,CD118-1)</f>
        <v>-97</v>
      </c>
      <c r="CF118" s="2" t="n">
        <f aca="false">MAX(CE117+IF($A118=CF$4,1,-1),CF117-1,CE118-1)</f>
        <v>-97</v>
      </c>
      <c r="CG118" s="2" t="n">
        <f aca="false">MAX(CF117+IF($A118=CG$4,1,-1),CG117-1,CF118-1)</f>
        <v>-97</v>
      </c>
      <c r="CH118" s="2" t="n">
        <f aca="false">MAX(CG117+IF($A118=CH$4,1,-1),CH117-1,CG118-1)</f>
        <v>-97</v>
      </c>
      <c r="CI118" s="2" t="n">
        <f aca="false">MAX(CH117+IF($A118=CI$4,1,-1),CI117-1,CH118-1)</f>
        <v>-97</v>
      </c>
      <c r="CJ118" s="2" t="n">
        <f aca="false">MAX(CI117+IF($A118=CJ$4,1,-1),CJ117-1,CI118-1)</f>
        <v>-97</v>
      </c>
      <c r="CK118" s="2" t="n">
        <f aca="false">MAX(CJ117+IF($A118=CK$4,1,-1),CK117-1,CJ118-1)</f>
        <v>-97</v>
      </c>
      <c r="CL118" s="2" t="n">
        <f aca="false">MAX(CK117+IF($A118=CL$4,1,-1),CL117-1,CK118-1)</f>
        <v>-98</v>
      </c>
      <c r="CM118" s="2" t="n">
        <f aca="false">MAX(CL117+IF($A118=CM$4,1,-1),CM117-1,CL118-1)</f>
        <v>-99</v>
      </c>
      <c r="CN118" s="2" t="n">
        <f aca="false">MAX(CM117+IF($A118=CN$4,1,-1),CN117-1,CM118-1)</f>
        <v>-99</v>
      </c>
      <c r="CO118" s="2" t="n">
        <f aca="false">MAX(CN117+IF($A118=CO$4,1,-1),CO117-1,CN118-1)</f>
        <v>-99</v>
      </c>
      <c r="CP118" s="2" t="n">
        <f aca="false">MAX(CO117+IF($A118=CP$4,1,-1),CP117-1,CO118-1)</f>
        <v>-99</v>
      </c>
      <c r="CQ118" s="2" t="n">
        <f aca="false">MAX(CP117+IF($A118=CQ$4,1,-1),CQ117-1,CP118-1)</f>
        <v>-99</v>
      </c>
    </row>
    <row r="119" customFormat="false" ht="15" hidden="false" customHeight="false" outlineLevel="0" collapsed="false">
      <c r="A119" s="4" t="s">
        <v>206</v>
      </c>
      <c r="B119" s="12" t="n">
        <v>-114</v>
      </c>
      <c r="C119" s="2" t="n">
        <f aca="false">MAX(B118+IF($A119=C$4,1,-1),C118-1,B119-1)</f>
        <v>-114</v>
      </c>
      <c r="D119" s="2" t="n">
        <f aca="false">MAX(C118+IF($A119=D$4,1,-1),D118-1,C119-1)</f>
        <v>-112</v>
      </c>
      <c r="E119" s="2" t="n">
        <f aca="false">MAX(D118+IF($A119=E$4,1,-1),E118-1,D119-1)</f>
        <v>-110</v>
      </c>
      <c r="F119" s="2" t="n">
        <f aca="false">MAX(E118+IF($A119=F$4,1,-1),F118-1,E119-1)</f>
        <v>-108</v>
      </c>
      <c r="G119" s="2" t="n">
        <f aca="false">MAX(F118+IF($A119=G$4,1,-1),G118-1,F119-1)</f>
        <v>-106</v>
      </c>
      <c r="H119" s="2" t="n">
        <f aca="false">MAX(G118+IF($A119=H$4,1,-1),H118-1,G119-1)</f>
        <v>-106</v>
      </c>
      <c r="I119" s="2" t="n">
        <f aca="false">MAX(H118+IF($A119=I$4,1,-1),I118-1,H119-1)</f>
        <v>-106</v>
      </c>
      <c r="J119" s="2" t="n">
        <f aca="false">MAX(I118+IF($A119=J$4,1,-1),J118-1,I119-1)</f>
        <v>-106</v>
      </c>
      <c r="K119" s="2" t="n">
        <f aca="false">MAX(J118+IF($A119=K$4,1,-1),K118-1,J119-1)</f>
        <v>-104</v>
      </c>
      <c r="L119" s="2" t="n">
        <f aca="false">MAX(K118+IF($A119=L$4,1,-1),L118-1,K119-1)</f>
        <v>-104</v>
      </c>
      <c r="M119" s="2" t="n">
        <f aca="false">MAX(L118+IF($A119=M$4,1,-1),M118-1,L119-1)</f>
        <v>-104</v>
      </c>
      <c r="N119" s="2" t="n">
        <f aca="false">MAX(M118+IF($A119=N$4,1,-1),N118-1,M119-1)</f>
        <v>-104</v>
      </c>
      <c r="O119" s="2" t="n">
        <f aca="false">MAX(N118+IF($A119=O$4,1,-1),O118-1,N119-1)</f>
        <v>-102</v>
      </c>
      <c r="P119" s="2" t="n">
        <f aca="false">MAX(O118+IF($A119=P$4,1,-1),P118-1,O119-1)</f>
        <v>-102</v>
      </c>
      <c r="Q119" s="2" t="n">
        <f aca="false">MAX(P118+IF($A119=Q$4,1,-1),Q118-1,P119-1)</f>
        <v>-102</v>
      </c>
      <c r="R119" s="2" t="n">
        <f aca="false">MAX(Q118+IF($A119=R$4,1,-1),R118-1,Q119-1)</f>
        <v>-102</v>
      </c>
      <c r="S119" s="2" t="n">
        <f aca="false">MAX(R118+IF($A119=S$4,1,-1),S118-1,R119-1)</f>
        <v>-102</v>
      </c>
      <c r="T119" s="2" t="n">
        <f aca="false">MAX(S118+IF($A119=T$4,1,-1),T118-1,S119-1)</f>
        <v>-102</v>
      </c>
      <c r="U119" s="2" t="n">
        <f aca="false">MAX(T118+IF($A119=U$4,1,-1),U118-1,T119-1)</f>
        <v>-101</v>
      </c>
      <c r="V119" s="2" t="n">
        <f aca="false">MAX(U118+IF($A119=V$4,1,-1),V118-1,U119-1)</f>
        <v>-101</v>
      </c>
      <c r="W119" s="2" t="n">
        <f aca="false">MAX(V118+IF($A119=W$4,1,-1),W118-1,V119-1)</f>
        <v>-101</v>
      </c>
      <c r="X119" s="2" t="n">
        <f aca="false">MAX(W118+IF($A119=X$4,1,-1),X118-1,W119-1)</f>
        <v>-101</v>
      </c>
      <c r="Y119" s="2" t="n">
        <f aca="false">MAX(X118+IF($A119=Y$4,1,-1),Y118-1,X119-1)</f>
        <v>-101</v>
      </c>
      <c r="Z119" s="2" t="n">
        <f aca="false">MAX(Y118+IF($A119=Z$4,1,-1),Z118-1,Y119-1)</f>
        <v>-101</v>
      </c>
      <c r="AA119" s="2" t="n">
        <f aca="false">MAX(Z118+IF($A119=AA$4,1,-1),AA118-1,Z119-1)</f>
        <v>-101</v>
      </c>
      <c r="AB119" s="2" t="n">
        <f aca="false">MAX(AA118+IF($A119=AB$4,1,-1),AB118-1,AA119-1)</f>
        <v>-101</v>
      </c>
      <c r="AC119" s="2" t="n">
        <f aca="false">MAX(AB118+IF($A119=AC$4,1,-1),AC118-1,AB119-1)</f>
        <v>-101</v>
      </c>
      <c r="AD119" s="2" t="n">
        <f aca="false">MAX(AC118+IF($A119=AD$4,1,-1),AD118-1,AC119-1)</f>
        <v>-99</v>
      </c>
      <c r="AE119" s="2" t="n">
        <f aca="false">MAX(AD118+IF($A119=AE$4,1,-1),AE118-1,AD119-1)</f>
        <v>-99</v>
      </c>
      <c r="AF119" s="2" t="n">
        <f aca="false">MAX(AE118+IF($A119=AF$4,1,-1),AF118-1,AE119-1)</f>
        <v>-99</v>
      </c>
      <c r="AG119" s="2" t="n">
        <f aca="false">MAX(AF118+IF($A119=AG$4,1,-1),AG118-1,AF119-1)</f>
        <v>-99</v>
      </c>
      <c r="AH119" s="2" t="n">
        <f aca="false">MAX(AG118+IF($A119=AH$4,1,-1),AH118-1,AG119-1)</f>
        <v>-99</v>
      </c>
      <c r="AI119" s="2" t="n">
        <f aca="false">MAX(AH118+IF($A119=AI$4,1,-1),AI118-1,AH119-1)</f>
        <v>-99</v>
      </c>
      <c r="AJ119" s="2" t="n">
        <f aca="false">MAX(AI118+IF($A119=AJ$4,1,-1),AJ118-1,AI119-1)</f>
        <v>-99</v>
      </c>
      <c r="AK119" s="2" t="n">
        <f aca="false">MAX(AJ118+IF($A119=AK$4,1,-1),AK118-1,AJ119-1)</f>
        <v>-99</v>
      </c>
      <c r="AL119" s="2" t="n">
        <f aca="false">MAX(AK118+IF($A119=AL$4,1,-1),AL118-1,AK119-1)</f>
        <v>-99</v>
      </c>
      <c r="AM119" s="2" t="n">
        <f aca="false">MAX(AL118+IF($A119=AM$4,1,-1),AM118-1,AL119-1)</f>
        <v>-99</v>
      </c>
      <c r="AN119" s="2" t="n">
        <f aca="false">MAX(AM118+IF($A119=AN$4,1,-1),AN118-1,AM119-1)</f>
        <v>-99</v>
      </c>
      <c r="AO119" s="2" t="n">
        <f aca="false">MAX(AN118+IF($A119=AO$4,1,-1),AO118-1,AN119-1)</f>
        <v>-99</v>
      </c>
      <c r="AP119" s="2" t="n">
        <f aca="false">MAX(AO118+IF($A119=AP$4,1,-1),AP118-1,AO119-1)</f>
        <v>-99</v>
      </c>
      <c r="AQ119" s="2" t="n">
        <f aca="false">MAX(AP118+IF($A119=AQ$4,1,-1),AQ118-1,AP119-1)</f>
        <v>-99</v>
      </c>
      <c r="AR119" s="2" t="n">
        <f aca="false">MAX(AQ118+IF($A119=AR$4,1,-1),AR118-1,AQ119-1)</f>
        <v>-99</v>
      </c>
      <c r="AS119" s="2" t="n">
        <f aca="false">MAX(AR118+IF($A119=AS$4,1,-1),AS118-1,AR119-1)</f>
        <v>-99</v>
      </c>
      <c r="AT119" s="2" t="n">
        <f aca="false">MAX(AS118+IF($A119=AT$4,1,-1),AT118-1,AS119-1)</f>
        <v>-99</v>
      </c>
      <c r="AU119" s="2" t="n">
        <f aca="false">MAX(AT118+IF($A119=AU$4,1,-1),AU118-1,AT119-1)</f>
        <v>-99</v>
      </c>
      <c r="AV119" s="2" t="n">
        <f aca="false">MAX(AU118+IF($A119=AV$4,1,-1),AV118-1,AU119-1)</f>
        <v>-97</v>
      </c>
      <c r="AW119" s="2" t="n">
        <f aca="false">MAX(AV118+IF($A119=AW$4,1,-1),AW118-1,AV119-1)</f>
        <v>-97</v>
      </c>
      <c r="AX119" s="2" t="n">
        <f aca="false">MAX(AW118+IF($A119=AX$4,1,-1),AX118-1,AW119-1)</f>
        <v>-97</v>
      </c>
      <c r="AY119" s="2" t="n">
        <f aca="false">MAX(AX118+IF($A119=AY$4,1,-1),AY118-1,AX119-1)</f>
        <v>-97</v>
      </c>
      <c r="AZ119" s="2" t="n">
        <f aca="false">MAX(AY118+IF($A119=AZ$4,1,-1),AZ118-1,AY119-1)</f>
        <v>-97</v>
      </c>
      <c r="BA119" s="2" t="n">
        <f aca="false">MAX(AZ118+IF($A119=BA$4,1,-1),BA118-1,AZ119-1)</f>
        <v>-98</v>
      </c>
      <c r="BB119" s="2" t="n">
        <f aca="false">MAX(BA118+IF($A119=BB$4,1,-1),BB118-1,BA119-1)</f>
        <v>-99</v>
      </c>
      <c r="BC119" s="2" t="n">
        <f aca="false">MAX(BB118+IF($A119=BC$4,1,-1),BC118-1,BB119-1)</f>
        <v>-99</v>
      </c>
      <c r="BD119" s="2" t="n">
        <f aca="false">MAX(BC118+IF($A119=BD$4,1,-1),BD118-1,BC119-1)</f>
        <v>-99</v>
      </c>
      <c r="BE119" s="2" t="n">
        <f aca="false">MAX(BD118+IF($A119=BE$4,1,-1),BE118-1,BD119-1)</f>
        <v>-99</v>
      </c>
      <c r="BF119" s="2" t="n">
        <f aca="false">MAX(BE118+IF($A119=BF$4,1,-1),BF118-1,BE119-1)</f>
        <v>-99</v>
      </c>
      <c r="BG119" s="2" t="n">
        <f aca="false">MAX(BF118+IF($A119=BG$4,1,-1),BG118-1,BF119-1)</f>
        <v>-99</v>
      </c>
      <c r="BH119" s="2" t="n">
        <f aca="false">MAX(BG118+IF($A119=BH$4,1,-1),BH118-1,BG119-1)</f>
        <v>-99</v>
      </c>
      <c r="BI119" s="2" t="n">
        <f aca="false">MAX(BH118+IF($A119=BI$4,1,-1),BI118-1,BH119-1)</f>
        <v>-100</v>
      </c>
      <c r="BJ119" s="2" t="n">
        <f aca="false">MAX(BI118+IF($A119=BJ$4,1,-1),BJ118-1,BI119-1)</f>
        <v>-100</v>
      </c>
      <c r="BK119" s="2" t="n">
        <f aca="false">MAX(BJ118+IF($A119=BK$4,1,-1),BK118-1,BJ119-1)</f>
        <v>-100</v>
      </c>
      <c r="BL119" s="2" t="n">
        <f aca="false">MAX(BK118+IF($A119=BL$4,1,-1),BL118-1,BK119-1)</f>
        <v>-98</v>
      </c>
      <c r="BM119" s="2" t="n">
        <f aca="false">MAX(BL118+IF($A119=BM$4,1,-1),BM118-1,BL119-1)</f>
        <v>-98</v>
      </c>
      <c r="BN119" s="2" t="n">
        <f aca="false">MAX(BM118+IF($A119=BN$4,1,-1),BN118-1,BM119-1)</f>
        <v>-98</v>
      </c>
      <c r="BO119" s="2" t="n">
        <f aca="false">MAX(BN118+IF($A119=BO$4,1,-1),BO118-1,BN119-1)</f>
        <v>-98</v>
      </c>
      <c r="BP119" s="2" t="n">
        <f aca="false">MAX(BO118+IF($A119=BP$4,1,-1),BP118-1,BO119-1)</f>
        <v>-98</v>
      </c>
      <c r="BQ119" s="2" t="n">
        <f aca="false">MAX(BP118+IF($A119=BQ$4,1,-1),BQ118-1,BP119-1)</f>
        <v>-98</v>
      </c>
      <c r="BR119" s="2" t="n">
        <f aca="false">MAX(BQ118+IF($A119=BR$4,1,-1),BR118-1,BQ119-1)</f>
        <v>-98</v>
      </c>
      <c r="BS119" s="2" t="n">
        <f aca="false">MAX(BR118+IF($A119=BS$4,1,-1),BS118-1,BR119-1)</f>
        <v>-98</v>
      </c>
      <c r="BT119" s="2" t="n">
        <f aca="false">MAX(BS118+IF($A119=BT$4,1,-1),BT118-1,BS119-1)</f>
        <v>-98</v>
      </c>
      <c r="BU119" s="2" t="n">
        <f aca="false">MAX(BT118+IF($A119=BU$4,1,-1),BU118-1,BT119-1)</f>
        <v>-98</v>
      </c>
      <c r="BV119" s="2" t="n">
        <f aca="false">MAX(BU118+IF($A119=BV$4,1,-1),BV118-1,BU119-1)</f>
        <v>-96</v>
      </c>
      <c r="BW119" s="2" t="n">
        <f aca="false">MAX(BV118+IF($A119=BW$4,1,-1),BW118-1,BV119-1)</f>
        <v>-96</v>
      </c>
      <c r="BX119" s="2" t="n">
        <f aca="false">MAX(BW118+IF($A119=BX$4,1,-1),BX118-1,BW119-1)</f>
        <v>-96</v>
      </c>
      <c r="BY119" s="2" t="n">
        <f aca="false">MAX(BX118+IF($A119=BY$4,1,-1),BY118-1,BX119-1)</f>
        <v>-96</v>
      </c>
      <c r="BZ119" s="2" t="n">
        <f aca="false">MAX(BY118+IF($A119=BZ$4,1,-1),BZ118-1,BY119-1)</f>
        <v>-96</v>
      </c>
      <c r="CA119" s="2" t="n">
        <f aca="false">MAX(BZ118+IF($A119=CA$4,1,-1),CA118-1,BZ119-1)</f>
        <v>-96</v>
      </c>
      <c r="CB119" s="2" t="n">
        <f aca="false">MAX(CA118+IF($A119=CB$4,1,-1),CB118-1,CA119-1)</f>
        <v>-96</v>
      </c>
      <c r="CC119" s="2" t="n">
        <f aca="false">MAX(CB118+IF($A119=CC$4,1,-1),CC118-1,CB119-1)</f>
        <v>-96</v>
      </c>
      <c r="CD119" s="2" t="n">
        <f aca="false">MAX(CC118+IF($A119=CD$4,1,-1),CD118-1,CC119-1)</f>
        <v>-97</v>
      </c>
      <c r="CE119" s="2" t="n">
        <f aca="false">MAX(CD118+IF($A119=CE$4,1,-1),CE118-1,CD119-1)</f>
        <v>-98</v>
      </c>
      <c r="CF119" s="2" t="n">
        <f aca="false">MAX(CE118+IF($A119=CF$4,1,-1),CF118-1,CE119-1)</f>
        <v>-98</v>
      </c>
      <c r="CG119" s="2" t="n">
        <f aca="false">MAX(CF118+IF($A119=CG$4,1,-1),CG118-1,CF119-1)</f>
        <v>-98</v>
      </c>
      <c r="CH119" s="2" t="n">
        <f aca="false">MAX(CG118+IF($A119=CH$4,1,-1),CH118-1,CG119-1)</f>
        <v>-98</v>
      </c>
      <c r="CI119" s="2" t="n">
        <f aca="false">MAX(CH118+IF($A119=CI$4,1,-1),CI118-1,CH119-1)</f>
        <v>-98</v>
      </c>
      <c r="CJ119" s="2" t="n">
        <f aca="false">MAX(CI118+IF($A119=CJ$4,1,-1),CJ118-1,CI119-1)</f>
        <v>-98</v>
      </c>
      <c r="CK119" s="2" t="n">
        <f aca="false">MAX(CJ118+IF($A119=CK$4,1,-1),CK118-1,CJ119-1)</f>
        <v>-98</v>
      </c>
      <c r="CL119" s="2" t="n">
        <f aca="false">MAX(CK118+IF($A119=CL$4,1,-1),CL118-1,CK119-1)</f>
        <v>-98</v>
      </c>
      <c r="CM119" s="2" t="n">
        <f aca="false">MAX(CL118+IF($A119=CM$4,1,-1),CM118-1,CL119-1)</f>
        <v>-99</v>
      </c>
      <c r="CN119" s="2" t="n">
        <f aca="false">MAX(CM118+IF($A119=CN$4,1,-1),CN118-1,CM119-1)</f>
        <v>-100</v>
      </c>
      <c r="CO119" s="2" t="n">
        <f aca="false">MAX(CN118+IF($A119=CO$4,1,-1),CO118-1,CN119-1)</f>
        <v>-100</v>
      </c>
      <c r="CP119" s="2" t="n">
        <f aca="false">MAX(CO118+IF($A119=CP$4,1,-1),CP118-1,CO119-1)</f>
        <v>-100</v>
      </c>
      <c r="CQ119" s="2" t="n">
        <f aca="false">MAX(CP118+IF($A119=CQ$4,1,-1),CQ118-1,CP119-1)</f>
        <v>-100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12" style="0" width="22"/>
    <col collapsed="false" customWidth="true" hidden="false" outlineLevel="0" max="14" min="13" style="0" width="16"/>
    <col collapsed="false" customWidth="true" hidden="false" outlineLevel="0" max="16" min="16" style="0" width="12"/>
    <col collapsed="false" customWidth="true" hidden="false" outlineLevel="0" max="17" min="17" style="0" width="14"/>
  </cols>
  <sheetData>
    <row r="1" customFormat="false" ht="16.15" hidden="false" customHeight="false" outlineLevel="0" collapsed="false">
      <c r="A1" s="9" t="s">
        <v>216</v>
      </c>
    </row>
    <row r="2" customFormat="false" ht="15" hidden="false" customHeight="false" outlineLevel="0" collapsed="false">
      <c r="A2" s="10" t="s">
        <v>217</v>
      </c>
    </row>
    <row r="4" customFormat="false" ht="15" hidden="false" customHeight="false" outlineLevel="0" collapsed="false">
      <c r="A4" s="3" t="s">
        <v>218</v>
      </c>
      <c r="B4" s="4" t="n">
        <v>20</v>
      </c>
      <c r="L4" s="3" t="s">
        <v>219</v>
      </c>
      <c r="P4" s="18" t="n">
        <f aca="false">SUM(H10:H147)</f>
        <v>10.9763208594487</v>
      </c>
      <c r="Q4" s="3" t="s">
        <v>69</v>
      </c>
      <c r="R4" s="15" t="n">
        <v>10.9763</v>
      </c>
    </row>
    <row r="5" customFormat="false" ht="15" hidden="false" customHeight="false" outlineLevel="0" collapsed="false">
      <c r="A5" s="3" t="s">
        <v>220</v>
      </c>
      <c r="B5" s="2" t="n">
        <f aca="false">COUNTA(M10:M123)</f>
        <v>114</v>
      </c>
      <c r="L5" s="3" t="s">
        <v>221</v>
      </c>
      <c r="P5" s="18" t="n">
        <f aca="false">SQRT(SUM(I10:I147))</f>
        <v>9.80194204426062</v>
      </c>
      <c r="Q5" s="15" t="n">
        <v>9.8019</v>
      </c>
    </row>
    <row r="6" customFormat="false" ht="15" hidden="false" customHeight="false" outlineLevel="0" collapsed="false">
      <c r="A6" s="3" t="s">
        <v>222</v>
      </c>
      <c r="B6" s="2" t="n">
        <f aca="false">COUNTA(N10:N102)</f>
        <v>93</v>
      </c>
      <c r="L6" s="3" t="s">
        <v>223</v>
      </c>
      <c r="P6" s="18" t="n">
        <f aca="false">SQRT(SUM(J10:J147))</f>
        <v>11.1836624442742</v>
      </c>
      <c r="Q6" s="15" t="n">
        <v>11.1837</v>
      </c>
    </row>
    <row r="7" customFormat="false" ht="15" hidden="false" customHeight="false" outlineLevel="0" collapsed="false">
      <c r="L7" s="3" t="s">
        <v>224</v>
      </c>
      <c r="P7" s="14" t="n">
        <f aca="false">P4/(P5*P6)</f>
        <v>0.100129169304929</v>
      </c>
      <c r="Q7" s="15" t="n">
        <v>0.1001</v>
      </c>
    </row>
    <row r="8" customFormat="false" ht="15" hidden="false" customHeight="false" outlineLevel="0" collapsed="false">
      <c r="L8" s="3" t="s">
        <v>225</v>
      </c>
      <c r="P8" s="19" t="n">
        <f aca="false">DEGREES(ACOS(P7))</f>
        <v>84.2533913340271</v>
      </c>
      <c r="Q8" s="20" t="n">
        <v>84.25</v>
      </c>
    </row>
    <row r="9" customFormat="false" ht="15" hidden="false" customHeight="false" outlineLevel="0" collapsed="false">
      <c r="A9" s="7" t="s">
        <v>226</v>
      </c>
      <c r="B9" s="7" t="s">
        <v>227</v>
      </c>
      <c r="C9" s="7" t="s">
        <v>228</v>
      </c>
      <c r="D9" s="7" t="s">
        <v>229</v>
      </c>
      <c r="E9" s="7" t="s">
        <v>230</v>
      </c>
      <c r="F9" s="7" t="s">
        <v>231</v>
      </c>
      <c r="G9" s="7" t="s">
        <v>232</v>
      </c>
      <c r="H9" s="7" t="s">
        <v>233</v>
      </c>
      <c r="I9" s="7" t="s">
        <v>234</v>
      </c>
      <c r="J9" s="7" t="s">
        <v>235</v>
      </c>
      <c r="M9" s="7" t="s">
        <v>236</v>
      </c>
      <c r="N9" s="7" t="s">
        <v>237</v>
      </c>
    </row>
    <row r="10" customFormat="false" ht="15" hidden="false" customHeight="false" outlineLevel="0" collapsed="false">
      <c r="A10" s="4" t="s">
        <v>58</v>
      </c>
      <c r="B10" s="2" t="n">
        <f aca="false">COUNTIF($M$10:$M$123,A10)</f>
        <v>2</v>
      </c>
      <c r="C10" s="2" t="n">
        <f aca="false">COUNTIF($N$10:$N$102,A10)</f>
        <v>7</v>
      </c>
      <c r="D10" s="4" t="n">
        <v>5</v>
      </c>
      <c r="E10" s="18" t="n">
        <f aca="false">LOG10($B$4/D10)</f>
        <v>0.602059991327962</v>
      </c>
      <c r="F10" s="18" t="n">
        <f aca="false">B10*E10</f>
        <v>1.20411998265592</v>
      </c>
      <c r="G10" s="18" t="n">
        <f aca="false">C10*E10</f>
        <v>4.21441993929574</v>
      </c>
      <c r="H10" s="18" t="n">
        <f aca="false">F10*G10</f>
        <v>5.07466726420957</v>
      </c>
      <c r="I10" s="18" t="n">
        <f aca="false">F10^2</f>
        <v>1.4499049326313</v>
      </c>
      <c r="J10" s="18" t="n">
        <f aca="false">G10^2</f>
        <v>17.7613354247335</v>
      </c>
      <c r="M10" s="4" t="s">
        <v>58</v>
      </c>
      <c r="N10" s="4" t="s">
        <v>57</v>
      </c>
    </row>
    <row r="11" customFormat="false" ht="15" hidden="false" customHeight="false" outlineLevel="0" collapsed="false">
      <c r="A11" s="4" t="s">
        <v>59</v>
      </c>
      <c r="B11" s="2" t="n">
        <f aca="false">COUNTIF($M$10:$M$123,A11)</f>
        <v>2</v>
      </c>
      <c r="C11" s="2" t="n">
        <f aca="false">COUNTIF($N$10:$N$102,A11)</f>
        <v>1</v>
      </c>
      <c r="D11" s="4" t="n">
        <v>20</v>
      </c>
      <c r="E11" s="18" t="n">
        <f aca="false">LOG10($B$4/D11)</f>
        <v>0</v>
      </c>
      <c r="F11" s="18" t="n">
        <f aca="false">B11*E11</f>
        <v>0</v>
      </c>
      <c r="G11" s="18" t="n">
        <f aca="false">C11*E11</f>
        <v>0</v>
      </c>
      <c r="H11" s="18" t="n">
        <f aca="false">F11*G11</f>
        <v>0</v>
      </c>
      <c r="I11" s="18" t="n">
        <f aca="false">F11^2</f>
        <v>0</v>
      </c>
      <c r="J11" s="18" t="n">
        <f aca="false">G11^2</f>
        <v>0</v>
      </c>
      <c r="M11" s="4" t="s">
        <v>59</v>
      </c>
      <c r="N11" s="4" t="s">
        <v>58</v>
      </c>
    </row>
    <row r="12" customFormat="false" ht="15" hidden="false" customHeight="false" outlineLevel="0" collapsed="false">
      <c r="A12" s="4" t="s">
        <v>60</v>
      </c>
      <c r="B12" s="2" t="n">
        <f aca="false">COUNTIF($M$10:$M$123,A12)</f>
        <v>2</v>
      </c>
      <c r="C12" s="2" t="n">
        <f aca="false">COUNTIF($N$10:$N$102,A12)</f>
        <v>1</v>
      </c>
      <c r="D12" s="4" t="n">
        <v>20</v>
      </c>
      <c r="E12" s="18" t="n">
        <f aca="false">LOG10($B$4/D12)</f>
        <v>0</v>
      </c>
      <c r="F12" s="18" t="n">
        <f aca="false">B12*E12</f>
        <v>0</v>
      </c>
      <c r="G12" s="18" t="n">
        <f aca="false">C12*E12</f>
        <v>0</v>
      </c>
      <c r="H12" s="18" t="n">
        <f aca="false">F12*G12</f>
        <v>0</v>
      </c>
      <c r="I12" s="18" t="n">
        <f aca="false">F12^2</f>
        <v>0</v>
      </c>
      <c r="J12" s="18" t="n">
        <f aca="false">G12^2</f>
        <v>0</v>
      </c>
      <c r="M12" s="4" t="s">
        <v>60</v>
      </c>
      <c r="N12" s="4" t="s">
        <v>59</v>
      </c>
    </row>
    <row r="13" customFormat="false" ht="15" hidden="false" customHeight="false" outlineLevel="0" collapsed="false">
      <c r="A13" s="4" t="s">
        <v>64</v>
      </c>
      <c r="B13" s="2" t="n">
        <f aca="false">COUNTIF($M$10:$M$123,A13)</f>
        <v>1</v>
      </c>
      <c r="C13" s="2" t="n">
        <f aca="false">COUNTIF($N$10:$N$102,A13)</f>
        <v>0</v>
      </c>
      <c r="D13" s="4" t="n">
        <v>4</v>
      </c>
      <c r="E13" s="18" t="n">
        <f aca="false">LOG10($B$4/D13)</f>
        <v>0.698970004336019</v>
      </c>
      <c r="F13" s="18" t="n">
        <f aca="false">B13*E13</f>
        <v>0.698970004336019</v>
      </c>
      <c r="G13" s="18" t="n">
        <f aca="false">C13*E13</f>
        <v>0</v>
      </c>
      <c r="H13" s="18" t="n">
        <f aca="false">F13*G13</f>
        <v>0</v>
      </c>
      <c r="I13" s="18" t="n">
        <f aca="false">F13^2</f>
        <v>0.488559066961494</v>
      </c>
      <c r="J13" s="18" t="n">
        <f aca="false">G13^2</f>
        <v>0</v>
      </c>
      <c r="M13" s="4" t="s">
        <v>64</v>
      </c>
      <c r="N13" s="4" t="s">
        <v>60</v>
      </c>
    </row>
    <row r="14" customFormat="false" ht="15" hidden="false" customHeight="false" outlineLevel="0" collapsed="false">
      <c r="A14" s="4" t="s">
        <v>65</v>
      </c>
      <c r="B14" s="2" t="n">
        <f aca="false">COUNTIF($M$10:$M$123,A14)</f>
        <v>1</v>
      </c>
      <c r="C14" s="2" t="n">
        <f aca="false">COUNTIF($N$10:$N$102,A14)</f>
        <v>0</v>
      </c>
      <c r="D14" s="4" t="n">
        <v>4</v>
      </c>
      <c r="E14" s="18" t="n">
        <f aca="false">LOG10($B$4/D14)</f>
        <v>0.698970004336019</v>
      </c>
      <c r="F14" s="18" t="n">
        <f aca="false">B14*E14</f>
        <v>0.698970004336019</v>
      </c>
      <c r="G14" s="18" t="n">
        <f aca="false">C14*E14</f>
        <v>0</v>
      </c>
      <c r="H14" s="18" t="n">
        <f aca="false">F14*G14</f>
        <v>0</v>
      </c>
      <c r="I14" s="18" t="n">
        <f aca="false">F14^2</f>
        <v>0.488559066961494</v>
      </c>
      <c r="J14" s="18" t="n">
        <f aca="false">G14^2</f>
        <v>0</v>
      </c>
      <c r="M14" s="4" t="s">
        <v>65</v>
      </c>
      <c r="N14" s="4" t="s">
        <v>61</v>
      </c>
    </row>
    <row r="15" customFormat="false" ht="15" hidden="false" customHeight="false" outlineLevel="0" collapsed="false">
      <c r="A15" s="4" t="s">
        <v>66</v>
      </c>
      <c r="B15" s="2" t="n">
        <f aca="false">COUNTIF($M$10:$M$123,A15)</f>
        <v>1</v>
      </c>
      <c r="C15" s="2" t="n">
        <f aca="false">COUNTIF($N$10:$N$102,A15)</f>
        <v>1</v>
      </c>
      <c r="D15" s="4" t="n">
        <v>6</v>
      </c>
      <c r="E15" s="18" t="n">
        <f aca="false">LOG10($B$4/D15)</f>
        <v>0.522878745280338</v>
      </c>
      <c r="F15" s="18" t="n">
        <f aca="false">B15*E15</f>
        <v>0.522878745280338</v>
      </c>
      <c r="G15" s="18" t="n">
        <f aca="false">C15*E15</f>
        <v>0.522878745280338</v>
      </c>
      <c r="H15" s="18" t="n">
        <f aca="false">F15*G15</f>
        <v>0.27340218226594</v>
      </c>
      <c r="I15" s="18" t="n">
        <f aca="false">F15^2</f>
        <v>0.27340218226594</v>
      </c>
      <c r="J15" s="18" t="n">
        <f aca="false">G15^2</f>
        <v>0.27340218226594</v>
      </c>
      <c r="M15" s="4" t="s">
        <v>66</v>
      </c>
      <c r="N15" s="4" t="s">
        <v>62</v>
      </c>
    </row>
    <row r="16" customFormat="false" ht="15" hidden="false" customHeight="false" outlineLevel="0" collapsed="false">
      <c r="A16" s="4" t="s">
        <v>67</v>
      </c>
      <c r="B16" s="2" t="n">
        <f aca="false">COUNTIF($M$10:$M$123,A16)</f>
        <v>4</v>
      </c>
      <c r="C16" s="2" t="n">
        <f aca="false">COUNTIF($N$10:$N$102,A16)</f>
        <v>0</v>
      </c>
      <c r="D16" s="4" t="n">
        <v>6</v>
      </c>
      <c r="E16" s="18" t="n">
        <f aca="false">LOG10($B$4/D16)</f>
        <v>0.522878745280338</v>
      </c>
      <c r="F16" s="18" t="n">
        <f aca="false">B16*E16</f>
        <v>2.09151498112135</v>
      </c>
      <c r="G16" s="18" t="n">
        <f aca="false">C16*E16</f>
        <v>0</v>
      </c>
      <c r="H16" s="18" t="n">
        <f aca="false">F16*G16</f>
        <v>0</v>
      </c>
      <c r="I16" s="18" t="n">
        <f aca="false">F16^2</f>
        <v>4.37443491625504</v>
      </c>
      <c r="J16" s="18" t="n">
        <f aca="false">G16^2</f>
        <v>0</v>
      </c>
      <c r="M16" s="4" t="s">
        <v>67</v>
      </c>
      <c r="N16" s="4" t="s">
        <v>63</v>
      </c>
    </row>
    <row r="17" customFormat="false" ht="15" hidden="false" customHeight="false" outlineLevel="0" collapsed="false">
      <c r="A17" s="4" t="s">
        <v>92</v>
      </c>
      <c r="B17" s="2" t="n">
        <f aca="false">COUNTIF($M$10:$M$123,A17)</f>
        <v>4</v>
      </c>
      <c r="C17" s="2" t="n">
        <f aca="false">COUNTIF($N$10:$N$102,A17)</f>
        <v>2</v>
      </c>
      <c r="D17" s="4" t="n">
        <v>18</v>
      </c>
      <c r="E17" s="18" t="n">
        <f aca="false">LOG10($B$4/D17)</f>
        <v>0.0457574905606751</v>
      </c>
      <c r="F17" s="18" t="n">
        <f aca="false">B17*E17</f>
        <v>0.183029962242701</v>
      </c>
      <c r="G17" s="18" t="n">
        <f aca="false">C17*E17</f>
        <v>0.0915149811213503</v>
      </c>
      <c r="H17" s="18" t="n">
        <f aca="false">F17*G17</f>
        <v>0.0167499835392822</v>
      </c>
      <c r="I17" s="18" t="n">
        <f aca="false">F17^2</f>
        <v>0.0334999670785644</v>
      </c>
      <c r="J17" s="18" t="n">
        <f aca="false">G17^2</f>
        <v>0.0083749917696411</v>
      </c>
      <c r="M17" s="4" t="s">
        <v>92</v>
      </c>
      <c r="N17" s="4" t="s">
        <v>88</v>
      </c>
    </row>
    <row r="18" customFormat="false" ht="15" hidden="false" customHeight="false" outlineLevel="0" collapsed="false">
      <c r="A18" s="4" t="s">
        <v>149</v>
      </c>
      <c r="B18" s="2" t="n">
        <f aca="false">COUNTIF($M$10:$M$123,A18)</f>
        <v>1</v>
      </c>
      <c r="C18" s="2" t="n">
        <f aca="false">COUNTIF($N$10:$N$102,A18)</f>
        <v>0</v>
      </c>
      <c r="D18" s="4" t="n">
        <v>2</v>
      </c>
      <c r="E18" s="18" t="n">
        <f aca="false">LOG10($B$4/D18)</f>
        <v>1</v>
      </c>
      <c r="F18" s="18" t="n">
        <f aca="false">B18*E18</f>
        <v>1</v>
      </c>
      <c r="G18" s="18" t="n">
        <f aca="false">C18*E18</f>
        <v>0</v>
      </c>
      <c r="H18" s="18" t="n">
        <f aca="false">F18*G18</f>
        <v>0</v>
      </c>
      <c r="I18" s="18" t="n">
        <f aca="false">F18^2</f>
        <v>1</v>
      </c>
      <c r="J18" s="18" t="n">
        <f aca="false">G18^2</f>
        <v>0</v>
      </c>
      <c r="M18" s="4" t="s">
        <v>149</v>
      </c>
      <c r="N18" s="4" t="s">
        <v>89</v>
      </c>
    </row>
    <row r="19" customFormat="false" ht="15" hidden="false" customHeight="false" outlineLevel="0" collapsed="false">
      <c r="A19" s="4" t="s">
        <v>150</v>
      </c>
      <c r="B19" s="2" t="n">
        <f aca="false">COUNTIF($M$10:$M$123,A19)</f>
        <v>1</v>
      </c>
      <c r="C19" s="2" t="n">
        <f aca="false">COUNTIF($N$10:$N$102,A19)</f>
        <v>0</v>
      </c>
      <c r="D19" s="4" t="n">
        <v>11</v>
      </c>
      <c r="E19" s="18" t="n">
        <f aca="false">LOG10($B$4/D19)</f>
        <v>0.259637310505756</v>
      </c>
      <c r="F19" s="18" t="n">
        <f aca="false">B19*E19</f>
        <v>0.259637310505756</v>
      </c>
      <c r="G19" s="18" t="n">
        <f aca="false">C19*E19</f>
        <v>0</v>
      </c>
      <c r="H19" s="18" t="n">
        <f aca="false">F19*G19</f>
        <v>0</v>
      </c>
      <c r="I19" s="18" t="n">
        <f aca="false">F19^2</f>
        <v>0.0674115330066624</v>
      </c>
      <c r="J19" s="18" t="n">
        <f aca="false">G19^2</f>
        <v>0</v>
      </c>
      <c r="M19" s="4" t="s">
        <v>150</v>
      </c>
      <c r="N19" s="4" t="s">
        <v>90</v>
      </c>
    </row>
    <row r="20" customFormat="false" ht="15" hidden="false" customHeight="false" outlineLevel="0" collapsed="false">
      <c r="A20" s="4" t="s">
        <v>151</v>
      </c>
      <c r="B20" s="2" t="n">
        <f aca="false">COUNTIF($M$10:$M$123,A20)</f>
        <v>1</v>
      </c>
      <c r="C20" s="2" t="n">
        <f aca="false">COUNTIF($N$10:$N$102,A20)</f>
        <v>0</v>
      </c>
      <c r="D20" s="4" t="n">
        <v>1</v>
      </c>
      <c r="E20" s="18" t="n">
        <f aca="false">LOG10($B$4/D20)</f>
        <v>1.30102999566398</v>
      </c>
      <c r="F20" s="18" t="n">
        <f aca="false">B20*E20</f>
        <v>1.30102999566398</v>
      </c>
      <c r="G20" s="18" t="n">
        <f aca="false">C20*E20</f>
        <v>0</v>
      </c>
      <c r="H20" s="18" t="n">
        <f aca="false">F20*G20</f>
        <v>0</v>
      </c>
      <c r="I20" s="18" t="n">
        <f aca="false">F20^2</f>
        <v>1.69267904961742</v>
      </c>
      <c r="J20" s="18" t="n">
        <f aca="false">G20^2</f>
        <v>0</v>
      </c>
      <c r="M20" s="4" t="s">
        <v>151</v>
      </c>
      <c r="N20" s="4" t="s">
        <v>91</v>
      </c>
    </row>
    <row r="21" customFormat="false" ht="15" hidden="false" customHeight="false" outlineLevel="0" collapsed="false">
      <c r="A21" s="4" t="s">
        <v>152</v>
      </c>
      <c r="B21" s="2" t="n">
        <f aca="false">COUNTIF($M$10:$M$123,A21)</f>
        <v>1</v>
      </c>
      <c r="C21" s="2" t="n">
        <f aca="false">COUNTIF($N$10:$N$102,A21)</f>
        <v>0</v>
      </c>
      <c r="D21" s="4" t="n">
        <v>2</v>
      </c>
      <c r="E21" s="18" t="n">
        <f aca="false">LOG10($B$4/D21)</f>
        <v>1</v>
      </c>
      <c r="F21" s="18" t="n">
        <f aca="false">B21*E21</f>
        <v>1</v>
      </c>
      <c r="G21" s="18" t="n">
        <f aca="false">C21*E21</f>
        <v>0</v>
      </c>
      <c r="H21" s="18" t="n">
        <f aca="false">F21*G21</f>
        <v>0</v>
      </c>
      <c r="I21" s="18" t="n">
        <f aca="false">F21^2</f>
        <v>1</v>
      </c>
      <c r="J21" s="18" t="n">
        <f aca="false">G21^2</f>
        <v>0</v>
      </c>
      <c r="M21" s="4" t="s">
        <v>152</v>
      </c>
      <c r="N21" s="4" t="s">
        <v>92</v>
      </c>
    </row>
    <row r="22" customFormat="false" ht="15" hidden="false" customHeight="false" outlineLevel="0" collapsed="false">
      <c r="A22" s="4" t="s">
        <v>153</v>
      </c>
      <c r="B22" s="2" t="n">
        <f aca="false">COUNTIF($M$10:$M$123,A22)</f>
        <v>1</v>
      </c>
      <c r="C22" s="2" t="n">
        <f aca="false">COUNTIF($N$10:$N$102,A22)</f>
        <v>0</v>
      </c>
      <c r="D22" s="4" t="n">
        <v>6</v>
      </c>
      <c r="E22" s="18" t="n">
        <f aca="false">LOG10($B$4/D22)</f>
        <v>0.522878745280338</v>
      </c>
      <c r="F22" s="18" t="n">
        <f aca="false">B22*E22</f>
        <v>0.522878745280338</v>
      </c>
      <c r="G22" s="18" t="n">
        <f aca="false">C22*E22</f>
        <v>0</v>
      </c>
      <c r="H22" s="18" t="n">
        <f aca="false">F22*G22</f>
        <v>0</v>
      </c>
      <c r="I22" s="18" t="n">
        <f aca="false">F22^2</f>
        <v>0.27340218226594</v>
      </c>
      <c r="J22" s="18" t="n">
        <f aca="false">G22^2</f>
        <v>0</v>
      </c>
      <c r="M22" s="4" t="s">
        <v>153</v>
      </c>
      <c r="N22" s="4" t="s">
        <v>89</v>
      </c>
    </row>
    <row r="23" customFormat="false" ht="15" hidden="false" customHeight="false" outlineLevel="0" collapsed="false">
      <c r="A23" s="4" t="s">
        <v>154</v>
      </c>
      <c r="B23" s="2" t="n">
        <f aca="false">COUNTIF($M$10:$M$123,A23)</f>
        <v>1</v>
      </c>
      <c r="C23" s="2" t="n">
        <f aca="false">COUNTIF($N$10:$N$102,A23)</f>
        <v>0</v>
      </c>
      <c r="D23" s="4" t="n">
        <v>5</v>
      </c>
      <c r="E23" s="18" t="n">
        <f aca="false">LOG10($B$4/D23)</f>
        <v>0.602059991327962</v>
      </c>
      <c r="F23" s="18" t="n">
        <f aca="false">B23*E23</f>
        <v>0.602059991327962</v>
      </c>
      <c r="G23" s="18" t="n">
        <f aca="false">C23*E23</f>
        <v>0</v>
      </c>
      <c r="H23" s="18" t="n">
        <f aca="false">F23*G23</f>
        <v>0</v>
      </c>
      <c r="I23" s="18" t="n">
        <f aca="false">F23^2</f>
        <v>0.362476233157826</v>
      </c>
      <c r="J23" s="18" t="n">
        <f aca="false">G23^2</f>
        <v>0</v>
      </c>
      <c r="M23" s="4" t="s">
        <v>154</v>
      </c>
      <c r="N23" s="4" t="s">
        <v>90</v>
      </c>
    </row>
    <row r="24" customFormat="false" ht="15" hidden="false" customHeight="false" outlineLevel="0" collapsed="false">
      <c r="A24" s="4" t="s">
        <v>89</v>
      </c>
      <c r="B24" s="2" t="n">
        <f aca="false">COUNTIF($M$10:$M$123,A24)</f>
        <v>8</v>
      </c>
      <c r="C24" s="2" t="n">
        <f aca="false">COUNTIF($N$10:$N$102,A24)</f>
        <v>3</v>
      </c>
      <c r="D24" s="4" t="n">
        <v>10</v>
      </c>
      <c r="E24" s="18" t="n">
        <f aca="false">LOG10($B$4/D24)</f>
        <v>0.301029995663981</v>
      </c>
      <c r="F24" s="18" t="n">
        <f aca="false">B24*E24</f>
        <v>2.40823996531185</v>
      </c>
      <c r="G24" s="18" t="n">
        <f aca="false">C24*E24</f>
        <v>0.903089986991944</v>
      </c>
      <c r="H24" s="18" t="n">
        <f aca="false">F24*G24</f>
        <v>2.17485739894696</v>
      </c>
      <c r="I24" s="18" t="n">
        <f aca="false">F24^2</f>
        <v>5.79961973052522</v>
      </c>
      <c r="J24" s="18" t="n">
        <f aca="false">G24^2</f>
        <v>0.815571524605109</v>
      </c>
      <c r="M24" s="4" t="s">
        <v>89</v>
      </c>
      <c r="N24" s="4" t="s">
        <v>93</v>
      </c>
    </row>
    <row r="25" customFormat="false" ht="15" hidden="false" customHeight="false" outlineLevel="0" collapsed="false">
      <c r="A25" s="4" t="s">
        <v>155</v>
      </c>
      <c r="B25" s="2" t="n">
        <f aca="false">COUNTIF($M$10:$M$123,A25)</f>
        <v>2</v>
      </c>
      <c r="C25" s="2" t="n">
        <f aca="false">COUNTIF($N$10:$N$102,A25)</f>
        <v>0</v>
      </c>
      <c r="D25" s="4" t="n">
        <v>3</v>
      </c>
      <c r="E25" s="18" t="n">
        <f aca="false">LOG10($B$4/D25)</f>
        <v>0.823908740944319</v>
      </c>
      <c r="F25" s="18" t="n">
        <f aca="false">B25*E25</f>
        <v>1.64781748188864</v>
      </c>
      <c r="G25" s="18" t="n">
        <f aca="false">C25*E25</f>
        <v>0</v>
      </c>
      <c r="H25" s="18" t="n">
        <f aca="false">F25*G25</f>
        <v>0</v>
      </c>
      <c r="I25" s="18" t="n">
        <f aca="false">F25^2</f>
        <v>2.71530245361781</v>
      </c>
      <c r="J25" s="18" t="n">
        <f aca="false">G25^2</f>
        <v>0</v>
      </c>
      <c r="M25" s="4" t="s">
        <v>67</v>
      </c>
      <c r="N25" s="4" t="s">
        <v>94</v>
      </c>
    </row>
    <row r="26" customFormat="false" ht="15" hidden="false" customHeight="false" outlineLevel="0" collapsed="false">
      <c r="A26" s="4" t="s">
        <v>156</v>
      </c>
      <c r="B26" s="2" t="n">
        <f aca="false">COUNTIF($M$10:$M$123,A26)</f>
        <v>4</v>
      </c>
      <c r="C26" s="2" t="n">
        <f aca="false">COUNTIF($N$10:$N$102,A26)</f>
        <v>0</v>
      </c>
      <c r="D26" s="4" t="n">
        <v>18</v>
      </c>
      <c r="E26" s="18" t="n">
        <f aca="false">LOG10($B$4/D26)</f>
        <v>0.0457574905606751</v>
      </c>
      <c r="F26" s="18" t="n">
        <f aca="false">B26*E26</f>
        <v>0.183029962242701</v>
      </c>
      <c r="G26" s="18" t="n">
        <f aca="false">C26*E26</f>
        <v>0</v>
      </c>
      <c r="H26" s="18" t="n">
        <f aca="false">F26*G26</f>
        <v>0</v>
      </c>
      <c r="I26" s="18" t="n">
        <f aca="false">F26^2</f>
        <v>0.0334999670785644</v>
      </c>
      <c r="J26" s="18" t="n">
        <f aca="false">G26^2</f>
        <v>0</v>
      </c>
      <c r="M26" s="4" t="s">
        <v>92</v>
      </c>
      <c r="N26" s="4" t="s">
        <v>95</v>
      </c>
    </row>
    <row r="27" customFormat="false" ht="15" hidden="false" customHeight="false" outlineLevel="0" collapsed="false">
      <c r="A27" s="4" t="s">
        <v>157</v>
      </c>
      <c r="B27" s="2" t="n">
        <f aca="false">COUNTIF($M$10:$M$123,A27)</f>
        <v>1</v>
      </c>
      <c r="C27" s="2" t="n">
        <f aca="false">COUNTIF($N$10:$N$102,A27)</f>
        <v>0</v>
      </c>
      <c r="D27" s="4" t="n">
        <v>1</v>
      </c>
      <c r="E27" s="18" t="n">
        <f aca="false">LOG10($B$4/D27)</f>
        <v>1.30102999566398</v>
      </c>
      <c r="F27" s="18" t="n">
        <f aca="false">B27*E27</f>
        <v>1.30102999566398</v>
      </c>
      <c r="G27" s="18" t="n">
        <f aca="false">C27*E27</f>
        <v>0</v>
      </c>
      <c r="H27" s="18" t="n">
        <f aca="false">F27*G27</f>
        <v>0</v>
      </c>
      <c r="I27" s="18" t="n">
        <f aca="false">F27^2</f>
        <v>1.69267904961742</v>
      </c>
      <c r="J27" s="18" t="n">
        <f aca="false">G27^2</f>
        <v>0</v>
      </c>
      <c r="M27" s="4" t="s">
        <v>155</v>
      </c>
      <c r="N27" s="4" t="s">
        <v>96</v>
      </c>
    </row>
    <row r="28" customFormat="false" ht="15" hidden="false" customHeight="false" outlineLevel="0" collapsed="false">
      <c r="A28" s="4" t="s">
        <v>158</v>
      </c>
      <c r="B28" s="2" t="n">
        <f aca="false">COUNTIF($M$10:$M$123,A28)</f>
        <v>1</v>
      </c>
      <c r="C28" s="2" t="n">
        <f aca="false">COUNTIF($N$10:$N$102,A28)</f>
        <v>0</v>
      </c>
      <c r="D28" s="4" t="n">
        <v>1</v>
      </c>
      <c r="E28" s="18" t="n">
        <f aca="false">LOG10($B$4/D28)</f>
        <v>1.30102999566398</v>
      </c>
      <c r="F28" s="18" t="n">
        <f aca="false">B28*E28</f>
        <v>1.30102999566398</v>
      </c>
      <c r="G28" s="18" t="n">
        <f aca="false">C28*E28</f>
        <v>0</v>
      </c>
      <c r="H28" s="18" t="n">
        <f aca="false">F28*G28</f>
        <v>0</v>
      </c>
      <c r="I28" s="18" t="n">
        <f aca="false">F28^2</f>
        <v>1.69267904961742</v>
      </c>
      <c r="J28" s="18" t="n">
        <f aca="false">G28^2</f>
        <v>0</v>
      </c>
      <c r="M28" s="4" t="s">
        <v>156</v>
      </c>
      <c r="N28" s="4" t="s">
        <v>97</v>
      </c>
    </row>
    <row r="29" customFormat="false" ht="15" hidden="false" customHeight="false" outlineLevel="0" collapsed="false">
      <c r="A29" s="4" t="s">
        <v>159</v>
      </c>
      <c r="B29" s="2" t="n">
        <f aca="false">COUNTIF($M$10:$M$123,A29)</f>
        <v>1</v>
      </c>
      <c r="C29" s="2" t="n">
        <f aca="false">COUNTIF($N$10:$N$102,A29)</f>
        <v>0</v>
      </c>
      <c r="D29" s="4" t="n">
        <v>1</v>
      </c>
      <c r="E29" s="18" t="n">
        <f aca="false">LOG10($B$4/D29)</f>
        <v>1.30102999566398</v>
      </c>
      <c r="F29" s="18" t="n">
        <f aca="false">B29*E29</f>
        <v>1.30102999566398</v>
      </c>
      <c r="G29" s="18" t="n">
        <f aca="false">C29*E29</f>
        <v>0</v>
      </c>
      <c r="H29" s="18" t="n">
        <f aca="false">F29*G29</f>
        <v>0</v>
      </c>
      <c r="I29" s="18" t="n">
        <f aca="false">F29^2</f>
        <v>1.69267904961742</v>
      </c>
      <c r="J29" s="18" t="n">
        <f aca="false">G29^2</f>
        <v>0</v>
      </c>
      <c r="M29" s="4" t="s">
        <v>157</v>
      </c>
      <c r="N29" s="4" t="s">
        <v>98</v>
      </c>
    </row>
    <row r="30" customFormat="false" ht="15" hidden="false" customHeight="false" outlineLevel="0" collapsed="false">
      <c r="A30" s="4" t="s">
        <v>160</v>
      </c>
      <c r="B30" s="2" t="n">
        <f aca="false">COUNTIF($M$10:$M$123,A30)</f>
        <v>1</v>
      </c>
      <c r="C30" s="2" t="n">
        <f aca="false">COUNTIF($N$10:$N$102,A30)</f>
        <v>0</v>
      </c>
      <c r="D30" s="4" t="n">
        <v>4</v>
      </c>
      <c r="E30" s="18" t="n">
        <f aca="false">LOG10($B$4/D30)</f>
        <v>0.698970004336019</v>
      </c>
      <c r="F30" s="18" t="n">
        <f aca="false">B30*E30</f>
        <v>0.698970004336019</v>
      </c>
      <c r="G30" s="18" t="n">
        <f aca="false">C30*E30</f>
        <v>0</v>
      </c>
      <c r="H30" s="18" t="n">
        <f aca="false">F30*G30</f>
        <v>0</v>
      </c>
      <c r="I30" s="18" t="n">
        <f aca="false">F30^2</f>
        <v>0.488559066961494</v>
      </c>
      <c r="J30" s="18" t="n">
        <f aca="false">G30^2</f>
        <v>0</v>
      </c>
      <c r="M30" s="4" t="s">
        <v>158</v>
      </c>
      <c r="N30" s="4" t="s">
        <v>99</v>
      </c>
    </row>
    <row r="31" customFormat="false" ht="15" hidden="false" customHeight="false" outlineLevel="0" collapsed="false">
      <c r="A31" s="4" t="s">
        <v>161</v>
      </c>
      <c r="B31" s="2" t="n">
        <f aca="false">COUNTIF($M$10:$M$123,A31)</f>
        <v>1</v>
      </c>
      <c r="C31" s="2" t="n">
        <f aca="false">COUNTIF($N$10:$N$102,A31)</f>
        <v>0</v>
      </c>
      <c r="D31" s="4" t="n">
        <v>1</v>
      </c>
      <c r="E31" s="18" t="n">
        <f aca="false">LOG10($B$4/D31)</f>
        <v>1.30102999566398</v>
      </c>
      <c r="F31" s="18" t="n">
        <f aca="false">B31*E31</f>
        <v>1.30102999566398</v>
      </c>
      <c r="G31" s="18" t="n">
        <f aca="false">C31*E31</f>
        <v>0</v>
      </c>
      <c r="H31" s="18" t="n">
        <f aca="false">F31*G31</f>
        <v>0</v>
      </c>
      <c r="I31" s="18" t="n">
        <f aca="false">F31^2</f>
        <v>1.69267904961742</v>
      </c>
      <c r="J31" s="18" t="n">
        <f aca="false">G31^2</f>
        <v>0</v>
      </c>
      <c r="M31" s="4" t="s">
        <v>159</v>
      </c>
      <c r="N31" s="4" t="s">
        <v>100</v>
      </c>
    </row>
    <row r="32" customFormat="false" ht="15" hidden="false" customHeight="false" outlineLevel="0" collapsed="false">
      <c r="A32" s="4" t="s">
        <v>162</v>
      </c>
      <c r="B32" s="2" t="n">
        <f aca="false">COUNTIF($M$10:$M$123,A32)</f>
        <v>1</v>
      </c>
      <c r="C32" s="2" t="n">
        <f aca="false">COUNTIF($N$10:$N$102,A32)</f>
        <v>0</v>
      </c>
      <c r="D32" s="4" t="n">
        <v>1</v>
      </c>
      <c r="E32" s="18" t="n">
        <f aca="false">LOG10($B$4/D32)</f>
        <v>1.30102999566398</v>
      </c>
      <c r="F32" s="18" t="n">
        <f aca="false">B32*E32</f>
        <v>1.30102999566398</v>
      </c>
      <c r="G32" s="18" t="n">
        <f aca="false">C32*E32</f>
        <v>0</v>
      </c>
      <c r="H32" s="18" t="n">
        <f aca="false">F32*G32</f>
        <v>0</v>
      </c>
      <c r="I32" s="18" t="n">
        <f aca="false">F32^2</f>
        <v>1.69267904961742</v>
      </c>
      <c r="J32" s="18" t="n">
        <f aca="false">G32^2</f>
        <v>0</v>
      </c>
      <c r="M32" s="4" t="s">
        <v>160</v>
      </c>
      <c r="N32" s="4" t="s">
        <v>101</v>
      </c>
    </row>
    <row r="33" customFormat="false" ht="15" hidden="false" customHeight="false" outlineLevel="0" collapsed="false">
      <c r="A33" s="4" t="s">
        <v>163</v>
      </c>
      <c r="B33" s="2" t="n">
        <f aca="false">COUNTIF($M$10:$M$123,A33)</f>
        <v>2</v>
      </c>
      <c r="C33" s="2" t="n">
        <f aca="false">COUNTIF($N$10:$N$102,A33)</f>
        <v>0</v>
      </c>
      <c r="D33" s="4" t="n">
        <v>7</v>
      </c>
      <c r="E33" s="18" t="n">
        <f aca="false">LOG10($B$4/D33)</f>
        <v>0.455931955649724</v>
      </c>
      <c r="F33" s="18" t="n">
        <f aca="false">B33*E33</f>
        <v>0.911863911299449</v>
      </c>
      <c r="G33" s="18" t="n">
        <f aca="false">C33*E33</f>
        <v>0</v>
      </c>
      <c r="H33" s="18" t="n">
        <f aca="false">F33*G33</f>
        <v>0</v>
      </c>
      <c r="I33" s="18" t="n">
        <f aca="false">F33^2</f>
        <v>0.831495792730329</v>
      </c>
      <c r="J33" s="18" t="n">
        <f aca="false">G33^2</f>
        <v>0</v>
      </c>
      <c r="M33" s="4" t="s">
        <v>161</v>
      </c>
      <c r="N33" s="4" t="s">
        <v>102</v>
      </c>
    </row>
    <row r="34" customFormat="false" ht="15" hidden="false" customHeight="false" outlineLevel="0" collapsed="false">
      <c r="A34" s="4" t="s">
        <v>164</v>
      </c>
      <c r="B34" s="2" t="n">
        <f aca="false">COUNTIF($M$10:$M$123,A34)</f>
        <v>1</v>
      </c>
      <c r="C34" s="2" t="n">
        <f aca="false">COUNTIF($N$10:$N$102,A34)</f>
        <v>0</v>
      </c>
      <c r="D34" s="4" t="n">
        <v>4</v>
      </c>
      <c r="E34" s="18" t="n">
        <f aca="false">LOG10($B$4/D34)</f>
        <v>0.698970004336019</v>
      </c>
      <c r="F34" s="18" t="n">
        <f aca="false">B34*E34</f>
        <v>0.698970004336019</v>
      </c>
      <c r="G34" s="18" t="n">
        <f aca="false">C34*E34</f>
        <v>0</v>
      </c>
      <c r="H34" s="18" t="n">
        <f aca="false">F34*G34</f>
        <v>0</v>
      </c>
      <c r="I34" s="18" t="n">
        <f aca="false">F34^2</f>
        <v>0.488559066961494</v>
      </c>
      <c r="J34" s="18" t="n">
        <f aca="false">G34^2</f>
        <v>0</v>
      </c>
      <c r="M34" s="4" t="s">
        <v>58</v>
      </c>
      <c r="N34" s="4" t="s">
        <v>103</v>
      </c>
    </row>
    <row r="35" customFormat="false" ht="15" hidden="false" customHeight="false" outlineLevel="0" collapsed="false">
      <c r="A35" s="4" t="s">
        <v>165</v>
      </c>
      <c r="B35" s="2" t="n">
        <f aca="false">COUNTIF($M$10:$M$123,A35)</f>
        <v>1</v>
      </c>
      <c r="C35" s="2" t="n">
        <f aca="false">COUNTIF($N$10:$N$102,A35)</f>
        <v>0</v>
      </c>
      <c r="D35" s="4" t="n">
        <v>1</v>
      </c>
      <c r="E35" s="18" t="n">
        <f aca="false">LOG10($B$4/D35)</f>
        <v>1.30102999566398</v>
      </c>
      <c r="F35" s="18" t="n">
        <f aca="false">B35*E35</f>
        <v>1.30102999566398</v>
      </c>
      <c r="G35" s="18" t="n">
        <f aca="false">C35*E35</f>
        <v>0</v>
      </c>
      <c r="H35" s="18" t="n">
        <f aca="false">F35*G35</f>
        <v>0</v>
      </c>
      <c r="I35" s="18" t="n">
        <f aca="false">F35^2</f>
        <v>1.69267904961742</v>
      </c>
      <c r="J35" s="18" t="n">
        <f aca="false">G35^2</f>
        <v>0</v>
      </c>
      <c r="M35" s="4" t="s">
        <v>59</v>
      </c>
      <c r="N35" s="4" t="s">
        <v>104</v>
      </c>
    </row>
    <row r="36" customFormat="false" ht="15" hidden="false" customHeight="false" outlineLevel="0" collapsed="false">
      <c r="A36" s="4" t="s">
        <v>166</v>
      </c>
      <c r="B36" s="2" t="n">
        <f aca="false">COUNTIF($M$10:$M$123,A36)</f>
        <v>1</v>
      </c>
      <c r="C36" s="2" t="n">
        <f aca="false">COUNTIF($N$10:$N$102,A36)</f>
        <v>0</v>
      </c>
      <c r="D36" s="4" t="n">
        <v>6</v>
      </c>
      <c r="E36" s="18" t="n">
        <f aca="false">LOG10($B$4/D36)</f>
        <v>0.522878745280338</v>
      </c>
      <c r="F36" s="18" t="n">
        <f aca="false">B36*E36</f>
        <v>0.522878745280338</v>
      </c>
      <c r="G36" s="18" t="n">
        <f aca="false">C36*E36</f>
        <v>0</v>
      </c>
      <c r="H36" s="18" t="n">
        <f aca="false">F36*G36</f>
        <v>0</v>
      </c>
      <c r="I36" s="18" t="n">
        <f aca="false">F36^2</f>
        <v>0.27340218226594</v>
      </c>
      <c r="J36" s="18" t="n">
        <f aca="false">G36^2</f>
        <v>0</v>
      </c>
      <c r="M36" s="4" t="s">
        <v>60</v>
      </c>
      <c r="N36" s="4" t="s">
        <v>58</v>
      </c>
    </row>
    <row r="37" customFormat="false" ht="15" hidden="false" customHeight="false" outlineLevel="0" collapsed="false">
      <c r="A37" s="4" t="s">
        <v>167</v>
      </c>
      <c r="B37" s="2" t="n">
        <f aca="false">COUNTIF($M$10:$M$123,A37)</f>
        <v>1</v>
      </c>
      <c r="C37" s="2" t="n">
        <f aca="false">COUNTIF($N$10:$N$102,A37)</f>
        <v>0</v>
      </c>
      <c r="D37" s="4" t="n">
        <v>1</v>
      </c>
      <c r="E37" s="18" t="n">
        <f aca="false">LOG10($B$4/D37)</f>
        <v>1.30102999566398</v>
      </c>
      <c r="F37" s="18" t="n">
        <f aca="false">B37*E37</f>
        <v>1.30102999566398</v>
      </c>
      <c r="G37" s="18" t="n">
        <f aca="false">C37*E37</f>
        <v>0</v>
      </c>
      <c r="H37" s="18" t="n">
        <f aca="false">F37*G37</f>
        <v>0</v>
      </c>
      <c r="I37" s="18" t="n">
        <f aca="false">F37^2</f>
        <v>1.69267904961742</v>
      </c>
      <c r="J37" s="18" t="n">
        <f aca="false">G37^2</f>
        <v>0</v>
      </c>
      <c r="M37" s="4" t="s">
        <v>162</v>
      </c>
      <c r="N37" s="4" t="s">
        <v>61</v>
      </c>
    </row>
    <row r="38" customFormat="false" ht="15" hidden="false" customHeight="false" outlineLevel="0" collapsed="false">
      <c r="A38" s="4" t="s">
        <v>168</v>
      </c>
      <c r="B38" s="2" t="n">
        <f aca="false">COUNTIF($M$10:$M$123,A38)</f>
        <v>4</v>
      </c>
      <c r="C38" s="2" t="n">
        <f aca="false">COUNTIF($N$10:$N$102,A38)</f>
        <v>0</v>
      </c>
      <c r="D38" s="4" t="n">
        <v>6</v>
      </c>
      <c r="E38" s="18" t="n">
        <f aca="false">LOG10($B$4/D38)</f>
        <v>0.522878745280338</v>
      </c>
      <c r="F38" s="18" t="n">
        <f aca="false">B38*E38</f>
        <v>2.09151498112135</v>
      </c>
      <c r="G38" s="18" t="n">
        <f aca="false">C38*E38</f>
        <v>0</v>
      </c>
      <c r="H38" s="18" t="n">
        <f aca="false">F38*G38</f>
        <v>0</v>
      </c>
      <c r="I38" s="18" t="n">
        <f aca="false">F38^2</f>
        <v>4.37443491625504</v>
      </c>
      <c r="J38" s="18" t="n">
        <f aca="false">G38^2</f>
        <v>0</v>
      </c>
      <c r="M38" s="4" t="s">
        <v>89</v>
      </c>
      <c r="N38" s="4" t="s">
        <v>105</v>
      </c>
    </row>
    <row r="39" customFormat="false" ht="15" hidden="false" customHeight="false" outlineLevel="0" collapsed="false">
      <c r="A39" s="4" t="s">
        <v>169</v>
      </c>
      <c r="B39" s="2" t="n">
        <f aca="false">COUNTIF($M$10:$M$123,A39)</f>
        <v>1</v>
      </c>
      <c r="C39" s="2" t="n">
        <f aca="false">COUNTIF($N$10:$N$102,A39)</f>
        <v>0</v>
      </c>
      <c r="D39" s="4" t="n">
        <v>1</v>
      </c>
      <c r="E39" s="18" t="n">
        <f aca="false">LOG10($B$4/D39)</f>
        <v>1.30102999566398</v>
      </c>
      <c r="F39" s="18" t="n">
        <f aca="false">B39*E39</f>
        <v>1.30102999566398</v>
      </c>
      <c r="G39" s="18" t="n">
        <f aca="false">C39*E39</f>
        <v>0</v>
      </c>
      <c r="H39" s="18" t="n">
        <f aca="false">F39*G39</f>
        <v>0</v>
      </c>
      <c r="I39" s="18" t="n">
        <f aca="false">F39^2</f>
        <v>1.69267904961742</v>
      </c>
      <c r="J39" s="18" t="n">
        <f aca="false">G39^2</f>
        <v>0</v>
      </c>
      <c r="M39" s="4" t="s">
        <v>67</v>
      </c>
      <c r="N39" s="4" t="s">
        <v>106</v>
      </c>
    </row>
    <row r="40" customFormat="false" ht="15" hidden="false" customHeight="false" outlineLevel="0" collapsed="false">
      <c r="A40" s="4" t="s">
        <v>170</v>
      </c>
      <c r="B40" s="2" t="n">
        <f aca="false">COUNTIF($M$10:$M$123,A40)</f>
        <v>2</v>
      </c>
      <c r="C40" s="2" t="n">
        <f aca="false">COUNTIF($N$10:$N$102,A40)</f>
        <v>0</v>
      </c>
      <c r="D40" s="4" t="n">
        <v>8</v>
      </c>
      <c r="E40" s="18" t="n">
        <f aca="false">LOG10($B$4/D40)</f>
        <v>0.397940008672038</v>
      </c>
      <c r="F40" s="18" t="n">
        <f aca="false">B40*E40</f>
        <v>0.795880017344075</v>
      </c>
      <c r="G40" s="18" t="n">
        <f aca="false">C40*E40</f>
        <v>0</v>
      </c>
      <c r="H40" s="18" t="n">
        <f aca="false">F40*G40</f>
        <v>0</v>
      </c>
      <c r="I40" s="18" t="n">
        <f aca="false">F40^2</f>
        <v>0.633425002007605</v>
      </c>
      <c r="J40" s="18" t="n">
        <f aca="false">G40^2</f>
        <v>0</v>
      </c>
      <c r="M40" s="4" t="s">
        <v>92</v>
      </c>
      <c r="N40" s="4" t="s">
        <v>107</v>
      </c>
    </row>
    <row r="41" customFormat="false" ht="15" hidden="false" customHeight="false" outlineLevel="0" collapsed="false">
      <c r="A41" s="4" t="s">
        <v>171</v>
      </c>
      <c r="B41" s="2" t="n">
        <f aca="false">COUNTIF($M$10:$M$123,A41)</f>
        <v>1</v>
      </c>
      <c r="C41" s="2" t="n">
        <f aca="false">COUNTIF($N$10:$N$102,A41)</f>
        <v>0</v>
      </c>
      <c r="D41" s="4" t="n">
        <v>1</v>
      </c>
      <c r="E41" s="18" t="n">
        <f aca="false">LOG10($B$4/D41)</f>
        <v>1.30102999566398</v>
      </c>
      <c r="F41" s="18" t="n">
        <f aca="false">B41*E41</f>
        <v>1.30102999566398</v>
      </c>
      <c r="G41" s="18" t="n">
        <f aca="false">C41*E41</f>
        <v>0</v>
      </c>
      <c r="H41" s="18" t="n">
        <f aca="false">F41*G41</f>
        <v>0</v>
      </c>
      <c r="I41" s="18" t="n">
        <f aca="false">F41^2</f>
        <v>1.69267904961742</v>
      </c>
      <c r="J41" s="18" t="n">
        <f aca="false">G41^2</f>
        <v>0</v>
      </c>
      <c r="M41" s="4" t="s">
        <v>163</v>
      </c>
      <c r="N41" s="4" t="s">
        <v>108</v>
      </c>
    </row>
    <row r="42" customFormat="false" ht="15" hidden="false" customHeight="false" outlineLevel="0" collapsed="false">
      <c r="A42" s="4" t="s">
        <v>108</v>
      </c>
      <c r="B42" s="2" t="n">
        <f aca="false">COUNTIF($M$10:$M$123,A42)</f>
        <v>1</v>
      </c>
      <c r="C42" s="2" t="n">
        <f aca="false">COUNTIF($N$10:$N$102,A42)</f>
        <v>1</v>
      </c>
      <c r="D42" s="4" t="n">
        <v>2</v>
      </c>
      <c r="E42" s="18" t="n">
        <f aca="false">LOG10($B$4/D42)</f>
        <v>1</v>
      </c>
      <c r="F42" s="18" t="n">
        <f aca="false">B42*E42</f>
        <v>1</v>
      </c>
      <c r="G42" s="18" t="n">
        <f aca="false">C42*E42</f>
        <v>1</v>
      </c>
      <c r="H42" s="18" t="n">
        <f aca="false">F42*G42</f>
        <v>1</v>
      </c>
      <c r="I42" s="18" t="n">
        <f aca="false">F42^2</f>
        <v>1</v>
      </c>
      <c r="J42" s="18" t="n">
        <f aca="false">G42^2</f>
        <v>1</v>
      </c>
      <c r="M42" s="4" t="s">
        <v>164</v>
      </c>
      <c r="N42" s="4" t="s">
        <v>109</v>
      </c>
    </row>
    <row r="43" customFormat="false" ht="15" hidden="false" customHeight="false" outlineLevel="0" collapsed="false">
      <c r="A43" s="4" t="s">
        <v>172</v>
      </c>
      <c r="B43" s="2" t="n">
        <f aca="false">COUNTIF($M$10:$M$123,A43)</f>
        <v>1</v>
      </c>
      <c r="C43" s="2" t="n">
        <f aca="false">COUNTIF($N$10:$N$102,A43)</f>
        <v>0</v>
      </c>
      <c r="D43" s="4" t="n">
        <v>3</v>
      </c>
      <c r="E43" s="18" t="n">
        <f aca="false">LOG10($B$4/D43)</f>
        <v>0.823908740944319</v>
      </c>
      <c r="F43" s="18" t="n">
        <f aca="false">B43*E43</f>
        <v>0.823908740944319</v>
      </c>
      <c r="G43" s="18" t="n">
        <f aca="false">C43*E43</f>
        <v>0</v>
      </c>
      <c r="H43" s="18" t="n">
        <f aca="false">F43*G43</f>
        <v>0</v>
      </c>
      <c r="I43" s="18" t="n">
        <f aca="false">F43^2</f>
        <v>0.678825613404453</v>
      </c>
      <c r="J43" s="18" t="n">
        <f aca="false">G43^2</f>
        <v>0</v>
      </c>
      <c r="M43" s="4" t="s">
        <v>165</v>
      </c>
      <c r="N43" s="4" t="s">
        <v>110</v>
      </c>
    </row>
    <row r="44" customFormat="false" ht="15" hidden="false" customHeight="false" outlineLevel="0" collapsed="false">
      <c r="A44" s="4" t="s">
        <v>173</v>
      </c>
      <c r="B44" s="2" t="n">
        <f aca="false">COUNTIF($M$10:$M$123,A44)</f>
        <v>1</v>
      </c>
      <c r="C44" s="2" t="n">
        <f aca="false">COUNTIF($N$10:$N$102,A44)</f>
        <v>0</v>
      </c>
      <c r="D44" s="4" t="n">
        <v>6</v>
      </c>
      <c r="E44" s="18" t="n">
        <f aca="false">LOG10($B$4/D44)</f>
        <v>0.522878745280338</v>
      </c>
      <c r="F44" s="18" t="n">
        <f aca="false">B44*E44</f>
        <v>0.522878745280338</v>
      </c>
      <c r="G44" s="18" t="n">
        <f aca="false">C44*E44</f>
        <v>0</v>
      </c>
      <c r="H44" s="18" t="n">
        <f aca="false">F44*G44</f>
        <v>0</v>
      </c>
      <c r="I44" s="18" t="n">
        <f aca="false">F44^2</f>
        <v>0.27340218226594</v>
      </c>
      <c r="J44" s="18" t="n">
        <f aca="false">G44^2</f>
        <v>0</v>
      </c>
      <c r="M44" s="4" t="s">
        <v>155</v>
      </c>
      <c r="N44" s="4" t="s">
        <v>111</v>
      </c>
    </row>
    <row r="45" customFormat="false" ht="15" hidden="false" customHeight="false" outlineLevel="0" collapsed="false">
      <c r="A45" s="4" t="s">
        <v>174</v>
      </c>
      <c r="B45" s="2" t="n">
        <f aca="false">COUNTIF($M$10:$M$123,A45)</f>
        <v>1</v>
      </c>
      <c r="C45" s="2" t="n">
        <f aca="false">COUNTIF($N$10:$N$102,A45)</f>
        <v>0</v>
      </c>
      <c r="D45" s="4" t="n">
        <v>13</v>
      </c>
      <c r="E45" s="18" t="n">
        <f aca="false">LOG10($B$4/D45)</f>
        <v>0.187086643357144</v>
      </c>
      <c r="F45" s="18" t="n">
        <f aca="false">B45*E45</f>
        <v>0.187086643357144</v>
      </c>
      <c r="G45" s="18" t="n">
        <f aca="false">C45*E45</f>
        <v>0</v>
      </c>
      <c r="H45" s="18" t="n">
        <f aca="false">F45*G45</f>
        <v>0</v>
      </c>
      <c r="I45" s="18" t="n">
        <f aca="false">F45^2</f>
        <v>0.0350014121226434</v>
      </c>
      <c r="J45" s="18" t="n">
        <f aca="false">G45^2</f>
        <v>0</v>
      </c>
      <c r="M45" s="4" t="s">
        <v>166</v>
      </c>
      <c r="N45" s="4" t="s">
        <v>112</v>
      </c>
    </row>
    <row r="46" customFormat="false" ht="15" hidden="false" customHeight="false" outlineLevel="0" collapsed="false">
      <c r="A46" s="4" t="s">
        <v>175</v>
      </c>
      <c r="B46" s="2" t="n">
        <f aca="false">COUNTIF($M$10:$M$123,A46)</f>
        <v>1</v>
      </c>
      <c r="C46" s="2" t="n">
        <f aca="false">COUNTIF($N$10:$N$102,A46)</f>
        <v>0</v>
      </c>
      <c r="D46" s="4" t="n">
        <v>7</v>
      </c>
      <c r="E46" s="18" t="n">
        <f aca="false">LOG10($B$4/D46)</f>
        <v>0.455931955649724</v>
      </c>
      <c r="F46" s="18" t="n">
        <f aca="false">B46*E46</f>
        <v>0.455931955649724</v>
      </c>
      <c r="G46" s="18" t="n">
        <f aca="false">C46*E46</f>
        <v>0</v>
      </c>
      <c r="H46" s="18" t="n">
        <f aca="false">F46*G46</f>
        <v>0</v>
      </c>
      <c r="I46" s="18" t="n">
        <f aca="false">F46^2</f>
        <v>0.207873948182582</v>
      </c>
      <c r="J46" s="18" t="n">
        <f aca="false">G46^2</f>
        <v>0</v>
      </c>
      <c r="M46" s="4" t="s">
        <v>167</v>
      </c>
      <c r="N46" s="4" t="s">
        <v>113</v>
      </c>
    </row>
    <row r="47" customFormat="false" ht="15" hidden="false" customHeight="false" outlineLevel="0" collapsed="false">
      <c r="A47" s="4" t="s">
        <v>176</v>
      </c>
      <c r="B47" s="2" t="n">
        <f aca="false">COUNTIF($M$10:$M$123,A47)</f>
        <v>1</v>
      </c>
      <c r="C47" s="2" t="n">
        <f aca="false">COUNTIF($N$10:$N$102,A47)</f>
        <v>0</v>
      </c>
      <c r="D47" s="4" t="n">
        <v>5</v>
      </c>
      <c r="E47" s="18" t="n">
        <f aca="false">LOG10($B$4/D47)</f>
        <v>0.602059991327962</v>
      </c>
      <c r="F47" s="18" t="n">
        <f aca="false">B47*E47</f>
        <v>0.602059991327962</v>
      </c>
      <c r="G47" s="18" t="n">
        <f aca="false">C47*E47</f>
        <v>0</v>
      </c>
      <c r="H47" s="18" t="n">
        <f aca="false">F47*G47</f>
        <v>0</v>
      </c>
      <c r="I47" s="18" t="n">
        <f aca="false">F47^2</f>
        <v>0.362476233157826</v>
      </c>
      <c r="J47" s="18" t="n">
        <f aca="false">G47^2</f>
        <v>0</v>
      </c>
      <c r="M47" s="4" t="s">
        <v>168</v>
      </c>
      <c r="N47" s="4" t="s">
        <v>114</v>
      </c>
    </row>
    <row r="48" customFormat="false" ht="15" hidden="false" customHeight="false" outlineLevel="0" collapsed="false">
      <c r="A48" s="4" t="s">
        <v>177</v>
      </c>
      <c r="B48" s="2" t="n">
        <f aca="false">COUNTIF($M$10:$M$123,A48)</f>
        <v>1</v>
      </c>
      <c r="C48" s="2" t="n">
        <f aca="false">COUNTIF($N$10:$N$102,A48)</f>
        <v>0</v>
      </c>
      <c r="D48" s="4" t="n">
        <v>5</v>
      </c>
      <c r="E48" s="18" t="n">
        <f aca="false">LOG10($B$4/D48)</f>
        <v>0.602059991327962</v>
      </c>
      <c r="F48" s="18" t="n">
        <f aca="false">B48*E48</f>
        <v>0.602059991327962</v>
      </c>
      <c r="G48" s="18" t="n">
        <f aca="false">C48*E48</f>
        <v>0</v>
      </c>
      <c r="H48" s="18" t="n">
        <f aca="false">F48*G48</f>
        <v>0</v>
      </c>
      <c r="I48" s="18" t="n">
        <f aca="false">F48^2</f>
        <v>0.362476233157826</v>
      </c>
      <c r="J48" s="18" t="n">
        <f aca="false">G48^2</f>
        <v>0</v>
      </c>
      <c r="M48" s="4" t="s">
        <v>156</v>
      </c>
      <c r="N48" s="4" t="s">
        <v>98</v>
      </c>
    </row>
    <row r="49" customFormat="false" ht="15" hidden="false" customHeight="false" outlineLevel="0" collapsed="false">
      <c r="A49" s="4" t="s">
        <v>178</v>
      </c>
      <c r="B49" s="2" t="n">
        <f aca="false">COUNTIF($M$10:$M$123,A49)</f>
        <v>1</v>
      </c>
      <c r="C49" s="2" t="n">
        <f aca="false">COUNTIF($N$10:$N$102,A49)</f>
        <v>0</v>
      </c>
      <c r="D49" s="4" t="n">
        <v>3</v>
      </c>
      <c r="E49" s="18" t="n">
        <f aca="false">LOG10($B$4/D49)</f>
        <v>0.823908740944319</v>
      </c>
      <c r="F49" s="18" t="n">
        <f aca="false">B49*E49</f>
        <v>0.823908740944319</v>
      </c>
      <c r="G49" s="18" t="n">
        <f aca="false">C49*E49</f>
        <v>0</v>
      </c>
      <c r="H49" s="18" t="n">
        <f aca="false">F49*G49</f>
        <v>0</v>
      </c>
      <c r="I49" s="18" t="n">
        <f aca="false">F49^2</f>
        <v>0.678825613404453</v>
      </c>
      <c r="J49" s="18" t="n">
        <f aca="false">G49^2</f>
        <v>0</v>
      </c>
      <c r="M49" s="4" t="s">
        <v>169</v>
      </c>
      <c r="N49" s="4" t="s">
        <v>115</v>
      </c>
    </row>
    <row r="50" customFormat="false" ht="15" hidden="false" customHeight="false" outlineLevel="0" collapsed="false">
      <c r="A50" s="4" t="s">
        <v>99</v>
      </c>
      <c r="B50" s="2" t="n">
        <f aca="false">COUNTIF($M$10:$M$123,A50)</f>
        <v>2</v>
      </c>
      <c r="C50" s="2" t="n">
        <f aca="false">COUNTIF($N$10:$N$102,A50)</f>
        <v>1</v>
      </c>
      <c r="D50" s="4" t="n">
        <v>8</v>
      </c>
      <c r="E50" s="18" t="n">
        <f aca="false">LOG10($B$4/D50)</f>
        <v>0.397940008672038</v>
      </c>
      <c r="F50" s="18" t="n">
        <f aca="false">B50*E50</f>
        <v>0.795880017344075</v>
      </c>
      <c r="G50" s="18" t="n">
        <f aca="false">C50*E50</f>
        <v>0.397940008672038</v>
      </c>
      <c r="H50" s="18" t="n">
        <f aca="false">F50*G50</f>
        <v>0.316712501003803</v>
      </c>
      <c r="I50" s="18" t="n">
        <f aca="false">F50^2</f>
        <v>0.633425002007605</v>
      </c>
      <c r="J50" s="18" t="n">
        <f aca="false">G50^2</f>
        <v>0.158356250501901</v>
      </c>
      <c r="M50" s="4" t="s">
        <v>170</v>
      </c>
      <c r="N50" s="4" t="s">
        <v>116</v>
      </c>
    </row>
    <row r="51" customFormat="false" ht="15" hidden="false" customHeight="false" outlineLevel="0" collapsed="false">
      <c r="A51" s="4" t="s">
        <v>179</v>
      </c>
      <c r="B51" s="2" t="n">
        <f aca="false">COUNTIF($M$10:$M$123,A51)</f>
        <v>3</v>
      </c>
      <c r="C51" s="2" t="n">
        <f aca="false">COUNTIF($N$10:$N$102,A51)</f>
        <v>0</v>
      </c>
      <c r="D51" s="4" t="n">
        <v>5</v>
      </c>
      <c r="E51" s="18" t="n">
        <f aca="false">LOG10($B$4/D51)</f>
        <v>0.602059991327962</v>
      </c>
      <c r="F51" s="18" t="n">
        <f aca="false">B51*E51</f>
        <v>1.80617997398389</v>
      </c>
      <c r="G51" s="18" t="n">
        <f aca="false">C51*E51</f>
        <v>0</v>
      </c>
      <c r="H51" s="18" t="n">
        <f aca="false">F51*G51</f>
        <v>0</v>
      </c>
      <c r="I51" s="18" t="n">
        <f aca="false">F51^2</f>
        <v>3.26228609842044</v>
      </c>
      <c r="J51" s="18" t="n">
        <f aca="false">G51^2</f>
        <v>0</v>
      </c>
      <c r="M51" s="4" t="s">
        <v>171</v>
      </c>
      <c r="N51" s="4" t="s">
        <v>105</v>
      </c>
    </row>
    <row r="52" customFormat="false" ht="15" hidden="false" customHeight="false" outlineLevel="0" collapsed="false">
      <c r="A52" s="4" t="s">
        <v>180</v>
      </c>
      <c r="B52" s="2" t="n">
        <f aca="false">COUNTIF($M$10:$M$123,A52)</f>
        <v>2</v>
      </c>
      <c r="C52" s="2" t="n">
        <f aca="false">COUNTIF($N$10:$N$102,A52)</f>
        <v>0</v>
      </c>
      <c r="D52" s="4" t="n">
        <v>4</v>
      </c>
      <c r="E52" s="18" t="n">
        <f aca="false">LOG10($B$4/D52)</f>
        <v>0.698970004336019</v>
      </c>
      <c r="F52" s="18" t="n">
        <f aca="false">B52*E52</f>
        <v>1.39794000867204</v>
      </c>
      <c r="G52" s="18" t="n">
        <f aca="false">C52*E52</f>
        <v>0</v>
      </c>
      <c r="H52" s="18" t="n">
        <f aca="false">F52*G52</f>
        <v>0</v>
      </c>
      <c r="I52" s="18" t="n">
        <f aca="false">F52^2</f>
        <v>1.95423626784598</v>
      </c>
      <c r="J52" s="18" t="n">
        <f aca="false">G52^2</f>
        <v>0</v>
      </c>
      <c r="M52" s="4" t="s">
        <v>108</v>
      </c>
      <c r="N52" s="4" t="s">
        <v>58</v>
      </c>
    </row>
    <row r="53" customFormat="false" ht="15" hidden="false" customHeight="false" outlineLevel="0" collapsed="false">
      <c r="A53" s="4" t="s">
        <v>181</v>
      </c>
      <c r="B53" s="2" t="n">
        <f aca="false">COUNTIF($M$10:$M$123,A53)</f>
        <v>1</v>
      </c>
      <c r="C53" s="2" t="n">
        <f aca="false">COUNTIF($N$10:$N$102,A53)</f>
        <v>0</v>
      </c>
      <c r="D53" s="4" t="n">
        <v>3</v>
      </c>
      <c r="E53" s="18" t="n">
        <f aca="false">LOG10($B$4/D53)</f>
        <v>0.823908740944319</v>
      </c>
      <c r="F53" s="18" t="n">
        <f aca="false">B53*E53</f>
        <v>0.823908740944319</v>
      </c>
      <c r="G53" s="18" t="n">
        <f aca="false">C53*E53</f>
        <v>0</v>
      </c>
      <c r="H53" s="18" t="n">
        <f aca="false">F53*G53</f>
        <v>0</v>
      </c>
      <c r="I53" s="18" t="n">
        <f aca="false">F53^2</f>
        <v>0.678825613404453</v>
      </c>
      <c r="J53" s="18" t="n">
        <f aca="false">G53^2</f>
        <v>0</v>
      </c>
      <c r="M53" s="4" t="s">
        <v>168</v>
      </c>
      <c r="N53" s="4" t="s">
        <v>61</v>
      </c>
    </row>
    <row r="54" customFormat="false" ht="15" hidden="false" customHeight="false" outlineLevel="0" collapsed="false">
      <c r="A54" s="4" t="s">
        <v>182</v>
      </c>
      <c r="B54" s="2" t="n">
        <f aca="false">COUNTIF($M$10:$M$123,A54)</f>
        <v>2</v>
      </c>
      <c r="C54" s="2" t="n">
        <f aca="false">COUNTIF($N$10:$N$102,A54)</f>
        <v>0</v>
      </c>
      <c r="D54" s="4" t="n">
        <v>2</v>
      </c>
      <c r="E54" s="18" t="n">
        <f aca="false">LOG10($B$4/D54)</f>
        <v>1</v>
      </c>
      <c r="F54" s="18" t="n">
        <f aca="false">B54*E54</f>
        <v>2</v>
      </c>
      <c r="G54" s="18" t="n">
        <f aca="false">C54*E54</f>
        <v>0</v>
      </c>
      <c r="H54" s="18" t="n">
        <f aca="false">F54*G54</f>
        <v>0</v>
      </c>
      <c r="I54" s="18" t="n">
        <f aca="false">F54^2</f>
        <v>4</v>
      </c>
      <c r="J54" s="18" t="n">
        <f aca="false">G54^2</f>
        <v>0</v>
      </c>
      <c r="M54" s="4" t="s">
        <v>172</v>
      </c>
      <c r="N54" s="4" t="s">
        <v>117</v>
      </c>
    </row>
    <row r="55" customFormat="false" ht="15" hidden="false" customHeight="false" outlineLevel="0" collapsed="false">
      <c r="A55" s="4" t="s">
        <v>183</v>
      </c>
      <c r="B55" s="2" t="n">
        <f aca="false">COUNTIF($M$10:$M$123,A55)</f>
        <v>1</v>
      </c>
      <c r="C55" s="2" t="n">
        <f aca="false">COUNTIF($N$10:$N$102,A55)</f>
        <v>0</v>
      </c>
      <c r="D55" s="4" t="n">
        <v>1</v>
      </c>
      <c r="E55" s="18" t="n">
        <f aca="false">LOG10($B$4/D55)</f>
        <v>1.30102999566398</v>
      </c>
      <c r="F55" s="18" t="n">
        <f aca="false">B55*E55</f>
        <v>1.30102999566398</v>
      </c>
      <c r="G55" s="18" t="n">
        <f aca="false">C55*E55</f>
        <v>0</v>
      </c>
      <c r="H55" s="18" t="n">
        <f aca="false">F55*G55</f>
        <v>0</v>
      </c>
      <c r="I55" s="18" t="n">
        <f aca="false">F55^2</f>
        <v>1.69267904961742</v>
      </c>
      <c r="J55" s="18" t="n">
        <f aca="false">G55^2</f>
        <v>0</v>
      </c>
      <c r="M55" s="4" t="s">
        <v>173</v>
      </c>
      <c r="N55" s="4" t="s">
        <v>118</v>
      </c>
    </row>
    <row r="56" customFormat="false" ht="15" hidden="false" customHeight="false" outlineLevel="0" collapsed="false">
      <c r="A56" s="4" t="s">
        <v>184</v>
      </c>
      <c r="B56" s="2" t="n">
        <f aca="false">COUNTIF($M$10:$M$123,A56)</f>
        <v>1</v>
      </c>
      <c r="C56" s="2" t="n">
        <f aca="false">COUNTIF($N$10:$N$102,A56)</f>
        <v>0</v>
      </c>
      <c r="D56" s="4" t="n">
        <v>1</v>
      </c>
      <c r="E56" s="18" t="n">
        <f aca="false">LOG10($B$4/D56)</f>
        <v>1.30102999566398</v>
      </c>
      <c r="F56" s="18" t="n">
        <f aca="false">B56*E56</f>
        <v>1.30102999566398</v>
      </c>
      <c r="G56" s="18" t="n">
        <f aca="false">C56*E56</f>
        <v>0</v>
      </c>
      <c r="H56" s="18" t="n">
        <f aca="false">F56*G56</f>
        <v>0</v>
      </c>
      <c r="I56" s="18" t="n">
        <f aca="false">F56^2</f>
        <v>1.69267904961742</v>
      </c>
      <c r="J56" s="18" t="n">
        <f aca="false">G56^2</f>
        <v>0</v>
      </c>
      <c r="M56" s="4" t="s">
        <v>174</v>
      </c>
      <c r="N56" s="4" t="s">
        <v>119</v>
      </c>
    </row>
    <row r="57" customFormat="false" ht="15" hidden="false" customHeight="false" outlineLevel="0" collapsed="false">
      <c r="A57" s="4" t="s">
        <v>185</v>
      </c>
      <c r="B57" s="2" t="n">
        <f aca="false">COUNTIF($M$10:$M$123,A57)</f>
        <v>1</v>
      </c>
      <c r="C57" s="2" t="n">
        <f aca="false">COUNTIF($N$10:$N$102,A57)</f>
        <v>0</v>
      </c>
      <c r="D57" s="4" t="n">
        <v>1</v>
      </c>
      <c r="E57" s="18" t="n">
        <f aca="false">LOG10($B$4/D57)</f>
        <v>1.30102999566398</v>
      </c>
      <c r="F57" s="18" t="n">
        <f aca="false">B57*E57</f>
        <v>1.30102999566398</v>
      </c>
      <c r="G57" s="18" t="n">
        <f aca="false">C57*E57</f>
        <v>0</v>
      </c>
      <c r="H57" s="18" t="n">
        <f aca="false">F57*G57</f>
        <v>0</v>
      </c>
      <c r="I57" s="18" t="n">
        <f aca="false">F57^2</f>
        <v>1.69267904961742</v>
      </c>
      <c r="J57" s="18" t="n">
        <f aca="false">G57^2</f>
        <v>0</v>
      </c>
      <c r="M57" s="4" t="s">
        <v>175</v>
      </c>
      <c r="N57" s="4" t="s">
        <v>120</v>
      </c>
    </row>
    <row r="58" customFormat="false" ht="15" hidden="false" customHeight="false" outlineLevel="0" collapsed="false">
      <c r="A58" s="4" t="s">
        <v>186</v>
      </c>
      <c r="B58" s="2" t="n">
        <f aca="false">COUNTIF($M$10:$M$123,A58)</f>
        <v>1</v>
      </c>
      <c r="C58" s="2" t="n">
        <f aca="false">COUNTIF($N$10:$N$102,A58)</f>
        <v>0</v>
      </c>
      <c r="D58" s="4" t="n">
        <v>1</v>
      </c>
      <c r="E58" s="18" t="n">
        <f aca="false">LOG10($B$4/D58)</f>
        <v>1.30102999566398</v>
      </c>
      <c r="F58" s="18" t="n">
        <f aca="false">B58*E58</f>
        <v>1.30102999566398</v>
      </c>
      <c r="G58" s="18" t="n">
        <f aca="false">C58*E58</f>
        <v>0</v>
      </c>
      <c r="H58" s="18" t="n">
        <f aca="false">F58*G58</f>
        <v>0</v>
      </c>
      <c r="I58" s="18" t="n">
        <f aca="false">F58^2</f>
        <v>1.69267904961742</v>
      </c>
      <c r="J58" s="18" t="n">
        <f aca="false">G58^2</f>
        <v>0</v>
      </c>
      <c r="M58" s="4" t="s">
        <v>168</v>
      </c>
      <c r="N58" s="4" t="s">
        <v>113</v>
      </c>
    </row>
    <row r="59" customFormat="false" ht="15" hidden="false" customHeight="false" outlineLevel="0" collapsed="false">
      <c r="A59" s="4" t="s">
        <v>187</v>
      </c>
      <c r="B59" s="2" t="n">
        <f aca="false">COUNTIF($M$10:$M$123,A59)</f>
        <v>2</v>
      </c>
      <c r="C59" s="2" t="n">
        <f aca="false">COUNTIF($N$10:$N$102,A59)</f>
        <v>0</v>
      </c>
      <c r="D59" s="4" t="n">
        <v>11</v>
      </c>
      <c r="E59" s="18" t="n">
        <f aca="false">LOG10($B$4/D59)</f>
        <v>0.259637310505756</v>
      </c>
      <c r="F59" s="18" t="n">
        <f aca="false">B59*E59</f>
        <v>0.519274621011512</v>
      </c>
      <c r="G59" s="18" t="n">
        <f aca="false">C59*E59</f>
        <v>0</v>
      </c>
      <c r="H59" s="18" t="n">
        <f aca="false">F59*G59</f>
        <v>0</v>
      </c>
      <c r="I59" s="18" t="n">
        <f aca="false">F59^2</f>
        <v>0.26964613202665</v>
      </c>
      <c r="J59" s="18" t="n">
        <f aca="false">G59^2</f>
        <v>0</v>
      </c>
      <c r="M59" s="4" t="s">
        <v>176</v>
      </c>
      <c r="N59" s="4" t="s">
        <v>121</v>
      </c>
    </row>
    <row r="60" customFormat="false" ht="15" hidden="false" customHeight="false" outlineLevel="0" collapsed="false">
      <c r="A60" s="4" t="s">
        <v>188</v>
      </c>
      <c r="B60" s="2" t="n">
        <f aca="false">COUNTIF($M$10:$M$123,A60)</f>
        <v>1</v>
      </c>
      <c r="C60" s="2" t="n">
        <f aca="false">COUNTIF($N$10:$N$102,A60)</f>
        <v>0</v>
      </c>
      <c r="D60" s="4" t="n">
        <v>3</v>
      </c>
      <c r="E60" s="18" t="n">
        <f aca="false">LOG10($B$4/D60)</f>
        <v>0.823908740944319</v>
      </c>
      <c r="F60" s="18" t="n">
        <f aca="false">B60*E60</f>
        <v>0.823908740944319</v>
      </c>
      <c r="G60" s="18" t="n">
        <f aca="false">C60*E60</f>
        <v>0</v>
      </c>
      <c r="H60" s="18" t="n">
        <f aca="false">F60*G60</f>
        <v>0</v>
      </c>
      <c r="I60" s="18" t="n">
        <f aca="false">F60^2</f>
        <v>0.678825613404453</v>
      </c>
      <c r="J60" s="18" t="n">
        <f aca="false">G60^2</f>
        <v>0</v>
      </c>
      <c r="M60" s="4" t="s">
        <v>163</v>
      </c>
      <c r="N60" s="4" t="s">
        <v>122</v>
      </c>
    </row>
    <row r="61" customFormat="false" ht="15" hidden="false" customHeight="false" outlineLevel="0" collapsed="false">
      <c r="A61" s="4" t="s">
        <v>189</v>
      </c>
      <c r="B61" s="2" t="n">
        <f aca="false">COUNTIF($M$10:$M$123,A61)</f>
        <v>1</v>
      </c>
      <c r="C61" s="2" t="n">
        <f aca="false">COUNTIF($N$10:$N$102,A61)</f>
        <v>0</v>
      </c>
      <c r="D61" s="4" t="n">
        <v>2</v>
      </c>
      <c r="E61" s="18" t="n">
        <f aca="false">LOG10($B$4/D61)</f>
        <v>1</v>
      </c>
      <c r="F61" s="18" t="n">
        <f aca="false">B61*E61</f>
        <v>1</v>
      </c>
      <c r="G61" s="18" t="n">
        <f aca="false">C61*E61</f>
        <v>0</v>
      </c>
      <c r="H61" s="18" t="n">
        <f aca="false">F61*G61</f>
        <v>0</v>
      </c>
      <c r="I61" s="18" t="n">
        <f aca="false">F61^2</f>
        <v>1</v>
      </c>
      <c r="J61" s="18" t="n">
        <f aca="false">G61^2</f>
        <v>0</v>
      </c>
      <c r="M61" s="4" t="s">
        <v>177</v>
      </c>
      <c r="N61" s="4" t="s">
        <v>123</v>
      </c>
    </row>
    <row r="62" customFormat="false" ht="15" hidden="false" customHeight="false" outlineLevel="0" collapsed="false">
      <c r="A62" s="4" t="s">
        <v>97</v>
      </c>
      <c r="B62" s="2" t="n">
        <f aca="false">COUNTIF($M$10:$M$123,A62)</f>
        <v>1</v>
      </c>
      <c r="C62" s="2" t="n">
        <f aca="false">COUNTIF($N$10:$N$102,A62)</f>
        <v>1</v>
      </c>
      <c r="D62" s="4" t="n">
        <v>2</v>
      </c>
      <c r="E62" s="18" t="n">
        <f aca="false">LOG10($B$4/D62)</f>
        <v>1</v>
      </c>
      <c r="F62" s="18" t="n">
        <f aca="false">B62*E62</f>
        <v>1</v>
      </c>
      <c r="G62" s="18" t="n">
        <f aca="false">C62*E62</f>
        <v>1</v>
      </c>
      <c r="H62" s="18" t="n">
        <f aca="false">F62*G62</f>
        <v>1</v>
      </c>
      <c r="I62" s="18" t="n">
        <f aca="false">F62^2</f>
        <v>1</v>
      </c>
      <c r="J62" s="18" t="n">
        <f aca="false">G62^2</f>
        <v>1</v>
      </c>
      <c r="M62" s="4" t="s">
        <v>178</v>
      </c>
      <c r="N62" s="4" t="s">
        <v>66</v>
      </c>
    </row>
    <row r="63" customFormat="false" ht="15" hidden="false" customHeight="false" outlineLevel="0" collapsed="false">
      <c r="A63" s="4" t="s">
        <v>190</v>
      </c>
      <c r="B63" s="2" t="n">
        <f aca="false">COUNTIF($M$10:$M$123,A63)</f>
        <v>1</v>
      </c>
      <c r="C63" s="2" t="n">
        <f aca="false">COUNTIF($N$10:$N$102,A63)</f>
        <v>0</v>
      </c>
      <c r="D63" s="4" t="n">
        <v>1</v>
      </c>
      <c r="E63" s="18" t="n">
        <f aca="false">LOG10($B$4/D63)</f>
        <v>1.30102999566398</v>
      </c>
      <c r="F63" s="18" t="n">
        <f aca="false">B63*E63</f>
        <v>1.30102999566398</v>
      </c>
      <c r="G63" s="18" t="n">
        <f aca="false">C63*E63</f>
        <v>0</v>
      </c>
      <c r="H63" s="18" t="n">
        <f aca="false">F63*G63</f>
        <v>0</v>
      </c>
      <c r="I63" s="18" t="n">
        <f aca="false">F63^2</f>
        <v>1.69267904961742</v>
      </c>
      <c r="J63" s="18" t="n">
        <f aca="false">G63^2</f>
        <v>0</v>
      </c>
      <c r="M63" s="4" t="s">
        <v>99</v>
      </c>
      <c r="N63" s="4" t="s">
        <v>58</v>
      </c>
    </row>
    <row r="64" customFormat="false" ht="15" hidden="false" customHeight="false" outlineLevel="0" collapsed="false">
      <c r="A64" s="4" t="s">
        <v>191</v>
      </c>
      <c r="B64" s="2" t="n">
        <f aca="false">COUNTIF($M$10:$M$123,A64)</f>
        <v>1</v>
      </c>
      <c r="C64" s="2" t="n">
        <f aca="false">COUNTIF($N$10:$N$102,A64)</f>
        <v>0</v>
      </c>
      <c r="D64" s="4" t="n">
        <v>2</v>
      </c>
      <c r="E64" s="18" t="n">
        <f aca="false">LOG10($B$4/D64)</f>
        <v>1</v>
      </c>
      <c r="F64" s="18" t="n">
        <f aca="false">B64*E64</f>
        <v>1</v>
      </c>
      <c r="G64" s="18" t="n">
        <f aca="false">C64*E64</f>
        <v>0</v>
      </c>
      <c r="H64" s="18" t="n">
        <f aca="false">F64*G64</f>
        <v>0</v>
      </c>
      <c r="I64" s="18" t="n">
        <f aca="false">F64^2</f>
        <v>1</v>
      </c>
      <c r="J64" s="18" t="n">
        <f aca="false">G64^2</f>
        <v>0</v>
      </c>
      <c r="M64" s="4" t="s">
        <v>179</v>
      </c>
      <c r="N64" s="4" t="s">
        <v>61</v>
      </c>
    </row>
    <row r="65" customFormat="false" ht="15" hidden="false" customHeight="false" outlineLevel="0" collapsed="false">
      <c r="A65" s="4" t="s">
        <v>192</v>
      </c>
      <c r="B65" s="2" t="n">
        <f aca="false">COUNTIF($M$10:$M$123,A65)</f>
        <v>1</v>
      </c>
      <c r="C65" s="2" t="n">
        <f aca="false">COUNTIF($N$10:$N$102,A65)</f>
        <v>0</v>
      </c>
      <c r="D65" s="4" t="n">
        <v>2</v>
      </c>
      <c r="E65" s="18" t="n">
        <f aca="false">LOG10($B$4/D65)</f>
        <v>1</v>
      </c>
      <c r="F65" s="18" t="n">
        <f aca="false">B65*E65</f>
        <v>1</v>
      </c>
      <c r="G65" s="18" t="n">
        <f aca="false">C65*E65</f>
        <v>0</v>
      </c>
      <c r="H65" s="18" t="n">
        <f aca="false">F65*G65</f>
        <v>0</v>
      </c>
      <c r="I65" s="18" t="n">
        <f aca="false">F65^2</f>
        <v>1</v>
      </c>
      <c r="J65" s="18" t="n">
        <f aca="false">G65^2</f>
        <v>0</v>
      </c>
      <c r="M65" s="4" t="s">
        <v>180</v>
      </c>
      <c r="N65" s="4" t="s">
        <v>124</v>
      </c>
    </row>
    <row r="66" customFormat="false" ht="15" hidden="false" customHeight="false" outlineLevel="0" collapsed="false">
      <c r="A66" s="4" t="s">
        <v>193</v>
      </c>
      <c r="B66" s="2" t="n">
        <f aca="false">COUNTIF($M$10:$M$123,A66)</f>
        <v>1</v>
      </c>
      <c r="C66" s="2" t="n">
        <f aca="false">COUNTIF($N$10:$N$102,A66)</f>
        <v>0</v>
      </c>
      <c r="D66" s="4" t="n">
        <v>1</v>
      </c>
      <c r="E66" s="18" t="n">
        <f aca="false">LOG10($B$4/D66)</f>
        <v>1.30102999566398</v>
      </c>
      <c r="F66" s="18" t="n">
        <f aca="false">B66*E66</f>
        <v>1.30102999566398</v>
      </c>
      <c r="G66" s="18" t="n">
        <f aca="false">C66*E66</f>
        <v>0</v>
      </c>
      <c r="H66" s="18" t="n">
        <f aca="false">F66*G66</f>
        <v>0</v>
      </c>
      <c r="I66" s="18" t="n">
        <f aca="false">F66^2</f>
        <v>1.69267904961742</v>
      </c>
      <c r="J66" s="18" t="n">
        <f aca="false">G66^2</f>
        <v>0</v>
      </c>
      <c r="M66" s="4" t="s">
        <v>181</v>
      </c>
      <c r="N66" s="4" t="s">
        <v>125</v>
      </c>
    </row>
    <row r="67" customFormat="false" ht="15" hidden="false" customHeight="false" outlineLevel="0" collapsed="false">
      <c r="A67" s="4" t="s">
        <v>194</v>
      </c>
      <c r="B67" s="2" t="n">
        <f aca="false">COUNTIF($M$10:$M$123,A67)</f>
        <v>1</v>
      </c>
      <c r="C67" s="2" t="n">
        <f aca="false">COUNTIF($N$10:$N$102,A67)</f>
        <v>0</v>
      </c>
      <c r="D67" s="4" t="n">
        <v>5</v>
      </c>
      <c r="E67" s="18" t="n">
        <f aca="false">LOG10($B$4/D67)</f>
        <v>0.602059991327962</v>
      </c>
      <c r="F67" s="18" t="n">
        <f aca="false">B67*E67</f>
        <v>0.602059991327962</v>
      </c>
      <c r="G67" s="18" t="n">
        <f aca="false">C67*E67</f>
        <v>0</v>
      </c>
      <c r="H67" s="18" t="n">
        <f aca="false">F67*G67</f>
        <v>0</v>
      </c>
      <c r="I67" s="18" t="n">
        <f aca="false">F67^2</f>
        <v>0.362476233157826</v>
      </c>
      <c r="J67" s="18" t="n">
        <f aca="false">G67^2</f>
        <v>0</v>
      </c>
      <c r="M67" s="4" t="s">
        <v>168</v>
      </c>
      <c r="N67" s="4" t="s">
        <v>91</v>
      </c>
    </row>
    <row r="68" customFormat="false" ht="15" hidden="false" customHeight="false" outlineLevel="0" collapsed="false">
      <c r="A68" s="4" t="s">
        <v>195</v>
      </c>
      <c r="B68" s="2" t="n">
        <f aca="false">COUNTIF($M$10:$M$123,A68)</f>
        <v>1</v>
      </c>
      <c r="C68" s="2" t="n">
        <f aca="false">COUNTIF($N$10:$N$102,A68)</f>
        <v>0</v>
      </c>
      <c r="D68" s="4" t="n">
        <v>1</v>
      </c>
      <c r="E68" s="18" t="n">
        <f aca="false">LOG10($B$4/D68)</f>
        <v>1.30102999566398</v>
      </c>
      <c r="F68" s="18" t="n">
        <f aca="false">B68*E68</f>
        <v>1.30102999566398</v>
      </c>
      <c r="G68" s="18" t="n">
        <f aca="false">C68*E68</f>
        <v>0</v>
      </c>
      <c r="H68" s="18" t="n">
        <f aca="false">F68*G68</f>
        <v>0</v>
      </c>
      <c r="I68" s="18" t="n">
        <f aca="false">F68^2</f>
        <v>1.69267904961742</v>
      </c>
      <c r="J68" s="18" t="n">
        <f aca="false">G68^2</f>
        <v>0</v>
      </c>
      <c r="M68" s="4" t="s">
        <v>170</v>
      </c>
      <c r="N68" s="4" t="s">
        <v>92</v>
      </c>
    </row>
    <row r="69" customFormat="false" ht="15" hidden="false" customHeight="false" outlineLevel="0" collapsed="false">
      <c r="A69" s="4" t="s">
        <v>61</v>
      </c>
      <c r="B69" s="2" t="n">
        <f aca="false">COUNTIF($M$10:$M$123,A69)</f>
        <v>2</v>
      </c>
      <c r="C69" s="2" t="n">
        <f aca="false">COUNTIF($N$10:$N$102,A69)</f>
        <v>7</v>
      </c>
      <c r="D69" s="4" t="n">
        <v>18</v>
      </c>
      <c r="E69" s="18" t="n">
        <f aca="false">LOG10($B$4/D69)</f>
        <v>0.0457574905606751</v>
      </c>
      <c r="F69" s="18" t="n">
        <f aca="false">B69*E69</f>
        <v>0.0915149811213503</v>
      </c>
      <c r="G69" s="18" t="n">
        <f aca="false">C69*E69</f>
        <v>0.320302433924726</v>
      </c>
      <c r="H69" s="18" t="n">
        <f aca="false">F69*G69</f>
        <v>0.0293124711937439</v>
      </c>
      <c r="I69" s="18" t="n">
        <f aca="false">F69^2</f>
        <v>0.0083749917696411</v>
      </c>
      <c r="J69" s="18" t="n">
        <f aca="false">G69^2</f>
        <v>0.102593649178103</v>
      </c>
      <c r="M69" s="4" t="s">
        <v>182</v>
      </c>
      <c r="N69" s="4" t="s">
        <v>126</v>
      </c>
    </row>
    <row r="70" customFormat="false" ht="15" hidden="false" customHeight="false" outlineLevel="0" collapsed="false">
      <c r="A70" s="4" t="s">
        <v>196</v>
      </c>
      <c r="B70" s="2" t="n">
        <f aca="false">COUNTIF($M$10:$M$123,A70)</f>
        <v>1</v>
      </c>
      <c r="C70" s="2" t="n">
        <f aca="false">COUNTIF($N$10:$N$102,A70)</f>
        <v>0</v>
      </c>
      <c r="D70" s="4" t="n">
        <v>2</v>
      </c>
      <c r="E70" s="18" t="n">
        <f aca="false">LOG10($B$4/D70)</f>
        <v>1</v>
      </c>
      <c r="F70" s="18" t="n">
        <f aca="false">B70*E70</f>
        <v>1</v>
      </c>
      <c r="G70" s="18" t="n">
        <f aca="false">C70*E70</f>
        <v>0</v>
      </c>
      <c r="H70" s="18" t="n">
        <f aca="false">F70*G70</f>
        <v>0</v>
      </c>
      <c r="I70" s="18" t="n">
        <f aca="false">F70^2</f>
        <v>1</v>
      </c>
      <c r="J70" s="18" t="n">
        <f aca="false">G70^2</f>
        <v>0</v>
      </c>
      <c r="M70" s="4" t="s">
        <v>89</v>
      </c>
      <c r="N70" s="4" t="s">
        <v>127</v>
      </c>
    </row>
    <row r="71" customFormat="false" ht="15" hidden="false" customHeight="false" outlineLevel="0" collapsed="false">
      <c r="A71" s="4" t="s">
        <v>197</v>
      </c>
      <c r="B71" s="2" t="n">
        <f aca="false">COUNTIF($M$10:$M$123,A71)</f>
        <v>1</v>
      </c>
      <c r="C71" s="2" t="n">
        <f aca="false">COUNTIF($N$10:$N$102,A71)</f>
        <v>0</v>
      </c>
      <c r="D71" s="4" t="n">
        <v>2</v>
      </c>
      <c r="E71" s="18" t="n">
        <f aca="false">LOG10($B$4/D71)</f>
        <v>1</v>
      </c>
      <c r="F71" s="18" t="n">
        <f aca="false">B71*E71</f>
        <v>1</v>
      </c>
      <c r="G71" s="18" t="n">
        <f aca="false">C71*E71</f>
        <v>0</v>
      </c>
      <c r="H71" s="18" t="n">
        <f aca="false">F71*G71</f>
        <v>0</v>
      </c>
      <c r="I71" s="18" t="n">
        <f aca="false">F71^2</f>
        <v>1</v>
      </c>
      <c r="J71" s="18" t="n">
        <f aca="false">G71^2</f>
        <v>0</v>
      </c>
      <c r="M71" s="4" t="s">
        <v>183</v>
      </c>
      <c r="N71" s="4" t="s">
        <v>89</v>
      </c>
    </row>
    <row r="72" customFormat="false" ht="15" hidden="false" customHeight="false" outlineLevel="0" collapsed="false">
      <c r="A72" s="4" t="s">
        <v>198</v>
      </c>
      <c r="B72" s="2" t="n">
        <f aca="false">COUNTIF($M$10:$M$123,A72)</f>
        <v>1</v>
      </c>
      <c r="C72" s="2" t="n">
        <f aca="false">COUNTIF($N$10:$N$102,A72)</f>
        <v>0</v>
      </c>
      <c r="D72" s="4" t="n">
        <v>2</v>
      </c>
      <c r="E72" s="18" t="n">
        <f aca="false">LOG10($B$4/D72)</f>
        <v>1</v>
      </c>
      <c r="F72" s="18" t="n">
        <f aca="false">B72*E72</f>
        <v>1</v>
      </c>
      <c r="G72" s="18" t="n">
        <f aca="false">C72*E72</f>
        <v>0</v>
      </c>
      <c r="H72" s="18" t="n">
        <f aca="false">F72*G72</f>
        <v>0</v>
      </c>
      <c r="I72" s="18" t="n">
        <f aca="false">F72^2</f>
        <v>1</v>
      </c>
      <c r="J72" s="18" t="n">
        <f aca="false">G72^2</f>
        <v>0</v>
      </c>
      <c r="M72" s="4" t="s">
        <v>184</v>
      </c>
      <c r="N72" s="4" t="s">
        <v>128</v>
      </c>
    </row>
    <row r="73" customFormat="false" ht="15" hidden="false" customHeight="false" outlineLevel="0" collapsed="false">
      <c r="A73" s="4" t="s">
        <v>199</v>
      </c>
      <c r="B73" s="2" t="n">
        <f aca="false">COUNTIF($M$10:$M$123,A73)</f>
        <v>1</v>
      </c>
      <c r="C73" s="2" t="n">
        <f aca="false">COUNTIF($N$10:$N$102,A73)</f>
        <v>0</v>
      </c>
      <c r="D73" s="4" t="n">
        <v>2</v>
      </c>
      <c r="E73" s="18" t="n">
        <f aca="false">LOG10($B$4/D73)</f>
        <v>1</v>
      </c>
      <c r="F73" s="18" t="n">
        <f aca="false">B73*E73</f>
        <v>1</v>
      </c>
      <c r="G73" s="18" t="n">
        <f aca="false">C73*E73</f>
        <v>0</v>
      </c>
      <c r="H73" s="18" t="n">
        <f aca="false">F73*G73</f>
        <v>0</v>
      </c>
      <c r="I73" s="18" t="n">
        <f aca="false">F73^2</f>
        <v>1</v>
      </c>
      <c r="J73" s="18" t="n">
        <f aca="false">G73^2</f>
        <v>0</v>
      </c>
      <c r="M73" s="4" t="s">
        <v>99</v>
      </c>
      <c r="N73" s="4" t="s">
        <v>129</v>
      </c>
    </row>
    <row r="74" customFormat="false" ht="15" hidden="false" customHeight="false" outlineLevel="0" collapsed="false">
      <c r="A74" s="4" t="s">
        <v>200</v>
      </c>
      <c r="B74" s="2" t="n">
        <f aca="false">COUNTIF($M$10:$M$123,A74)</f>
        <v>1</v>
      </c>
      <c r="C74" s="2" t="n">
        <f aca="false">COUNTIF($N$10:$N$102,A74)</f>
        <v>0</v>
      </c>
      <c r="D74" s="4" t="n">
        <v>1</v>
      </c>
      <c r="E74" s="18" t="n">
        <f aca="false">LOG10($B$4/D74)</f>
        <v>1.30102999566398</v>
      </c>
      <c r="F74" s="18" t="n">
        <f aca="false">B74*E74</f>
        <v>1.30102999566398</v>
      </c>
      <c r="G74" s="18" t="n">
        <f aca="false">C74*E74</f>
        <v>0</v>
      </c>
      <c r="H74" s="18" t="n">
        <f aca="false">F74*G74</f>
        <v>0</v>
      </c>
      <c r="I74" s="18" t="n">
        <f aca="false">F74^2</f>
        <v>1.69267904961742</v>
      </c>
      <c r="J74" s="18" t="n">
        <f aca="false">G74^2</f>
        <v>0</v>
      </c>
      <c r="M74" s="4" t="s">
        <v>185</v>
      </c>
      <c r="N74" s="4" t="s">
        <v>58</v>
      </c>
    </row>
    <row r="75" customFormat="false" ht="15" hidden="false" customHeight="false" outlineLevel="0" collapsed="false">
      <c r="A75" s="4" t="s">
        <v>201</v>
      </c>
      <c r="B75" s="2" t="n">
        <f aca="false">COUNTIF($M$10:$M$123,A75)</f>
        <v>1</v>
      </c>
      <c r="C75" s="2" t="n">
        <f aca="false">COUNTIF($N$10:$N$102,A75)</f>
        <v>0</v>
      </c>
      <c r="D75" s="4" t="n">
        <v>5</v>
      </c>
      <c r="E75" s="18" t="n">
        <f aca="false">LOG10($B$4/D75)</f>
        <v>0.602059991327962</v>
      </c>
      <c r="F75" s="18" t="n">
        <f aca="false">B75*E75</f>
        <v>0.602059991327962</v>
      </c>
      <c r="G75" s="18" t="n">
        <f aca="false">C75*E75</f>
        <v>0</v>
      </c>
      <c r="H75" s="18" t="n">
        <f aca="false">F75*G75</f>
        <v>0</v>
      </c>
      <c r="I75" s="18" t="n">
        <f aca="false">F75^2</f>
        <v>0.362476233157826</v>
      </c>
      <c r="J75" s="18" t="n">
        <f aca="false">G75^2</f>
        <v>0</v>
      </c>
      <c r="M75" s="4" t="s">
        <v>186</v>
      </c>
      <c r="N75" s="4" t="s">
        <v>61</v>
      </c>
    </row>
    <row r="76" customFormat="false" ht="15" hidden="false" customHeight="false" outlineLevel="0" collapsed="false">
      <c r="A76" s="4" t="s">
        <v>202</v>
      </c>
      <c r="B76" s="2" t="n">
        <f aca="false">COUNTIF($M$10:$M$123,A76)</f>
        <v>1</v>
      </c>
      <c r="C76" s="2" t="n">
        <f aca="false">COUNTIF($N$10:$N$102,A76)</f>
        <v>0</v>
      </c>
      <c r="D76" s="4" t="n">
        <v>1</v>
      </c>
      <c r="E76" s="18" t="n">
        <f aca="false">LOG10($B$4/D76)</f>
        <v>1.30102999566398</v>
      </c>
      <c r="F76" s="18" t="n">
        <f aca="false">B76*E76</f>
        <v>1.30102999566398</v>
      </c>
      <c r="G76" s="18" t="n">
        <f aca="false">C76*E76</f>
        <v>0</v>
      </c>
      <c r="H76" s="18" t="n">
        <f aca="false">F76*G76</f>
        <v>0</v>
      </c>
      <c r="I76" s="18" t="n">
        <f aca="false">F76^2</f>
        <v>1.69267904961742</v>
      </c>
      <c r="J76" s="18" t="n">
        <f aca="false">G76^2</f>
        <v>0</v>
      </c>
      <c r="M76" s="4" t="s">
        <v>187</v>
      </c>
      <c r="N76" s="4" t="s">
        <v>130</v>
      </c>
    </row>
    <row r="77" customFormat="false" ht="15" hidden="false" customHeight="false" outlineLevel="0" collapsed="false">
      <c r="A77" s="4" t="s">
        <v>203</v>
      </c>
      <c r="B77" s="2" t="n">
        <f aca="false">COUNTIF($M$10:$M$123,A77)</f>
        <v>1</v>
      </c>
      <c r="C77" s="2" t="n">
        <f aca="false">COUNTIF($N$10:$N$102,A77)</f>
        <v>0</v>
      </c>
      <c r="D77" s="4" t="n">
        <v>2</v>
      </c>
      <c r="E77" s="18" t="n">
        <f aca="false">LOG10($B$4/D77)</f>
        <v>1</v>
      </c>
      <c r="F77" s="18" t="n">
        <f aca="false">B77*E77</f>
        <v>1</v>
      </c>
      <c r="G77" s="18" t="n">
        <f aca="false">C77*E77</f>
        <v>0</v>
      </c>
      <c r="H77" s="18" t="n">
        <f aca="false">F77*G77</f>
        <v>0</v>
      </c>
      <c r="I77" s="18" t="n">
        <f aca="false">F77^2</f>
        <v>1</v>
      </c>
      <c r="J77" s="18" t="n">
        <f aca="false">G77^2</f>
        <v>0</v>
      </c>
      <c r="M77" s="4" t="s">
        <v>188</v>
      </c>
      <c r="N77" s="4" t="s">
        <v>131</v>
      </c>
    </row>
    <row r="78" customFormat="false" ht="15" hidden="false" customHeight="false" outlineLevel="0" collapsed="false">
      <c r="A78" s="4" t="s">
        <v>204</v>
      </c>
      <c r="B78" s="2" t="n">
        <f aca="false">COUNTIF($M$10:$M$123,A78)</f>
        <v>1</v>
      </c>
      <c r="C78" s="2" t="n">
        <f aca="false">COUNTIF($N$10:$N$102,A78)</f>
        <v>0</v>
      </c>
      <c r="D78" s="4" t="n">
        <v>1</v>
      </c>
      <c r="E78" s="18" t="n">
        <f aca="false">LOG10($B$4/D78)</f>
        <v>1.30102999566398</v>
      </c>
      <c r="F78" s="18" t="n">
        <f aca="false">B78*E78</f>
        <v>1.30102999566398</v>
      </c>
      <c r="G78" s="18" t="n">
        <f aca="false">C78*E78</f>
        <v>0</v>
      </c>
      <c r="H78" s="18" t="n">
        <f aca="false">F78*G78</f>
        <v>0</v>
      </c>
      <c r="I78" s="18" t="n">
        <f aca="false">F78^2</f>
        <v>1.69267904961742</v>
      </c>
      <c r="J78" s="18" t="n">
        <f aca="false">G78^2</f>
        <v>0</v>
      </c>
      <c r="M78" s="4" t="s">
        <v>189</v>
      </c>
      <c r="N78" s="4" t="s">
        <v>132</v>
      </c>
    </row>
    <row r="79" customFormat="false" ht="15" hidden="false" customHeight="false" outlineLevel="0" collapsed="false">
      <c r="A79" s="4" t="s">
        <v>205</v>
      </c>
      <c r="B79" s="2" t="n">
        <f aca="false">COUNTIF($M$10:$M$123,A79)</f>
        <v>1</v>
      </c>
      <c r="C79" s="2" t="n">
        <f aca="false">COUNTIF($N$10:$N$102,A79)</f>
        <v>0</v>
      </c>
      <c r="D79" s="4" t="n">
        <v>1</v>
      </c>
      <c r="E79" s="18" t="n">
        <f aca="false">LOG10($B$4/D79)</f>
        <v>1.30102999566398</v>
      </c>
      <c r="F79" s="18" t="n">
        <f aca="false">B79*E79</f>
        <v>1.30102999566398</v>
      </c>
      <c r="G79" s="18" t="n">
        <f aca="false">C79*E79</f>
        <v>0</v>
      </c>
      <c r="H79" s="18" t="n">
        <f aca="false">F79*G79</f>
        <v>0</v>
      </c>
      <c r="I79" s="18" t="n">
        <f aca="false">F79^2</f>
        <v>1.69267904961742</v>
      </c>
      <c r="J79" s="18" t="n">
        <f aca="false">G79^2</f>
        <v>0</v>
      </c>
      <c r="M79" s="4" t="s">
        <v>187</v>
      </c>
      <c r="N79" s="4" t="s">
        <v>133</v>
      </c>
    </row>
    <row r="80" customFormat="false" ht="15" hidden="false" customHeight="false" outlineLevel="0" collapsed="false">
      <c r="A80" s="4" t="s">
        <v>206</v>
      </c>
      <c r="B80" s="2" t="n">
        <f aca="false">COUNTIF($M$10:$M$123,A80)</f>
        <v>2</v>
      </c>
      <c r="C80" s="2" t="n">
        <f aca="false">COUNTIF($N$10:$N$102,A80)</f>
        <v>0</v>
      </c>
      <c r="D80" s="4" t="n">
        <v>6</v>
      </c>
      <c r="E80" s="18" t="n">
        <f aca="false">LOG10($B$4/D80)</f>
        <v>0.522878745280338</v>
      </c>
      <c r="F80" s="18" t="n">
        <f aca="false">B80*E80</f>
        <v>1.04575749056068</v>
      </c>
      <c r="G80" s="18" t="n">
        <f aca="false">C80*E80</f>
        <v>0</v>
      </c>
      <c r="H80" s="18" t="n">
        <f aca="false">F80*G80</f>
        <v>0</v>
      </c>
      <c r="I80" s="18" t="n">
        <f aca="false">F80^2</f>
        <v>1.09360872906376</v>
      </c>
      <c r="J80" s="18" t="n">
        <f aca="false">G80^2</f>
        <v>0</v>
      </c>
      <c r="M80" s="4" t="s">
        <v>97</v>
      </c>
      <c r="N80" s="4" t="s">
        <v>134</v>
      </c>
    </row>
    <row r="81" customFormat="false" ht="15" hidden="false" customHeight="false" outlineLevel="0" collapsed="false">
      <c r="A81" s="4" t="s">
        <v>207</v>
      </c>
      <c r="B81" s="2" t="n">
        <f aca="false">COUNTIF($M$10:$M$123,A81)</f>
        <v>1</v>
      </c>
      <c r="C81" s="2" t="n">
        <f aca="false">COUNTIF($N$10:$N$102,A81)</f>
        <v>0</v>
      </c>
      <c r="D81" s="4" t="n">
        <v>2</v>
      </c>
      <c r="E81" s="18" t="n">
        <f aca="false">LOG10($B$4/D81)</f>
        <v>1</v>
      </c>
      <c r="F81" s="18" t="n">
        <f aca="false">B81*E81</f>
        <v>1</v>
      </c>
      <c r="G81" s="18" t="n">
        <f aca="false">C81*E81</f>
        <v>0</v>
      </c>
      <c r="H81" s="18" t="n">
        <f aca="false">F81*G81</f>
        <v>0</v>
      </c>
      <c r="I81" s="18" t="n">
        <f aca="false">F81^2</f>
        <v>1</v>
      </c>
      <c r="J81" s="18" t="n">
        <f aca="false">G81^2</f>
        <v>0</v>
      </c>
      <c r="M81" s="4" t="s">
        <v>190</v>
      </c>
      <c r="N81" s="4" t="s">
        <v>135</v>
      </c>
    </row>
    <row r="82" customFormat="false" ht="15" hidden="false" customHeight="false" outlineLevel="0" collapsed="false">
      <c r="A82" s="4" t="s">
        <v>208</v>
      </c>
      <c r="B82" s="2" t="n">
        <f aca="false">COUNTIF($M$10:$M$123,A82)</f>
        <v>1</v>
      </c>
      <c r="C82" s="2" t="n">
        <f aca="false">COUNTIF($N$10:$N$102,A82)</f>
        <v>0</v>
      </c>
      <c r="D82" s="4" t="n">
        <v>2</v>
      </c>
      <c r="E82" s="18" t="n">
        <f aca="false">LOG10($B$4/D82)</f>
        <v>1</v>
      </c>
      <c r="F82" s="18" t="n">
        <f aca="false">B82*E82</f>
        <v>1</v>
      </c>
      <c r="G82" s="18" t="n">
        <f aca="false">C82*E82</f>
        <v>0</v>
      </c>
      <c r="H82" s="18" t="n">
        <f aca="false">F82*G82</f>
        <v>0</v>
      </c>
      <c r="I82" s="18" t="n">
        <f aca="false">F82^2</f>
        <v>1</v>
      </c>
      <c r="J82" s="18" t="n">
        <f aca="false">G82^2</f>
        <v>0</v>
      </c>
      <c r="M82" s="4" t="s">
        <v>191</v>
      </c>
      <c r="N82" s="4" t="s">
        <v>128</v>
      </c>
    </row>
    <row r="83" customFormat="false" ht="15" hidden="false" customHeight="false" outlineLevel="0" collapsed="false">
      <c r="A83" s="4" t="s">
        <v>209</v>
      </c>
      <c r="B83" s="2" t="n">
        <f aca="false">COUNTIF($M$10:$M$123,A83)</f>
        <v>1</v>
      </c>
      <c r="C83" s="2" t="n">
        <f aca="false">COUNTIF($N$10:$N$102,A83)</f>
        <v>0</v>
      </c>
      <c r="D83" s="4" t="n">
        <v>14</v>
      </c>
      <c r="E83" s="18" t="n">
        <f aca="false">LOG10($B$4/D83)</f>
        <v>0.154901959985743</v>
      </c>
      <c r="F83" s="18" t="n">
        <f aca="false">B83*E83</f>
        <v>0.154901959985743</v>
      </c>
      <c r="G83" s="18" t="n">
        <f aca="false">C83*E83</f>
        <v>0</v>
      </c>
      <c r="H83" s="18" t="n">
        <f aca="false">F83*G83</f>
        <v>0</v>
      </c>
      <c r="I83" s="18" t="n">
        <f aca="false">F83^2</f>
        <v>0.0239946172074248</v>
      </c>
      <c r="J83" s="18" t="n">
        <f aca="false">G83^2</f>
        <v>0</v>
      </c>
      <c r="M83" s="4" t="s">
        <v>89</v>
      </c>
      <c r="N83" s="4" t="s">
        <v>125</v>
      </c>
    </row>
    <row r="84" customFormat="false" ht="15" hidden="false" customHeight="false" outlineLevel="0" collapsed="false">
      <c r="A84" s="4" t="s">
        <v>210</v>
      </c>
      <c r="B84" s="2" t="n">
        <f aca="false">COUNTIF($M$10:$M$123,A84)</f>
        <v>1</v>
      </c>
      <c r="C84" s="2" t="n">
        <f aca="false">COUNTIF($N$10:$N$102,A84)</f>
        <v>0</v>
      </c>
      <c r="D84" s="4" t="n">
        <v>1</v>
      </c>
      <c r="E84" s="18" t="n">
        <f aca="false">LOG10($B$4/D84)</f>
        <v>1.30102999566398</v>
      </c>
      <c r="F84" s="18" t="n">
        <f aca="false">B84*E84</f>
        <v>1.30102999566398</v>
      </c>
      <c r="G84" s="18" t="n">
        <f aca="false">C84*E84</f>
        <v>0</v>
      </c>
      <c r="H84" s="18" t="n">
        <f aca="false">F84*G84</f>
        <v>0</v>
      </c>
      <c r="I84" s="18" t="n">
        <f aca="false">F84^2</f>
        <v>1.69267904961742</v>
      </c>
      <c r="J84" s="18" t="n">
        <f aca="false">G84^2</f>
        <v>0</v>
      </c>
      <c r="M84" s="4" t="s">
        <v>67</v>
      </c>
      <c r="N84" s="4" t="s">
        <v>136</v>
      </c>
    </row>
    <row r="85" customFormat="false" ht="15" hidden="false" customHeight="false" outlineLevel="0" collapsed="false">
      <c r="A85" s="4" t="s">
        <v>135</v>
      </c>
      <c r="B85" s="2" t="n">
        <f aca="false">COUNTIF($M$10:$M$123,A85)</f>
        <v>1</v>
      </c>
      <c r="C85" s="2" t="n">
        <f aca="false">COUNTIF($N$10:$N$102,A85)</f>
        <v>1</v>
      </c>
      <c r="D85" s="4" t="n">
        <v>2</v>
      </c>
      <c r="E85" s="18" t="n">
        <f aca="false">LOG10($B$4/D85)</f>
        <v>1</v>
      </c>
      <c r="F85" s="18" t="n">
        <f aca="false">B85*E85</f>
        <v>1</v>
      </c>
      <c r="G85" s="18" t="n">
        <f aca="false">C85*E85</f>
        <v>1</v>
      </c>
      <c r="H85" s="18" t="n">
        <f aca="false">F85*G85</f>
        <v>1</v>
      </c>
      <c r="I85" s="18" t="n">
        <f aca="false">F85^2</f>
        <v>1</v>
      </c>
      <c r="J85" s="18" t="n">
        <f aca="false">G85^2</f>
        <v>1</v>
      </c>
      <c r="M85" s="4" t="s">
        <v>92</v>
      </c>
      <c r="N85" s="4" t="s">
        <v>58</v>
      </c>
    </row>
    <row r="86" customFormat="false" ht="15" hidden="false" customHeight="false" outlineLevel="0" collapsed="false">
      <c r="A86" s="4" t="s">
        <v>211</v>
      </c>
      <c r="B86" s="2" t="n">
        <f aca="false">COUNTIF($M$10:$M$123,A86)</f>
        <v>1</v>
      </c>
      <c r="C86" s="2" t="n">
        <f aca="false">COUNTIF($N$10:$N$102,A86)</f>
        <v>0</v>
      </c>
      <c r="D86" s="4" t="n">
        <v>3</v>
      </c>
      <c r="E86" s="18" t="n">
        <f aca="false">LOG10($B$4/D86)</f>
        <v>0.823908740944319</v>
      </c>
      <c r="F86" s="18" t="n">
        <f aca="false">B86*E86</f>
        <v>0.823908740944319</v>
      </c>
      <c r="G86" s="18" t="n">
        <f aca="false">C86*E86</f>
        <v>0</v>
      </c>
      <c r="H86" s="18" t="n">
        <f aca="false">F86*G86</f>
        <v>0</v>
      </c>
      <c r="I86" s="18" t="n">
        <f aca="false">F86^2</f>
        <v>0.678825613404453</v>
      </c>
      <c r="J86" s="18" t="n">
        <f aca="false">G86^2</f>
        <v>0</v>
      </c>
      <c r="M86" s="4" t="s">
        <v>156</v>
      </c>
      <c r="N86" s="4" t="s">
        <v>61</v>
      </c>
    </row>
    <row r="87" customFormat="false" ht="15" hidden="false" customHeight="false" outlineLevel="0" collapsed="false">
      <c r="A87" s="4" t="s">
        <v>118</v>
      </c>
      <c r="B87" s="2" t="n">
        <f aca="false">COUNTIF($M$10:$M$123,A87)</f>
        <v>1</v>
      </c>
      <c r="C87" s="2" t="n">
        <f aca="false">COUNTIF($N$10:$N$102,A87)</f>
        <v>1</v>
      </c>
      <c r="D87" s="4" t="n">
        <v>10</v>
      </c>
      <c r="E87" s="18" t="n">
        <f aca="false">LOG10($B$4/D87)</f>
        <v>0.301029995663981</v>
      </c>
      <c r="F87" s="18" t="n">
        <f aca="false">B87*E87</f>
        <v>0.301029995663981</v>
      </c>
      <c r="G87" s="18" t="n">
        <f aca="false">C87*E87</f>
        <v>0.301029995663981</v>
      </c>
      <c r="H87" s="18" t="n">
        <f aca="false">F87*G87</f>
        <v>0.0906190582894565</v>
      </c>
      <c r="I87" s="18" t="n">
        <f aca="false">F87^2</f>
        <v>0.0906190582894565</v>
      </c>
      <c r="J87" s="18" t="n">
        <f aca="false">G87^2</f>
        <v>0.0906190582894565</v>
      </c>
      <c r="M87" s="4" t="s">
        <v>182</v>
      </c>
      <c r="N87" s="4" t="s">
        <v>137</v>
      </c>
    </row>
    <row r="88" customFormat="false" ht="15" hidden="false" customHeight="false" outlineLevel="0" collapsed="false">
      <c r="A88" s="4" t="s">
        <v>212</v>
      </c>
      <c r="B88" s="2" t="n">
        <f aca="false">COUNTIF($M$10:$M$123,A88)</f>
        <v>1</v>
      </c>
      <c r="C88" s="2" t="n">
        <f aca="false">COUNTIF($N$10:$N$102,A88)</f>
        <v>0</v>
      </c>
      <c r="D88" s="4" t="n">
        <v>2</v>
      </c>
      <c r="E88" s="18" t="n">
        <f aca="false">LOG10($B$4/D88)</f>
        <v>1</v>
      </c>
      <c r="F88" s="18" t="n">
        <f aca="false">B88*E88</f>
        <v>1</v>
      </c>
      <c r="G88" s="18" t="n">
        <f aca="false">C88*E88</f>
        <v>0</v>
      </c>
      <c r="H88" s="18" t="n">
        <f aca="false">F88*G88</f>
        <v>0</v>
      </c>
      <c r="I88" s="18" t="n">
        <f aca="false">F88^2</f>
        <v>1</v>
      </c>
      <c r="J88" s="18" t="n">
        <f aca="false">G88^2</f>
        <v>0</v>
      </c>
      <c r="M88" s="4" t="s">
        <v>192</v>
      </c>
      <c r="N88" s="4" t="s">
        <v>138</v>
      </c>
    </row>
    <row r="89" customFormat="false" ht="15" hidden="false" customHeight="false" outlineLevel="0" collapsed="false">
      <c r="A89" s="4" t="s">
        <v>213</v>
      </c>
      <c r="B89" s="2" t="n">
        <f aca="false">COUNTIF($M$10:$M$123,A89)</f>
        <v>1</v>
      </c>
      <c r="C89" s="2" t="n">
        <f aca="false">COUNTIF($N$10:$N$102,A89)</f>
        <v>0</v>
      </c>
      <c r="D89" s="4" t="n">
        <v>1</v>
      </c>
      <c r="E89" s="18" t="n">
        <f aca="false">LOG10($B$4/D89)</f>
        <v>1.30102999566398</v>
      </c>
      <c r="F89" s="18" t="n">
        <f aca="false">B89*E89</f>
        <v>1.30102999566398</v>
      </c>
      <c r="G89" s="18" t="n">
        <f aca="false">C89*E89</f>
        <v>0</v>
      </c>
      <c r="H89" s="18" t="n">
        <f aca="false">F89*G89</f>
        <v>0</v>
      </c>
      <c r="I89" s="18" t="n">
        <f aca="false">F89^2</f>
        <v>1.69267904961742</v>
      </c>
      <c r="J89" s="18" t="n">
        <f aca="false">G89^2</f>
        <v>0</v>
      </c>
      <c r="M89" s="4" t="s">
        <v>193</v>
      </c>
      <c r="N89" s="4" t="s">
        <v>139</v>
      </c>
    </row>
    <row r="90" customFormat="false" ht="15" hidden="false" customHeight="false" outlineLevel="0" collapsed="false">
      <c r="A90" s="4" t="s">
        <v>214</v>
      </c>
      <c r="B90" s="2" t="n">
        <f aca="false">COUNTIF($M$10:$M$123,A90)</f>
        <v>1</v>
      </c>
      <c r="C90" s="2" t="n">
        <f aca="false">COUNTIF($N$10:$N$102,A90)</f>
        <v>0</v>
      </c>
      <c r="D90" s="4" t="n">
        <v>2</v>
      </c>
      <c r="E90" s="18" t="n">
        <f aca="false">LOG10($B$4/D90)</f>
        <v>1</v>
      </c>
      <c r="F90" s="18" t="n">
        <f aca="false">B90*E90</f>
        <v>1</v>
      </c>
      <c r="G90" s="18" t="n">
        <f aca="false">C90*E90</f>
        <v>0</v>
      </c>
      <c r="H90" s="18" t="n">
        <f aca="false">F90*G90</f>
        <v>0</v>
      </c>
      <c r="I90" s="18" t="n">
        <f aca="false">F90^2</f>
        <v>1</v>
      </c>
      <c r="J90" s="18" t="n">
        <f aca="false">G90^2</f>
        <v>0</v>
      </c>
      <c r="M90" s="4" t="s">
        <v>194</v>
      </c>
      <c r="N90" s="4" t="s">
        <v>140</v>
      </c>
    </row>
    <row r="91" customFormat="false" ht="15" hidden="false" customHeight="false" outlineLevel="0" collapsed="false">
      <c r="A91" s="4" t="s">
        <v>57</v>
      </c>
      <c r="B91" s="2" t="n">
        <f aca="false">COUNTIF($M$10:$M$123,A91)</f>
        <v>0</v>
      </c>
      <c r="C91" s="2" t="n">
        <f aca="false">COUNTIF($N$10:$N$102,A91)</f>
        <v>1</v>
      </c>
      <c r="D91" s="4" t="n">
        <v>1</v>
      </c>
      <c r="E91" s="18" t="n">
        <f aca="false">LOG10($B$4/D91)</f>
        <v>1.30102999566398</v>
      </c>
      <c r="F91" s="18" t="n">
        <f aca="false">B91*E91</f>
        <v>0</v>
      </c>
      <c r="G91" s="18" t="n">
        <f aca="false">C91*E91</f>
        <v>1.30102999566398</v>
      </c>
      <c r="H91" s="18" t="n">
        <f aca="false">F91*G91</f>
        <v>0</v>
      </c>
      <c r="I91" s="18" t="n">
        <f aca="false">F91^2</f>
        <v>0</v>
      </c>
      <c r="J91" s="18" t="n">
        <f aca="false">G91^2</f>
        <v>1.69267904961742</v>
      </c>
      <c r="M91" s="4" t="s">
        <v>195</v>
      </c>
      <c r="N91" s="4" t="s">
        <v>141</v>
      </c>
    </row>
    <row r="92" customFormat="false" ht="15" hidden="false" customHeight="false" outlineLevel="0" collapsed="false">
      <c r="A92" s="4" t="s">
        <v>62</v>
      </c>
      <c r="B92" s="2" t="n">
        <f aca="false">COUNTIF($M$10:$M$123,A92)</f>
        <v>0</v>
      </c>
      <c r="C92" s="2" t="n">
        <f aca="false">COUNTIF($N$10:$N$102,A92)</f>
        <v>1</v>
      </c>
      <c r="D92" s="4" t="n">
        <v>3</v>
      </c>
      <c r="E92" s="18" t="n">
        <f aca="false">LOG10($B$4/D92)</f>
        <v>0.823908740944319</v>
      </c>
      <c r="F92" s="18" t="n">
        <f aca="false">B92*E92</f>
        <v>0</v>
      </c>
      <c r="G92" s="18" t="n">
        <f aca="false">C92*E92</f>
        <v>0.823908740944319</v>
      </c>
      <c r="H92" s="18" t="n">
        <f aca="false">F92*G92</f>
        <v>0</v>
      </c>
      <c r="I92" s="18" t="n">
        <f aca="false">F92^2</f>
        <v>0</v>
      </c>
      <c r="J92" s="18" t="n">
        <f aca="false">G92^2</f>
        <v>0.678825613404453</v>
      </c>
      <c r="M92" s="4" t="s">
        <v>89</v>
      </c>
      <c r="N92" s="4" t="s">
        <v>142</v>
      </c>
    </row>
    <row r="93" customFormat="false" ht="15" hidden="false" customHeight="false" outlineLevel="0" collapsed="false">
      <c r="A93" s="4" t="s">
        <v>63</v>
      </c>
      <c r="B93" s="2" t="n">
        <f aca="false">COUNTIF($M$10:$M$123,A93)</f>
        <v>0</v>
      </c>
      <c r="C93" s="2" t="n">
        <f aca="false">COUNTIF($N$10:$N$102,A93)</f>
        <v>1</v>
      </c>
      <c r="D93" s="4" t="n">
        <v>2</v>
      </c>
      <c r="E93" s="18" t="n">
        <f aca="false">LOG10($B$4/D93)</f>
        <v>1</v>
      </c>
      <c r="F93" s="18" t="n">
        <f aca="false">B93*E93</f>
        <v>0</v>
      </c>
      <c r="G93" s="18" t="n">
        <f aca="false">C93*E93</f>
        <v>1</v>
      </c>
      <c r="H93" s="18" t="n">
        <f aca="false">F93*G93</f>
        <v>0</v>
      </c>
      <c r="I93" s="18" t="n">
        <f aca="false">F93^2</f>
        <v>0</v>
      </c>
      <c r="J93" s="18" t="n">
        <f aca="false">G93^2</f>
        <v>1</v>
      </c>
      <c r="M93" s="4" t="s">
        <v>61</v>
      </c>
      <c r="N93" s="4" t="s">
        <v>143</v>
      </c>
    </row>
    <row r="94" customFormat="false" ht="15" hidden="false" customHeight="false" outlineLevel="0" collapsed="false">
      <c r="A94" s="4" t="s">
        <v>88</v>
      </c>
      <c r="B94" s="2" t="n">
        <f aca="false">COUNTIF($M$10:$M$123,A94)</f>
        <v>0</v>
      </c>
      <c r="C94" s="2" t="n">
        <f aca="false">COUNTIF($N$10:$N$102,A94)</f>
        <v>1</v>
      </c>
      <c r="D94" s="4" t="n">
        <v>4</v>
      </c>
      <c r="E94" s="18" t="n">
        <f aca="false">LOG10($B$4/D94)</f>
        <v>0.698970004336019</v>
      </c>
      <c r="F94" s="18" t="n">
        <f aca="false">B94*E94</f>
        <v>0</v>
      </c>
      <c r="G94" s="18" t="n">
        <f aca="false">C94*E94</f>
        <v>0.698970004336019</v>
      </c>
      <c r="H94" s="18" t="n">
        <f aca="false">F94*G94</f>
        <v>0</v>
      </c>
      <c r="I94" s="18" t="n">
        <f aca="false">F94^2</f>
        <v>0</v>
      </c>
      <c r="J94" s="18" t="n">
        <f aca="false">G94^2</f>
        <v>0.488559066961494</v>
      </c>
      <c r="M94" s="4" t="s">
        <v>196</v>
      </c>
      <c r="N94" s="4" t="s">
        <v>58</v>
      </c>
    </row>
    <row r="95" customFormat="false" ht="15" hidden="false" customHeight="false" outlineLevel="0" collapsed="false">
      <c r="A95" s="4" t="s">
        <v>90</v>
      </c>
      <c r="B95" s="2" t="n">
        <f aca="false">COUNTIF($M$10:$M$123,A95)</f>
        <v>0</v>
      </c>
      <c r="C95" s="2" t="n">
        <f aca="false">COUNTIF($N$10:$N$102,A95)</f>
        <v>2</v>
      </c>
      <c r="D95" s="4" t="n">
        <v>3</v>
      </c>
      <c r="E95" s="18" t="n">
        <f aca="false">LOG10($B$4/D95)</f>
        <v>0.823908740944319</v>
      </c>
      <c r="F95" s="18" t="n">
        <f aca="false">B95*E95</f>
        <v>0</v>
      </c>
      <c r="G95" s="18" t="n">
        <f aca="false">C95*E95</f>
        <v>1.64781748188864</v>
      </c>
      <c r="H95" s="18" t="n">
        <f aca="false">F95*G95</f>
        <v>0</v>
      </c>
      <c r="I95" s="18" t="n">
        <f aca="false">F95^2</f>
        <v>0</v>
      </c>
      <c r="J95" s="18" t="n">
        <f aca="false">G95^2</f>
        <v>2.71530245361781</v>
      </c>
      <c r="M95" s="4" t="s">
        <v>197</v>
      </c>
      <c r="N95" s="4" t="s">
        <v>61</v>
      </c>
    </row>
    <row r="96" customFormat="false" ht="15" hidden="false" customHeight="false" outlineLevel="0" collapsed="false">
      <c r="A96" s="4" t="s">
        <v>91</v>
      </c>
      <c r="B96" s="2" t="n">
        <f aca="false">COUNTIF($M$10:$M$123,A96)</f>
        <v>0</v>
      </c>
      <c r="C96" s="2" t="n">
        <f aca="false">COUNTIF($N$10:$N$102,A96)</f>
        <v>2</v>
      </c>
      <c r="D96" s="4" t="n">
        <v>1</v>
      </c>
      <c r="E96" s="18" t="n">
        <f aca="false">LOG10($B$4/D96)</f>
        <v>1.30102999566398</v>
      </c>
      <c r="F96" s="18" t="n">
        <f aca="false">B96*E96</f>
        <v>0</v>
      </c>
      <c r="G96" s="18" t="n">
        <f aca="false">C96*E96</f>
        <v>2.60205999132796</v>
      </c>
      <c r="H96" s="18" t="n">
        <f aca="false">F96*G96</f>
        <v>0</v>
      </c>
      <c r="I96" s="18" t="n">
        <f aca="false">F96^2</f>
        <v>0</v>
      </c>
      <c r="J96" s="18" t="n">
        <f aca="false">G96^2</f>
        <v>6.77071619846968</v>
      </c>
      <c r="M96" s="4" t="s">
        <v>198</v>
      </c>
      <c r="N96" s="4" t="s">
        <v>144</v>
      </c>
    </row>
    <row r="97" customFormat="false" ht="15" hidden="false" customHeight="false" outlineLevel="0" collapsed="false">
      <c r="A97" s="4" t="s">
        <v>93</v>
      </c>
      <c r="B97" s="2" t="n">
        <f aca="false">COUNTIF($M$10:$M$123,A97)</f>
        <v>0</v>
      </c>
      <c r="C97" s="2" t="n">
        <f aca="false">COUNTIF($N$10:$N$102,A97)</f>
        <v>1</v>
      </c>
      <c r="D97" s="4" t="n">
        <v>1</v>
      </c>
      <c r="E97" s="18" t="n">
        <f aca="false">LOG10($B$4/D97)</f>
        <v>1.30102999566398</v>
      </c>
      <c r="F97" s="18" t="n">
        <f aca="false">B97*E97</f>
        <v>0</v>
      </c>
      <c r="G97" s="18" t="n">
        <f aca="false">C97*E97</f>
        <v>1.30102999566398</v>
      </c>
      <c r="H97" s="18" t="n">
        <f aca="false">F97*G97</f>
        <v>0</v>
      </c>
      <c r="I97" s="18" t="n">
        <f aca="false">F97^2</f>
        <v>0</v>
      </c>
      <c r="J97" s="18" t="n">
        <f aca="false">G97^2</f>
        <v>1.69267904961742</v>
      </c>
      <c r="M97" s="4" t="s">
        <v>199</v>
      </c>
      <c r="N97" s="4" t="s">
        <v>145</v>
      </c>
    </row>
    <row r="98" customFormat="false" ht="15" hidden="false" customHeight="false" outlineLevel="0" collapsed="false">
      <c r="A98" s="4" t="s">
        <v>94</v>
      </c>
      <c r="B98" s="2" t="n">
        <f aca="false">COUNTIF($M$10:$M$123,A98)</f>
        <v>0</v>
      </c>
      <c r="C98" s="2" t="n">
        <f aca="false">COUNTIF($N$10:$N$102,A98)</f>
        <v>1</v>
      </c>
      <c r="D98" s="4" t="n">
        <v>1</v>
      </c>
      <c r="E98" s="18" t="n">
        <f aca="false">LOG10($B$4/D98)</f>
        <v>1.30102999566398</v>
      </c>
      <c r="F98" s="18" t="n">
        <f aca="false">B98*E98</f>
        <v>0</v>
      </c>
      <c r="G98" s="18" t="n">
        <f aca="false">C98*E98</f>
        <v>1.30102999566398</v>
      </c>
      <c r="H98" s="18" t="n">
        <f aca="false">F98*G98</f>
        <v>0</v>
      </c>
      <c r="I98" s="18" t="n">
        <f aca="false">F98^2</f>
        <v>0</v>
      </c>
      <c r="J98" s="18" t="n">
        <f aca="false">G98^2</f>
        <v>1.69267904961742</v>
      </c>
      <c r="M98" s="4" t="s">
        <v>179</v>
      </c>
      <c r="N98" s="4" t="s">
        <v>146</v>
      </c>
    </row>
    <row r="99" customFormat="false" ht="15" hidden="false" customHeight="false" outlineLevel="0" collapsed="false">
      <c r="A99" s="4" t="s">
        <v>95</v>
      </c>
      <c r="B99" s="2" t="n">
        <f aca="false">COUNTIF($M$10:$M$123,A99)</f>
        <v>0</v>
      </c>
      <c r="C99" s="2" t="n">
        <f aca="false">COUNTIF($N$10:$N$102,A99)</f>
        <v>1</v>
      </c>
      <c r="D99" s="4" t="n">
        <v>2</v>
      </c>
      <c r="E99" s="18" t="n">
        <f aca="false">LOG10($B$4/D99)</f>
        <v>1</v>
      </c>
      <c r="F99" s="18" t="n">
        <f aca="false">B99*E99</f>
        <v>0</v>
      </c>
      <c r="G99" s="18" t="n">
        <f aca="false">C99*E99</f>
        <v>1</v>
      </c>
      <c r="H99" s="18" t="n">
        <f aca="false">F99*G99</f>
        <v>0</v>
      </c>
      <c r="I99" s="18" t="n">
        <f aca="false">F99^2</f>
        <v>0</v>
      </c>
      <c r="J99" s="18" t="n">
        <f aca="false">G99^2</f>
        <v>1</v>
      </c>
      <c r="M99" s="4" t="s">
        <v>200</v>
      </c>
      <c r="N99" s="4" t="s">
        <v>147</v>
      </c>
    </row>
    <row r="100" customFormat="false" ht="15" hidden="false" customHeight="false" outlineLevel="0" collapsed="false">
      <c r="A100" s="4" t="s">
        <v>96</v>
      </c>
      <c r="B100" s="2" t="n">
        <f aca="false">COUNTIF($M$10:$M$123,A100)</f>
        <v>0</v>
      </c>
      <c r="C100" s="2" t="n">
        <f aca="false">COUNTIF($N$10:$N$102,A100)</f>
        <v>1</v>
      </c>
      <c r="D100" s="4" t="n">
        <v>4</v>
      </c>
      <c r="E100" s="18" t="n">
        <f aca="false">LOG10($B$4/D100)</f>
        <v>0.698970004336019</v>
      </c>
      <c r="F100" s="18" t="n">
        <f aca="false">B100*E100</f>
        <v>0</v>
      </c>
      <c r="G100" s="18" t="n">
        <f aca="false">C100*E100</f>
        <v>0.698970004336019</v>
      </c>
      <c r="H100" s="18" t="n">
        <f aca="false">F100*G100</f>
        <v>0</v>
      </c>
      <c r="I100" s="18" t="n">
        <f aca="false">F100^2</f>
        <v>0</v>
      </c>
      <c r="J100" s="18" t="n">
        <f aca="false">G100^2</f>
        <v>0.488559066961494</v>
      </c>
      <c r="M100" s="4" t="s">
        <v>201</v>
      </c>
      <c r="N100" s="4" t="s">
        <v>148</v>
      </c>
    </row>
    <row r="101" customFormat="false" ht="15" hidden="false" customHeight="false" outlineLevel="0" collapsed="false">
      <c r="A101" s="4" t="s">
        <v>98</v>
      </c>
      <c r="B101" s="2" t="n">
        <f aca="false">COUNTIF($M$10:$M$123,A101)</f>
        <v>0</v>
      </c>
      <c r="C101" s="2" t="n">
        <f aca="false">COUNTIF($N$10:$N$102,A101)</f>
        <v>3</v>
      </c>
      <c r="D101" s="4" t="n">
        <v>4</v>
      </c>
      <c r="E101" s="18" t="n">
        <f aca="false">LOG10($B$4/D101)</f>
        <v>0.698970004336019</v>
      </c>
      <c r="F101" s="18" t="n">
        <f aca="false">B101*E101</f>
        <v>0</v>
      </c>
      <c r="G101" s="18" t="n">
        <f aca="false">C101*E101</f>
        <v>2.09691001300806</v>
      </c>
      <c r="H101" s="18" t="n">
        <f aca="false">F101*G101</f>
        <v>0</v>
      </c>
      <c r="I101" s="18" t="n">
        <f aca="false">F101^2</f>
        <v>0</v>
      </c>
      <c r="J101" s="18" t="n">
        <f aca="false">G101^2</f>
        <v>4.39703160265345</v>
      </c>
      <c r="M101" s="4" t="s">
        <v>61</v>
      </c>
      <c r="N101" s="4" t="s">
        <v>98</v>
      </c>
    </row>
    <row r="102" customFormat="false" ht="15" hidden="false" customHeight="false" outlineLevel="0" collapsed="false">
      <c r="A102" s="4" t="s">
        <v>100</v>
      </c>
      <c r="B102" s="2" t="n">
        <f aca="false">COUNTIF($M$10:$M$123,A102)</f>
        <v>0</v>
      </c>
      <c r="C102" s="2" t="n">
        <f aca="false">COUNTIF($N$10:$N$102,A102)</f>
        <v>1</v>
      </c>
      <c r="D102" s="4" t="n">
        <v>2</v>
      </c>
      <c r="E102" s="18" t="n">
        <f aca="false">LOG10($B$4/D102)</f>
        <v>1</v>
      </c>
      <c r="F102" s="18" t="n">
        <f aca="false">B102*E102</f>
        <v>0</v>
      </c>
      <c r="G102" s="18" t="n">
        <f aca="false">C102*E102</f>
        <v>1</v>
      </c>
      <c r="H102" s="18" t="n">
        <f aca="false">F102*G102</f>
        <v>0</v>
      </c>
      <c r="I102" s="18" t="n">
        <f aca="false">F102^2</f>
        <v>0</v>
      </c>
      <c r="J102" s="18" t="n">
        <f aca="false">G102^2</f>
        <v>1</v>
      </c>
      <c r="M102" s="4" t="s">
        <v>89</v>
      </c>
      <c r="N102" s="4" t="s">
        <v>125</v>
      </c>
    </row>
    <row r="103" customFormat="false" ht="15" hidden="false" customHeight="false" outlineLevel="0" collapsed="false">
      <c r="A103" s="4" t="s">
        <v>101</v>
      </c>
      <c r="B103" s="2" t="n">
        <f aca="false">COUNTIF($M$10:$M$123,A103)</f>
        <v>0</v>
      </c>
      <c r="C103" s="2" t="n">
        <f aca="false">COUNTIF($N$10:$N$102,A103)</f>
        <v>1</v>
      </c>
      <c r="D103" s="4" t="n">
        <v>1</v>
      </c>
      <c r="E103" s="18" t="n">
        <f aca="false">LOG10($B$4/D103)</f>
        <v>1.30102999566398</v>
      </c>
      <c r="F103" s="18" t="n">
        <f aca="false">B103*E103</f>
        <v>0</v>
      </c>
      <c r="G103" s="18" t="n">
        <f aca="false">C103*E103</f>
        <v>1.30102999566398</v>
      </c>
      <c r="H103" s="18" t="n">
        <f aca="false">F103*G103</f>
        <v>0</v>
      </c>
      <c r="I103" s="18" t="n">
        <f aca="false">F103^2</f>
        <v>0</v>
      </c>
      <c r="J103" s="18" t="n">
        <f aca="false">G103^2</f>
        <v>1.69267904961742</v>
      </c>
      <c r="M103" s="4" t="s">
        <v>202</v>
      </c>
    </row>
    <row r="104" customFormat="false" ht="15" hidden="false" customHeight="false" outlineLevel="0" collapsed="false">
      <c r="A104" s="4" t="s">
        <v>102</v>
      </c>
      <c r="B104" s="2" t="n">
        <f aca="false">COUNTIF($M$10:$M$123,A104)</f>
        <v>0</v>
      </c>
      <c r="C104" s="2" t="n">
        <f aca="false">COUNTIF($N$10:$N$102,A104)</f>
        <v>1</v>
      </c>
      <c r="D104" s="4" t="n">
        <v>1</v>
      </c>
      <c r="E104" s="18" t="n">
        <f aca="false">LOG10($B$4/D104)</f>
        <v>1.30102999566398</v>
      </c>
      <c r="F104" s="18" t="n">
        <f aca="false">B104*E104</f>
        <v>0</v>
      </c>
      <c r="G104" s="18" t="n">
        <f aca="false">C104*E104</f>
        <v>1.30102999566398</v>
      </c>
      <c r="H104" s="18" t="n">
        <f aca="false">F104*G104</f>
        <v>0</v>
      </c>
      <c r="I104" s="18" t="n">
        <f aca="false">F104^2</f>
        <v>0</v>
      </c>
      <c r="J104" s="18" t="n">
        <f aca="false">G104^2</f>
        <v>1.69267904961742</v>
      </c>
      <c r="M104" s="4" t="s">
        <v>203</v>
      </c>
    </row>
    <row r="105" customFormat="false" ht="15" hidden="false" customHeight="false" outlineLevel="0" collapsed="false">
      <c r="A105" s="4" t="s">
        <v>103</v>
      </c>
      <c r="B105" s="2" t="n">
        <f aca="false">COUNTIF($M$10:$M$123,A105)</f>
        <v>0</v>
      </c>
      <c r="C105" s="2" t="n">
        <f aca="false">COUNTIF($N$10:$N$102,A105)</f>
        <v>1</v>
      </c>
      <c r="D105" s="4" t="n">
        <v>4</v>
      </c>
      <c r="E105" s="18" t="n">
        <f aca="false">LOG10($B$4/D105)</f>
        <v>0.698970004336019</v>
      </c>
      <c r="F105" s="18" t="n">
        <f aca="false">B105*E105</f>
        <v>0</v>
      </c>
      <c r="G105" s="18" t="n">
        <f aca="false">C105*E105</f>
        <v>0.698970004336019</v>
      </c>
      <c r="H105" s="18" t="n">
        <f aca="false">F105*G105</f>
        <v>0</v>
      </c>
      <c r="I105" s="18" t="n">
        <f aca="false">F105^2</f>
        <v>0</v>
      </c>
      <c r="J105" s="18" t="n">
        <f aca="false">G105^2</f>
        <v>0.488559066961494</v>
      </c>
      <c r="M105" s="4" t="s">
        <v>179</v>
      </c>
    </row>
    <row r="106" customFormat="false" ht="15" hidden="false" customHeight="false" outlineLevel="0" collapsed="false">
      <c r="A106" s="4" t="s">
        <v>104</v>
      </c>
      <c r="B106" s="2" t="n">
        <f aca="false">COUNTIF($M$10:$M$123,A106)</f>
        <v>0</v>
      </c>
      <c r="C106" s="2" t="n">
        <f aca="false">COUNTIF($N$10:$N$102,A106)</f>
        <v>1</v>
      </c>
      <c r="D106" s="4" t="n">
        <v>1</v>
      </c>
      <c r="E106" s="18" t="n">
        <f aca="false">LOG10($B$4/D106)</f>
        <v>1.30102999566398</v>
      </c>
      <c r="F106" s="18" t="n">
        <f aca="false">B106*E106</f>
        <v>0</v>
      </c>
      <c r="G106" s="18" t="n">
        <f aca="false">C106*E106</f>
        <v>1.30102999566398</v>
      </c>
      <c r="H106" s="18" t="n">
        <f aca="false">F106*G106</f>
        <v>0</v>
      </c>
      <c r="I106" s="18" t="n">
        <f aca="false">F106^2</f>
        <v>0</v>
      </c>
      <c r="J106" s="18" t="n">
        <f aca="false">G106^2</f>
        <v>1.69267904961742</v>
      </c>
      <c r="M106" s="4" t="s">
        <v>204</v>
      </c>
    </row>
    <row r="107" customFormat="false" ht="15" hidden="false" customHeight="false" outlineLevel="0" collapsed="false">
      <c r="A107" s="4" t="s">
        <v>105</v>
      </c>
      <c r="B107" s="2" t="n">
        <f aca="false">COUNTIF($M$10:$M$123,A107)</f>
        <v>0</v>
      </c>
      <c r="C107" s="2" t="n">
        <f aca="false">COUNTIF($N$10:$N$102,A107)</f>
        <v>2</v>
      </c>
      <c r="D107" s="4" t="n">
        <v>3</v>
      </c>
      <c r="E107" s="18" t="n">
        <f aca="false">LOG10($B$4/D107)</f>
        <v>0.823908740944319</v>
      </c>
      <c r="F107" s="18" t="n">
        <f aca="false">B107*E107</f>
        <v>0</v>
      </c>
      <c r="G107" s="18" t="n">
        <f aca="false">C107*E107</f>
        <v>1.64781748188864</v>
      </c>
      <c r="H107" s="18" t="n">
        <f aca="false">F107*G107</f>
        <v>0</v>
      </c>
      <c r="I107" s="18" t="n">
        <f aca="false">F107^2</f>
        <v>0</v>
      </c>
      <c r="J107" s="18" t="n">
        <f aca="false">G107^2</f>
        <v>2.71530245361781</v>
      </c>
      <c r="M107" s="4" t="s">
        <v>205</v>
      </c>
    </row>
    <row r="108" customFormat="false" ht="15" hidden="false" customHeight="false" outlineLevel="0" collapsed="false">
      <c r="A108" s="4" t="s">
        <v>106</v>
      </c>
      <c r="B108" s="2" t="n">
        <f aca="false">COUNTIF($M$10:$M$123,A108)</f>
        <v>0</v>
      </c>
      <c r="C108" s="2" t="n">
        <f aca="false">COUNTIF($N$10:$N$102,A108)</f>
        <v>1</v>
      </c>
      <c r="D108" s="4" t="n">
        <v>1</v>
      </c>
      <c r="E108" s="18" t="n">
        <f aca="false">LOG10($B$4/D108)</f>
        <v>1.30102999566398</v>
      </c>
      <c r="F108" s="18" t="n">
        <f aca="false">B108*E108</f>
        <v>0</v>
      </c>
      <c r="G108" s="18" t="n">
        <f aca="false">C108*E108</f>
        <v>1.30102999566398</v>
      </c>
      <c r="H108" s="18" t="n">
        <f aca="false">F108*G108</f>
        <v>0</v>
      </c>
      <c r="I108" s="18" t="n">
        <f aca="false">F108^2</f>
        <v>0</v>
      </c>
      <c r="J108" s="18" t="n">
        <f aca="false">G108^2</f>
        <v>1.69267904961742</v>
      </c>
      <c r="M108" s="4" t="s">
        <v>206</v>
      </c>
    </row>
    <row r="109" customFormat="false" ht="15" hidden="false" customHeight="false" outlineLevel="0" collapsed="false">
      <c r="A109" s="4" t="s">
        <v>107</v>
      </c>
      <c r="B109" s="2" t="n">
        <f aca="false">COUNTIF($M$10:$M$123,A109)</f>
        <v>0</v>
      </c>
      <c r="C109" s="2" t="n">
        <f aca="false">COUNTIF($N$10:$N$102,A109)</f>
        <v>1</v>
      </c>
      <c r="D109" s="4" t="n">
        <v>2</v>
      </c>
      <c r="E109" s="18" t="n">
        <f aca="false">LOG10($B$4/D109)</f>
        <v>1</v>
      </c>
      <c r="F109" s="18" t="n">
        <f aca="false">B109*E109</f>
        <v>0</v>
      </c>
      <c r="G109" s="18" t="n">
        <f aca="false">C109*E109</f>
        <v>1</v>
      </c>
      <c r="H109" s="18" t="n">
        <f aca="false">F109*G109</f>
        <v>0</v>
      </c>
      <c r="I109" s="18" t="n">
        <f aca="false">F109^2</f>
        <v>0</v>
      </c>
      <c r="J109" s="18" t="n">
        <f aca="false">G109^2</f>
        <v>1</v>
      </c>
      <c r="M109" s="4" t="s">
        <v>207</v>
      </c>
    </row>
    <row r="110" customFormat="false" ht="15" hidden="false" customHeight="false" outlineLevel="0" collapsed="false">
      <c r="A110" s="4" t="s">
        <v>109</v>
      </c>
      <c r="B110" s="2" t="n">
        <f aca="false">COUNTIF($M$10:$M$123,A110)</f>
        <v>0</v>
      </c>
      <c r="C110" s="2" t="n">
        <f aca="false">COUNTIF($N$10:$N$102,A110)</f>
        <v>1</v>
      </c>
      <c r="D110" s="4" t="n">
        <v>1</v>
      </c>
      <c r="E110" s="18" t="n">
        <f aca="false">LOG10($B$4/D110)</f>
        <v>1.30102999566398</v>
      </c>
      <c r="F110" s="18" t="n">
        <f aca="false">B110*E110</f>
        <v>0</v>
      </c>
      <c r="G110" s="18" t="n">
        <f aca="false">C110*E110</f>
        <v>1.30102999566398</v>
      </c>
      <c r="H110" s="18" t="n">
        <f aca="false">F110*G110</f>
        <v>0</v>
      </c>
      <c r="I110" s="18" t="n">
        <f aca="false">F110^2</f>
        <v>0</v>
      </c>
      <c r="J110" s="18" t="n">
        <f aca="false">G110^2</f>
        <v>1.69267904961742</v>
      </c>
      <c r="M110" s="4" t="s">
        <v>89</v>
      </c>
    </row>
    <row r="111" customFormat="false" ht="15" hidden="false" customHeight="false" outlineLevel="0" collapsed="false">
      <c r="A111" s="4" t="s">
        <v>110</v>
      </c>
      <c r="B111" s="2" t="n">
        <f aca="false">COUNTIF($M$10:$M$123,A111)</f>
        <v>0</v>
      </c>
      <c r="C111" s="2" t="n">
        <f aca="false">COUNTIF($N$10:$N$102,A111)</f>
        <v>1</v>
      </c>
      <c r="D111" s="4" t="n">
        <v>1</v>
      </c>
      <c r="E111" s="18" t="n">
        <f aca="false">LOG10($B$4/D111)</f>
        <v>1.30102999566398</v>
      </c>
      <c r="F111" s="18" t="n">
        <f aca="false">B111*E111</f>
        <v>0</v>
      </c>
      <c r="G111" s="18" t="n">
        <f aca="false">C111*E111</f>
        <v>1.30102999566398</v>
      </c>
      <c r="H111" s="18" t="n">
        <f aca="false">F111*G111</f>
        <v>0</v>
      </c>
      <c r="I111" s="18" t="n">
        <f aca="false">F111^2</f>
        <v>0</v>
      </c>
      <c r="J111" s="18" t="n">
        <f aca="false">G111^2</f>
        <v>1.69267904961742</v>
      </c>
      <c r="M111" s="4" t="s">
        <v>208</v>
      </c>
    </row>
    <row r="112" customFormat="false" ht="15" hidden="false" customHeight="false" outlineLevel="0" collapsed="false">
      <c r="A112" s="4" t="s">
        <v>111</v>
      </c>
      <c r="B112" s="2" t="n">
        <f aca="false">COUNTIF($M$10:$M$123,A112)</f>
        <v>0</v>
      </c>
      <c r="C112" s="2" t="n">
        <f aca="false">COUNTIF($N$10:$N$102,A112)</f>
        <v>1</v>
      </c>
      <c r="D112" s="4" t="n">
        <v>1</v>
      </c>
      <c r="E112" s="18" t="n">
        <f aca="false">LOG10($B$4/D112)</f>
        <v>1.30102999566398</v>
      </c>
      <c r="F112" s="18" t="n">
        <f aca="false">B112*E112</f>
        <v>0</v>
      </c>
      <c r="G112" s="18" t="n">
        <f aca="false">C112*E112</f>
        <v>1.30102999566398</v>
      </c>
      <c r="H112" s="18" t="n">
        <f aca="false">F112*G112</f>
        <v>0</v>
      </c>
      <c r="I112" s="18" t="n">
        <f aca="false">F112^2</f>
        <v>0</v>
      </c>
      <c r="J112" s="18" t="n">
        <f aca="false">G112^2</f>
        <v>1.69267904961742</v>
      </c>
      <c r="M112" s="4" t="s">
        <v>209</v>
      </c>
    </row>
    <row r="113" customFormat="false" ht="15" hidden="false" customHeight="false" outlineLevel="0" collapsed="false">
      <c r="A113" s="4" t="s">
        <v>112</v>
      </c>
      <c r="B113" s="2" t="n">
        <f aca="false">COUNTIF($M$10:$M$123,A113)</f>
        <v>0</v>
      </c>
      <c r="C113" s="2" t="n">
        <f aca="false">COUNTIF($N$10:$N$102,A113)</f>
        <v>1</v>
      </c>
      <c r="D113" s="4" t="n">
        <v>1</v>
      </c>
      <c r="E113" s="18" t="n">
        <f aca="false">LOG10($B$4/D113)</f>
        <v>1.30102999566398</v>
      </c>
      <c r="F113" s="18" t="n">
        <f aca="false">B113*E113</f>
        <v>0</v>
      </c>
      <c r="G113" s="18" t="n">
        <f aca="false">C113*E113</f>
        <v>1.30102999566398</v>
      </c>
      <c r="H113" s="18" t="n">
        <f aca="false">F113*G113</f>
        <v>0</v>
      </c>
      <c r="I113" s="18" t="n">
        <f aca="false">F113^2</f>
        <v>0</v>
      </c>
      <c r="J113" s="18" t="n">
        <f aca="false">G113^2</f>
        <v>1.69267904961742</v>
      </c>
      <c r="M113" s="4" t="s">
        <v>180</v>
      </c>
    </row>
    <row r="114" customFormat="false" ht="15" hidden="false" customHeight="false" outlineLevel="0" collapsed="false">
      <c r="A114" s="4" t="s">
        <v>113</v>
      </c>
      <c r="B114" s="2" t="n">
        <f aca="false">COUNTIF($M$10:$M$123,A114)</f>
        <v>0</v>
      </c>
      <c r="C114" s="2" t="n">
        <f aca="false">COUNTIF($N$10:$N$102,A114)</f>
        <v>2</v>
      </c>
      <c r="D114" s="4" t="n">
        <v>1</v>
      </c>
      <c r="E114" s="18" t="n">
        <f aca="false">LOG10($B$4/D114)</f>
        <v>1.30102999566398</v>
      </c>
      <c r="F114" s="18" t="n">
        <f aca="false">B114*E114</f>
        <v>0</v>
      </c>
      <c r="G114" s="18" t="n">
        <f aca="false">C114*E114</f>
        <v>2.60205999132796</v>
      </c>
      <c r="H114" s="18" t="n">
        <f aca="false">F114*G114</f>
        <v>0</v>
      </c>
      <c r="I114" s="18" t="n">
        <f aca="false">F114^2</f>
        <v>0</v>
      </c>
      <c r="J114" s="18" t="n">
        <f aca="false">G114^2</f>
        <v>6.77071619846968</v>
      </c>
      <c r="M114" s="4" t="s">
        <v>210</v>
      </c>
    </row>
    <row r="115" customFormat="false" ht="15" hidden="false" customHeight="false" outlineLevel="0" collapsed="false">
      <c r="A115" s="4" t="s">
        <v>114</v>
      </c>
      <c r="B115" s="2" t="n">
        <f aca="false">COUNTIF($M$10:$M$123,A115)</f>
        <v>0</v>
      </c>
      <c r="C115" s="2" t="n">
        <f aca="false">COUNTIF($N$10:$N$102,A115)</f>
        <v>1</v>
      </c>
      <c r="D115" s="4" t="n">
        <v>1</v>
      </c>
      <c r="E115" s="18" t="n">
        <f aca="false">LOG10($B$4/D115)</f>
        <v>1.30102999566398</v>
      </c>
      <c r="F115" s="18" t="n">
        <f aca="false">B115*E115</f>
        <v>0</v>
      </c>
      <c r="G115" s="18" t="n">
        <f aca="false">C115*E115</f>
        <v>1.30102999566398</v>
      </c>
      <c r="H115" s="18" t="n">
        <f aca="false">F115*G115</f>
        <v>0</v>
      </c>
      <c r="I115" s="18" t="n">
        <f aca="false">F115^2</f>
        <v>0</v>
      </c>
      <c r="J115" s="18" t="n">
        <f aca="false">G115^2</f>
        <v>1.69267904961742</v>
      </c>
      <c r="M115" s="4" t="s">
        <v>156</v>
      </c>
    </row>
    <row r="116" customFormat="false" ht="15" hidden="false" customHeight="false" outlineLevel="0" collapsed="false">
      <c r="A116" s="4" t="s">
        <v>115</v>
      </c>
      <c r="B116" s="2" t="n">
        <f aca="false">COUNTIF($M$10:$M$123,A116)</f>
        <v>0</v>
      </c>
      <c r="C116" s="2" t="n">
        <f aca="false">COUNTIF($N$10:$N$102,A116)</f>
        <v>1</v>
      </c>
      <c r="D116" s="4" t="n">
        <v>3</v>
      </c>
      <c r="E116" s="18" t="n">
        <f aca="false">LOG10($B$4/D116)</f>
        <v>0.823908740944319</v>
      </c>
      <c r="F116" s="18" t="n">
        <f aca="false">B116*E116</f>
        <v>0</v>
      </c>
      <c r="G116" s="18" t="n">
        <f aca="false">C116*E116</f>
        <v>0.823908740944319</v>
      </c>
      <c r="H116" s="18" t="n">
        <f aca="false">F116*G116</f>
        <v>0</v>
      </c>
      <c r="I116" s="18" t="n">
        <f aca="false">F116^2</f>
        <v>0</v>
      </c>
      <c r="J116" s="18" t="n">
        <f aca="false">G116^2</f>
        <v>0.678825613404453</v>
      </c>
      <c r="M116" s="4" t="s">
        <v>135</v>
      </c>
    </row>
    <row r="117" customFormat="false" ht="15" hidden="false" customHeight="false" outlineLevel="0" collapsed="false">
      <c r="A117" s="4" t="s">
        <v>116</v>
      </c>
      <c r="B117" s="2" t="n">
        <f aca="false">COUNTIF($M$10:$M$123,A117)</f>
        <v>0</v>
      </c>
      <c r="C117" s="2" t="n">
        <f aca="false">COUNTIF($N$10:$N$102,A117)</f>
        <v>1</v>
      </c>
      <c r="D117" s="4" t="n">
        <v>4</v>
      </c>
      <c r="E117" s="18" t="n">
        <f aca="false">LOG10($B$4/D117)</f>
        <v>0.698970004336019</v>
      </c>
      <c r="F117" s="18" t="n">
        <f aca="false">B117*E117</f>
        <v>0</v>
      </c>
      <c r="G117" s="18" t="n">
        <f aca="false">C117*E117</f>
        <v>0.698970004336019</v>
      </c>
      <c r="H117" s="18" t="n">
        <f aca="false">F117*G117</f>
        <v>0</v>
      </c>
      <c r="I117" s="18" t="n">
        <f aca="false">F117^2</f>
        <v>0</v>
      </c>
      <c r="J117" s="18" t="n">
        <f aca="false">G117^2</f>
        <v>0.488559066961494</v>
      </c>
      <c r="M117" s="4" t="s">
        <v>89</v>
      </c>
    </row>
    <row r="118" customFormat="false" ht="15" hidden="false" customHeight="false" outlineLevel="0" collapsed="false">
      <c r="A118" s="4" t="s">
        <v>117</v>
      </c>
      <c r="B118" s="2" t="n">
        <f aca="false">COUNTIF($M$10:$M$123,A118)</f>
        <v>0</v>
      </c>
      <c r="C118" s="2" t="n">
        <f aca="false">COUNTIF($N$10:$N$102,A118)</f>
        <v>1</v>
      </c>
      <c r="D118" s="4" t="n">
        <v>1</v>
      </c>
      <c r="E118" s="18" t="n">
        <f aca="false">LOG10($B$4/D118)</f>
        <v>1.30102999566398</v>
      </c>
      <c r="F118" s="18" t="n">
        <f aca="false">B118*E118</f>
        <v>0</v>
      </c>
      <c r="G118" s="18" t="n">
        <f aca="false">C118*E118</f>
        <v>1.30102999566398</v>
      </c>
      <c r="H118" s="18" t="n">
        <f aca="false">F118*G118</f>
        <v>0</v>
      </c>
      <c r="I118" s="18" t="n">
        <f aca="false">F118^2</f>
        <v>0</v>
      </c>
      <c r="J118" s="18" t="n">
        <f aca="false">G118^2</f>
        <v>1.69267904961742</v>
      </c>
      <c r="M118" s="4" t="s">
        <v>211</v>
      </c>
    </row>
    <row r="119" customFormat="false" ht="15" hidden="false" customHeight="false" outlineLevel="0" collapsed="false">
      <c r="A119" s="4" t="s">
        <v>119</v>
      </c>
      <c r="B119" s="2" t="n">
        <f aca="false">COUNTIF($M$10:$M$123,A119)</f>
        <v>0</v>
      </c>
      <c r="C119" s="2" t="n">
        <f aca="false">COUNTIF($N$10:$N$102,A119)</f>
        <v>1</v>
      </c>
      <c r="D119" s="4" t="n">
        <v>1</v>
      </c>
      <c r="E119" s="18" t="n">
        <f aca="false">LOG10($B$4/D119)</f>
        <v>1.30102999566398</v>
      </c>
      <c r="F119" s="18" t="n">
        <f aca="false">B119*E119</f>
        <v>0</v>
      </c>
      <c r="G119" s="18" t="n">
        <f aca="false">C119*E119</f>
        <v>1.30102999566398</v>
      </c>
      <c r="H119" s="18" t="n">
        <f aca="false">F119*G119</f>
        <v>0</v>
      </c>
      <c r="I119" s="18" t="n">
        <f aca="false">F119^2</f>
        <v>0</v>
      </c>
      <c r="J119" s="18" t="n">
        <f aca="false">G119^2</f>
        <v>1.69267904961742</v>
      </c>
      <c r="M119" s="4" t="s">
        <v>118</v>
      </c>
    </row>
    <row r="120" customFormat="false" ht="15" hidden="false" customHeight="false" outlineLevel="0" collapsed="false">
      <c r="A120" s="4" t="s">
        <v>120</v>
      </c>
      <c r="B120" s="2" t="n">
        <f aca="false">COUNTIF($M$10:$M$123,A120)</f>
        <v>0</v>
      </c>
      <c r="C120" s="2" t="n">
        <f aca="false">COUNTIF($N$10:$N$102,A120)</f>
        <v>1</v>
      </c>
      <c r="D120" s="4" t="n">
        <v>1</v>
      </c>
      <c r="E120" s="18" t="n">
        <f aca="false">LOG10($B$4/D120)</f>
        <v>1.30102999566398</v>
      </c>
      <c r="F120" s="18" t="n">
        <f aca="false">B120*E120</f>
        <v>0</v>
      </c>
      <c r="G120" s="18" t="n">
        <f aca="false">C120*E120</f>
        <v>1.30102999566398</v>
      </c>
      <c r="H120" s="18" t="n">
        <f aca="false">F120*G120</f>
        <v>0</v>
      </c>
      <c r="I120" s="18" t="n">
        <f aca="false">F120^2</f>
        <v>0</v>
      </c>
      <c r="J120" s="18" t="n">
        <f aca="false">G120^2</f>
        <v>1.69267904961742</v>
      </c>
      <c r="M120" s="4" t="s">
        <v>212</v>
      </c>
    </row>
    <row r="121" customFormat="false" ht="15" hidden="false" customHeight="false" outlineLevel="0" collapsed="false">
      <c r="A121" s="4" t="s">
        <v>121</v>
      </c>
      <c r="B121" s="2" t="n">
        <f aca="false">COUNTIF($M$10:$M$123,A121)</f>
        <v>0</v>
      </c>
      <c r="C121" s="2" t="n">
        <f aca="false">COUNTIF($N$10:$N$102,A121)</f>
        <v>1</v>
      </c>
      <c r="D121" s="4" t="n">
        <v>4</v>
      </c>
      <c r="E121" s="18" t="n">
        <f aca="false">LOG10($B$4/D121)</f>
        <v>0.698970004336019</v>
      </c>
      <c r="F121" s="18" t="n">
        <f aca="false">B121*E121</f>
        <v>0</v>
      </c>
      <c r="G121" s="18" t="n">
        <f aca="false">C121*E121</f>
        <v>0.698970004336019</v>
      </c>
      <c r="H121" s="18" t="n">
        <f aca="false">F121*G121</f>
        <v>0</v>
      </c>
      <c r="I121" s="18" t="n">
        <f aca="false">F121^2</f>
        <v>0</v>
      </c>
      <c r="J121" s="18" t="n">
        <f aca="false">G121^2</f>
        <v>0.488559066961494</v>
      </c>
      <c r="M121" s="4" t="s">
        <v>213</v>
      </c>
    </row>
    <row r="122" customFormat="false" ht="15" hidden="false" customHeight="false" outlineLevel="0" collapsed="false">
      <c r="A122" s="4" t="s">
        <v>122</v>
      </c>
      <c r="B122" s="2" t="n">
        <f aca="false">COUNTIF($M$10:$M$123,A122)</f>
        <v>0</v>
      </c>
      <c r="C122" s="2" t="n">
        <f aca="false">COUNTIF($N$10:$N$102,A122)</f>
        <v>1</v>
      </c>
      <c r="D122" s="4" t="n">
        <v>1</v>
      </c>
      <c r="E122" s="18" t="n">
        <f aca="false">LOG10($B$4/D122)</f>
        <v>1.30102999566398</v>
      </c>
      <c r="F122" s="18" t="n">
        <f aca="false">B122*E122</f>
        <v>0</v>
      </c>
      <c r="G122" s="18" t="n">
        <f aca="false">C122*E122</f>
        <v>1.30102999566398</v>
      </c>
      <c r="H122" s="18" t="n">
        <f aca="false">F122*G122</f>
        <v>0</v>
      </c>
      <c r="I122" s="18" t="n">
        <f aca="false">F122^2</f>
        <v>0</v>
      </c>
      <c r="J122" s="18" t="n">
        <f aca="false">G122^2</f>
        <v>1.69267904961742</v>
      </c>
      <c r="M122" s="4" t="s">
        <v>214</v>
      </c>
    </row>
    <row r="123" customFormat="false" ht="15" hidden="false" customHeight="false" outlineLevel="0" collapsed="false">
      <c r="A123" s="4" t="s">
        <v>123</v>
      </c>
      <c r="B123" s="2" t="n">
        <f aca="false">COUNTIF($M$10:$M$123,A123)</f>
        <v>0</v>
      </c>
      <c r="C123" s="2" t="n">
        <f aca="false">COUNTIF($N$10:$N$102,A123)</f>
        <v>1</v>
      </c>
      <c r="D123" s="4" t="n">
        <v>1</v>
      </c>
      <c r="E123" s="18" t="n">
        <f aca="false">LOG10($B$4/D123)</f>
        <v>1.30102999566398</v>
      </c>
      <c r="F123" s="18" t="n">
        <f aca="false">B123*E123</f>
        <v>0</v>
      </c>
      <c r="G123" s="18" t="n">
        <f aca="false">C123*E123</f>
        <v>1.30102999566398</v>
      </c>
      <c r="H123" s="18" t="n">
        <f aca="false">F123*G123</f>
        <v>0</v>
      </c>
      <c r="I123" s="18" t="n">
        <f aca="false">F123^2</f>
        <v>0</v>
      </c>
      <c r="J123" s="18" t="n">
        <f aca="false">G123^2</f>
        <v>1.69267904961742</v>
      </c>
      <c r="M123" s="4" t="s">
        <v>206</v>
      </c>
    </row>
    <row r="124" customFormat="false" ht="15" hidden="false" customHeight="false" outlineLevel="0" collapsed="false">
      <c r="A124" s="4" t="s">
        <v>124</v>
      </c>
      <c r="B124" s="2" t="n">
        <f aca="false">COUNTIF($M$10:$M$123,A124)</f>
        <v>0</v>
      </c>
      <c r="C124" s="2" t="n">
        <f aca="false">COUNTIF($N$10:$N$102,A124)</f>
        <v>1</v>
      </c>
      <c r="D124" s="4" t="n">
        <v>2</v>
      </c>
      <c r="E124" s="18" t="n">
        <f aca="false">LOG10($B$4/D124)</f>
        <v>1</v>
      </c>
      <c r="F124" s="18" t="n">
        <f aca="false">B124*E124</f>
        <v>0</v>
      </c>
      <c r="G124" s="18" t="n">
        <f aca="false">C124*E124</f>
        <v>1</v>
      </c>
      <c r="H124" s="18" t="n">
        <f aca="false">F124*G124</f>
        <v>0</v>
      </c>
      <c r="I124" s="18" t="n">
        <f aca="false">F124^2</f>
        <v>0</v>
      </c>
      <c r="J124" s="18" t="n">
        <f aca="false">G124^2</f>
        <v>1</v>
      </c>
    </row>
    <row r="125" customFormat="false" ht="15" hidden="false" customHeight="false" outlineLevel="0" collapsed="false">
      <c r="A125" s="4" t="s">
        <v>125</v>
      </c>
      <c r="B125" s="2" t="n">
        <f aca="false">COUNTIF($M$10:$M$123,A125)</f>
        <v>0</v>
      </c>
      <c r="C125" s="2" t="n">
        <f aca="false">COUNTIF($N$10:$N$102,A125)</f>
        <v>3</v>
      </c>
      <c r="D125" s="4" t="n">
        <v>3</v>
      </c>
      <c r="E125" s="18" t="n">
        <f aca="false">LOG10($B$4/D125)</f>
        <v>0.823908740944319</v>
      </c>
      <c r="F125" s="18" t="n">
        <f aca="false">B125*E125</f>
        <v>0</v>
      </c>
      <c r="G125" s="18" t="n">
        <f aca="false">C125*E125</f>
        <v>2.47172622283296</v>
      </c>
      <c r="H125" s="18" t="n">
        <f aca="false">F125*G125</f>
        <v>0</v>
      </c>
      <c r="I125" s="18" t="n">
        <f aca="false">F125^2</f>
        <v>0</v>
      </c>
      <c r="J125" s="18" t="n">
        <f aca="false">G125^2</f>
        <v>6.10943052064007</v>
      </c>
    </row>
    <row r="126" customFormat="false" ht="15" hidden="false" customHeight="false" outlineLevel="0" collapsed="false">
      <c r="A126" s="4" t="s">
        <v>126</v>
      </c>
      <c r="B126" s="2" t="n">
        <f aca="false">COUNTIF($M$10:$M$123,A126)</f>
        <v>0</v>
      </c>
      <c r="C126" s="2" t="n">
        <f aca="false">COUNTIF($N$10:$N$102,A126)</f>
        <v>1</v>
      </c>
      <c r="D126" s="4" t="n">
        <v>1</v>
      </c>
      <c r="E126" s="18" t="n">
        <f aca="false">LOG10($B$4/D126)</f>
        <v>1.30102999566398</v>
      </c>
      <c r="F126" s="18" t="n">
        <f aca="false">B126*E126</f>
        <v>0</v>
      </c>
      <c r="G126" s="18" t="n">
        <f aca="false">C126*E126</f>
        <v>1.30102999566398</v>
      </c>
      <c r="H126" s="18" t="n">
        <f aca="false">F126*G126</f>
        <v>0</v>
      </c>
      <c r="I126" s="18" t="n">
        <f aca="false">F126^2</f>
        <v>0</v>
      </c>
      <c r="J126" s="18" t="n">
        <f aca="false">G126^2</f>
        <v>1.69267904961742</v>
      </c>
    </row>
    <row r="127" customFormat="false" ht="15" hidden="false" customHeight="false" outlineLevel="0" collapsed="false">
      <c r="A127" s="4" t="s">
        <v>127</v>
      </c>
      <c r="B127" s="2" t="n">
        <f aca="false">COUNTIF($M$10:$M$123,A127)</f>
        <v>0</v>
      </c>
      <c r="C127" s="2" t="n">
        <f aca="false">COUNTIF($N$10:$N$102,A127)</f>
        <v>1</v>
      </c>
      <c r="D127" s="4" t="n">
        <v>3</v>
      </c>
      <c r="E127" s="18" t="n">
        <f aca="false">LOG10($B$4/D127)</f>
        <v>0.823908740944319</v>
      </c>
      <c r="F127" s="18" t="n">
        <f aca="false">B127*E127</f>
        <v>0</v>
      </c>
      <c r="G127" s="18" t="n">
        <f aca="false">C127*E127</f>
        <v>0.823908740944319</v>
      </c>
      <c r="H127" s="18" t="n">
        <f aca="false">F127*G127</f>
        <v>0</v>
      </c>
      <c r="I127" s="18" t="n">
        <f aca="false">F127^2</f>
        <v>0</v>
      </c>
      <c r="J127" s="18" t="n">
        <f aca="false">G127^2</f>
        <v>0.678825613404453</v>
      </c>
    </row>
    <row r="128" customFormat="false" ht="15" hidden="false" customHeight="false" outlineLevel="0" collapsed="false">
      <c r="A128" s="4" t="s">
        <v>128</v>
      </c>
      <c r="B128" s="2" t="n">
        <f aca="false">COUNTIF($M$10:$M$123,A128)</f>
        <v>0</v>
      </c>
      <c r="C128" s="2" t="n">
        <f aca="false">COUNTIF($N$10:$N$102,A128)</f>
        <v>2</v>
      </c>
      <c r="D128" s="4" t="n">
        <v>1</v>
      </c>
      <c r="E128" s="18" t="n">
        <f aca="false">LOG10($B$4/D128)</f>
        <v>1.30102999566398</v>
      </c>
      <c r="F128" s="18" t="n">
        <f aca="false">B128*E128</f>
        <v>0</v>
      </c>
      <c r="G128" s="18" t="n">
        <f aca="false">C128*E128</f>
        <v>2.60205999132796</v>
      </c>
      <c r="H128" s="18" t="n">
        <f aca="false">F128*G128</f>
        <v>0</v>
      </c>
      <c r="I128" s="18" t="n">
        <f aca="false">F128^2</f>
        <v>0</v>
      </c>
      <c r="J128" s="18" t="n">
        <f aca="false">G128^2</f>
        <v>6.77071619846968</v>
      </c>
    </row>
    <row r="129" customFormat="false" ht="15" hidden="false" customHeight="false" outlineLevel="0" collapsed="false">
      <c r="A129" s="4" t="s">
        <v>129</v>
      </c>
      <c r="B129" s="2" t="n">
        <f aca="false">COUNTIF($M$10:$M$123,A129)</f>
        <v>0</v>
      </c>
      <c r="C129" s="2" t="n">
        <f aca="false">COUNTIF($N$10:$N$102,A129)</f>
        <v>1</v>
      </c>
      <c r="D129" s="4" t="n">
        <v>1</v>
      </c>
      <c r="E129" s="18" t="n">
        <f aca="false">LOG10($B$4/D129)</f>
        <v>1.30102999566398</v>
      </c>
      <c r="F129" s="18" t="n">
        <f aca="false">B129*E129</f>
        <v>0</v>
      </c>
      <c r="G129" s="18" t="n">
        <f aca="false">C129*E129</f>
        <v>1.30102999566398</v>
      </c>
      <c r="H129" s="18" t="n">
        <f aca="false">F129*G129</f>
        <v>0</v>
      </c>
      <c r="I129" s="18" t="n">
        <f aca="false">F129^2</f>
        <v>0</v>
      </c>
      <c r="J129" s="18" t="n">
        <f aca="false">G129^2</f>
        <v>1.69267904961742</v>
      </c>
    </row>
    <row r="130" customFormat="false" ht="15" hidden="false" customHeight="false" outlineLevel="0" collapsed="false">
      <c r="A130" s="4" t="s">
        <v>130</v>
      </c>
      <c r="B130" s="2" t="n">
        <f aca="false">COUNTIF($M$10:$M$123,A130)</f>
        <v>0</v>
      </c>
      <c r="C130" s="2" t="n">
        <f aca="false">COUNTIF($N$10:$N$102,A130)</f>
        <v>1</v>
      </c>
      <c r="D130" s="4" t="n">
        <v>2</v>
      </c>
      <c r="E130" s="18" t="n">
        <f aca="false">LOG10($B$4/D130)</f>
        <v>1</v>
      </c>
      <c r="F130" s="18" t="n">
        <f aca="false">B130*E130</f>
        <v>0</v>
      </c>
      <c r="G130" s="18" t="n">
        <f aca="false">C130*E130</f>
        <v>1</v>
      </c>
      <c r="H130" s="18" t="n">
        <f aca="false">F130*G130</f>
        <v>0</v>
      </c>
      <c r="I130" s="18" t="n">
        <f aca="false">F130^2</f>
        <v>0</v>
      </c>
      <c r="J130" s="18" t="n">
        <f aca="false">G130^2</f>
        <v>1</v>
      </c>
    </row>
    <row r="131" customFormat="false" ht="15" hidden="false" customHeight="false" outlineLevel="0" collapsed="false">
      <c r="A131" s="4" t="s">
        <v>131</v>
      </c>
      <c r="B131" s="2" t="n">
        <f aca="false">COUNTIF($M$10:$M$123,A131)</f>
        <v>0</v>
      </c>
      <c r="C131" s="2" t="n">
        <f aca="false">COUNTIF($N$10:$N$102,A131)</f>
        <v>1</v>
      </c>
      <c r="D131" s="4" t="n">
        <v>1</v>
      </c>
      <c r="E131" s="18" t="n">
        <f aca="false">LOG10($B$4/D131)</f>
        <v>1.30102999566398</v>
      </c>
      <c r="F131" s="18" t="n">
        <f aca="false">B131*E131</f>
        <v>0</v>
      </c>
      <c r="G131" s="18" t="n">
        <f aca="false">C131*E131</f>
        <v>1.30102999566398</v>
      </c>
      <c r="H131" s="18" t="n">
        <f aca="false">F131*G131</f>
        <v>0</v>
      </c>
      <c r="I131" s="18" t="n">
        <f aca="false">F131^2</f>
        <v>0</v>
      </c>
      <c r="J131" s="18" t="n">
        <f aca="false">G131^2</f>
        <v>1.69267904961742</v>
      </c>
    </row>
    <row r="132" customFormat="false" ht="15" hidden="false" customHeight="false" outlineLevel="0" collapsed="false">
      <c r="A132" s="4" t="s">
        <v>132</v>
      </c>
      <c r="B132" s="2" t="n">
        <f aca="false">COUNTIF($M$10:$M$123,A132)</f>
        <v>0</v>
      </c>
      <c r="C132" s="2" t="n">
        <f aca="false">COUNTIF($N$10:$N$102,A132)</f>
        <v>1</v>
      </c>
      <c r="D132" s="4" t="n">
        <v>1</v>
      </c>
      <c r="E132" s="18" t="n">
        <f aca="false">LOG10($B$4/D132)</f>
        <v>1.30102999566398</v>
      </c>
      <c r="F132" s="18" t="n">
        <f aca="false">B132*E132</f>
        <v>0</v>
      </c>
      <c r="G132" s="18" t="n">
        <f aca="false">C132*E132</f>
        <v>1.30102999566398</v>
      </c>
      <c r="H132" s="18" t="n">
        <f aca="false">F132*G132</f>
        <v>0</v>
      </c>
      <c r="I132" s="18" t="n">
        <f aca="false">F132^2</f>
        <v>0</v>
      </c>
      <c r="J132" s="18" t="n">
        <f aca="false">G132^2</f>
        <v>1.69267904961742</v>
      </c>
    </row>
    <row r="133" customFormat="false" ht="15" hidden="false" customHeight="false" outlineLevel="0" collapsed="false">
      <c r="A133" s="4" t="s">
        <v>133</v>
      </c>
      <c r="B133" s="2" t="n">
        <f aca="false">COUNTIF($M$10:$M$123,A133)</f>
        <v>0</v>
      </c>
      <c r="C133" s="2" t="n">
        <f aca="false">COUNTIF($N$10:$N$102,A133)</f>
        <v>1</v>
      </c>
      <c r="D133" s="4" t="n">
        <v>1</v>
      </c>
      <c r="E133" s="18" t="n">
        <f aca="false">LOG10($B$4/D133)</f>
        <v>1.30102999566398</v>
      </c>
      <c r="F133" s="18" t="n">
        <f aca="false">B133*E133</f>
        <v>0</v>
      </c>
      <c r="G133" s="18" t="n">
        <f aca="false">C133*E133</f>
        <v>1.30102999566398</v>
      </c>
      <c r="H133" s="18" t="n">
        <f aca="false">F133*G133</f>
        <v>0</v>
      </c>
      <c r="I133" s="18" t="n">
        <f aca="false">F133^2</f>
        <v>0</v>
      </c>
      <c r="J133" s="18" t="n">
        <f aca="false">G133^2</f>
        <v>1.69267904961742</v>
      </c>
    </row>
    <row r="134" customFormat="false" ht="15" hidden="false" customHeight="false" outlineLevel="0" collapsed="false">
      <c r="A134" s="4" t="s">
        <v>134</v>
      </c>
      <c r="B134" s="2" t="n">
        <f aca="false">COUNTIF($M$10:$M$123,A134)</f>
        <v>0</v>
      </c>
      <c r="C134" s="2" t="n">
        <f aca="false">COUNTIF($N$10:$N$102,A134)</f>
        <v>1</v>
      </c>
      <c r="D134" s="4" t="n">
        <v>1</v>
      </c>
      <c r="E134" s="18" t="n">
        <f aca="false">LOG10($B$4/D134)</f>
        <v>1.30102999566398</v>
      </c>
      <c r="F134" s="18" t="n">
        <f aca="false">B134*E134</f>
        <v>0</v>
      </c>
      <c r="G134" s="18" t="n">
        <f aca="false">C134*E134</f>
        <v>1.30102999566398</v>
      </c>
      <c r="H134" s="18" t="n">
        <f aca="false">F134*G134</f>
        <v>0</v>
      </c>
      <c r="I134" s="18" t="n">
        <f aca="false">F134^2</f>
        <v>0</v>
      </c>
      <c r="J134" s="18" t="n">
        <f aca="false">G134^2</f>
        <v>1.69267904961742</v>
      </c>
    </row>
    <row r="135" customFormat="false" ht="15" hidden="false" customHeight="false" outlineLevel="0" collapsed="false">
      <c r="A135" s="4" t="s">
        <v>136</v>
      </c>
      <c r="B135" s="2" t="n">
        <f aca="false">COUNTIF($M$10:$M$123,A135)</f>
        <v>0</v>
      </c>
      <c r="C135" s="2" t="n">
        <f aca="false">COUNTIF($N$10:$N$102,A135)</f>
        <v>1</v>
      </c>
      <c r="D135" s="4" t="n">
        <v>1</v>
      </c>
      <c r="E135" s="18" t="n">
        <f aca="false">LOG10($B$4/D135)</f>
        <v>1.30102999566398</v>
      </c>
      <c r="F135" s="18" t="n">
        <f aca="false">B135*E135</f>
        <v>0</v>
      </c>
      <c r="G135" s="18" t="n">
        <f aca="false">C135*E135</f>
        <v>1.30102999566398</v>
      </c>
      <c r="H135" s="18" t="n">
        <f aca="false">F135*G135</f>
        <v>0</v>
      </c>
      <c r="I135" s="18" t="n">
        <f aca="false">F135^2</f>
        <v>0</v>
      </c>
      <c r="J135" s="18" t="n">
        <f aca="false">G135^2</f>
        <v>1.69267904961742</v>
      </c>
    </row>
    <row r="136" customFormat="false" ht="15" hidden="false" customHeight="false" outlineLevel="0" collapsed="false">
      <c r="A136" s="4" t="s">
        <v>137</v>
      </c>
      <c r="B136" s="2" t="n">
        <f aca="false">COUNTIF($M$10:$M$123,A136)</f>
        <v>0</v>
      </c>
      <c r="C136" s="2" t="n">
        <f aca="false">COUNTIF($N$10:$N$102,A136)</f>
        <v>1</v>
      </c>
      <c r="D136" s="4" t="n">
        <v>4</v>
      </c>
      <c r="E136" s="18" t="n">
        <f aca="false">LOG10($B$4/D136)</f>
        <v>0.698970004336019</v>
      </c>
      <c r="F136" s="18" t="n">
        <f aca="false">B136*E136</f>
        <v>0</v>
      </c>
      <c r="G136" s="18" t="n">
        <f aca="false">C136*E136</f>
        <v>0.698970004336019</v>
      </c>
      <c r="H136" s="18" t="n">
        <f aca="false">F136*G136</f>
        <v>0</v>
      </c>
      <c r="I136" s="18" t="n">
        <f aca="false">F136^2</f>
        <v>0</v>
      </c>
      <c r="J136" s="18" t="n">
        <f aca="false">G136^2</f>
        <v>0.488559066961494</v>
      </c>
    </row>
    <row r="137" customFormat="false" ht="15" hidden="false" customHeight="false" outlineLevel="0" collapsed="false">
      <c r="A137" s="4" t="s">
        <v>138</v>
      </c>
      <c r="B137" s="2" t="n">
        <f aca="false">COUNTIF($M$10:$M$123,A137)</f>
        <v>0</v>
      </c>
      <c r="C137" s="2" t="n">
        <f aca="false">COUNTIF($N$10:$N$102,A137)</f>
        <v>1</v>
      </c>
      <c r="D137" s="4" t="n">
        <v>1</v>
      </c>
      <c r="E137" s="18" t="n">
        <f aca="false">LOG10($B$4/D137)</f>
        <v>1.30102999566398</v>
      </c>
      <c r="F137" s="18" t="n">
        <f aca="false">B137*E137</f>
        <v>0</v>
      </c>
      <c r="G137" s="18" t="n">
        <f aca="false">C137*E137</f>
        <v>1.30102999566398</v>
      </c>
      <c r="H137" s="18" t="n">
        <f aca="false">F137*G137</f>
        <v>0</v>
      </c>
      <c r="I137" s="18" t="n">
        <f aca="false">F137^2</f>
        <v>0</v>
      </c>
      <c r="J137" s="18" t="n">
        <f aca="false">G137^2</f>
        <v>1.69267904961742</v>
      </c>
    </row>
    <row r="138" customFormat="false" ht="15" hidden="false" customHeight="false" outlineLevel="0" collapsed="false">
      <c r="A138" s="4" t="s">
        <v>139</v>
      </c>
      <c r="B138" s="2" t="n">
        <f aca="false">COUNTIF($M$10:$M$123,A138)</f>
        <v>0</v>
      </c>
      <c r="C138" s="2" t="n">
        <f aca="false">COUNTIF($N$10:$N$102,A138)</f>
        <v>1</v>
      </c>
      <c r="D138" s="4" t="n">
        <v>1</v>
      </c>
      <c r="E138" s="18" t="n">
        <f aca="false">LOG10($B$4/D138)</f>
        <v>1.30102999566398</v>
      </c>
      <c r="F138" s="18" t="n">
        <f aca="false">B138*E138</f>
        <v>0</v>
      </c>
      <c r="G138" s="18" t="n">
        <f aca="false">C138*E138</f>
        <v>1.30102999566398</v>
      </c>
      <c r="H138" s="18" t="n">
        <f aca="false">F138*G138</f>
        <v>0</v>
      </c>
      <c r="I138" s="18" t="n">
        <f aca="false">F138^2</f>
        <v>0</v>
      </c>
      <c r="J138" s="18" t="n">
        <f aca="false">G138^2</f>
        <v>1.69267904961742</v>
      </c>
    </row>
    <row r="139" customFormat="false" ht="15" hidden="false" customHeight="false" outlineLevel="0" collapsed="false">
      <c r="A139" s="4" t="s">
        <v>140</v>
      </c>
      <c r="B139" s="2" t="n">
        <f aca="false">COUNTIF($M$10:$M$123,A139)</f>
        <v>0</v>
      </c>
      <c r="C139" s="2" t="n">
        <f aca="false">COUNTIF($N$10:$N$102,A139)</f>
        <v>1</v>
      </c>
      <c r="D139" s="4" t="n">
        <v>1</v>
      </c>
      <c r="E139" s="18" t="n">
        <f aca="false">LOG10($B$4/D139)</f>
        <v>1.30102999566398</v>
      </c>
      <c r="F139" s="18" t="n">
        <f aca="false">B139*E139</f>
        <v>0</v>
      </c>
      <c r="G139" s="18" t="n">
        <f aca="false">C139*E139</f>
        <v>1.30102999566398</v>
      </c>
      <c r="H139" s="18" t="n">
        <f aca="false">F139*G139</f>
        <v>0</v>
      </c>
      <c r="I139" s="18" t="n">
        <f aca="false">F139^2</f>
        <v>0</v>
      </c>
      <c r="J139" s="18" t="n">
        <f aca="false">G139^2</f>
        <v>1.69267904961742</v>
      </c>
    </row>
    <row r="140" customFormat="false" ht="15" hidden="false" customHeight="false" outlineLevel="0" collapsed="false">
      <c r="A140" s="4" t="s">
        <v>141</v>
      </c>
      <c r="B140" s="2" t="n">
        <f aca="false">COUNTIF($M$10:$M$123,A140)</f>
        <v>0</v>
      </c>
      <c r="C140" s="2" t="n">
        <f aca="false">COUNTIF($N$10:$N$102,A140)</f>
        <v>1</v>
      </c>
      <c r="D140" s="4" t="n">
        <v>1</v>
      </c>
      <c r="E140" s="18" t="n">
        <f aca="false">LOG10($B$4/D140)</f>
        <v>1.30102999566398</v>
      </c>
      <c r="F140" s="18" t="n">
        <f aca="false">B140*E140</f>
        <v>0</v>
      </c>
      <c r="G140" s="18" t="n">
        <f aca="false">C140*E140</f>
        <v>1.30102999566398</v>
      </c>
      <c r="H140" s="18" t="n">
        <f aca="false">F140*G140</f>
        <v>0</v>
      </c>
      <c r="I140" s="18" t="n">
        <f aca="false">F140^2</f>
        <v>0</v>
      </c>
      <c r="J140" s="18" t="n">
        <f aca="false">G140^2</f>
        <v>1.69267904961742</v>
      </c>
    </row>
    <row r="141" customFormat="false" ht="15" hidden="false" customHeight="false" outlineLevel="0" collapsed="false">
      <c r="A141" s="4" t="s">
        <v>142</v>
      </c>
      <c r="B141" s="2" t="n">
        <f aca="false">COUNTIF($M$10:$M$123,A141)</f>
        <v>0</v>
      </c>
      <c r="C141" s="2" t="n">
        <f aca="false">COUNTIF($N$10:$N$102,A141)</f>
        <v>1</v>
      </c>
      <c r="D141" s="4" t="n">
        <v>1</v>
      </c>
      <c r="E141" s="18" t="n">
        <f aca="false">LOG10($B$4/D141)</f>
        <v>1.30102999566398</v>
      </c>
      <c r="F141" s="18" t="n">
        <f aca="false">B141*E141</f>
        <v>0</v>
      </c>
      <c r="G141" s="18" t="n">
        <f aca="false">C141*E141</f>
        <v>1.30102999566398</v>
      </c>
      <c r="H141" s="18" t="n">
        <f aca="false">F141*G141</f>
        <v>0</v>
      </c>
      <c r="I141" s="18" t="n">
        <f aca="false">F141^2</f>
        <v>0</v>
      </c>
      <c r="J141" s="18" t="n">
        <f aca="false">G141^2</f>
        <v>1.69267904961742</v>
      </c>
    </row>
    <row r="142" customFormat="false" ht="15" hidden="false" customHeight="false" outlineLevel="0" collapsed="false">
      <c r="A142" s="4" t="s">
        <v>143</v>
      </c>
      <c r="B142" s="2" t="n">
        <f aca="false">COUNTIF($M$10:$M$123,A142)</f>
        <v>0</v>
      </c>
      <c r="C142" s="2" t="n">
        <f aca="false">COUNTIF($N$10:$N$102,A142)</f>
        <v>1</v>
      </c>
      <c r="D142" s="4" t="n">
        <v>1</v>
      </c>
      <c r="E142" s="18" t="n">
        <f aca="false">LOG10($B$4/D142)</f>
        <v>1.30102999566398</v>
      </c>
      <c r="F142" s="18" t="n">
        <f aca="false">B142*E142</f>
        <v>0</v>
      </c>
      <c r="G142" s="18" t="n">
        <f aca="false">C142*E142</f>
        <v>1.30102999566398</v>
      </c>
      <c r="H142" s="18" t="n">
        <f aca="false">F142*G142</f>
        <v>0</v>
      </c>
      <c r="I142" s="18" t="n">
        <f aca="false">F142^2</f>
        <v>0</v>
      </c>
      <c r="J142" s="18" t="n">
        <f aca="false">G142^2</f>
        <v>1.69267904961742</v>
      </c>
    </row>
    <row r="143" customFormat="false" ht="15" hidden="false" customHeight="false" outlineLevel="0" collapsed="false">
      <c r="A143" s="4" t="s">
        <v>144</v>
      </c>
      <c r="B143" s="2" t="n">
        <f aca="false">COUNTIF($M$10:$M$123,A143)</f>
        <v>0</v>
      </c>
      <c r="C143" s="2" t="n">
        <f aca="false">COUNTIF($N$10:$N$102,A143)</f>
        <v>1</v>
      </c>
      <c r="D143" s="4" t="n">
        <v>1</v>
      </c>
      <c r="E143" s="18" t="n">
        <f aca="false">LOG10($B$4/D143)</f>
        <v>1.30102999566398</v>
      </c>
      <c r="F143" s="18" t="n">
        <f aca="false">B143*E143</f>
        <v>0</v>
      </c>
      <c r="G143" s="18" t="n">
        <f aca="false">C143*E143</f>
        <v>1.30102999566398</v>
      </c>
      <c r="H143" s="18" t="n">
        <f aca="false">F143*G143</f>
        <v>0</v>
      </c>
      <c r="I143" s="18" t="n">
        <f aca="false">F143^2</f>
        <v>0</v>
      </c>
      <c r="J143" s="18" t="n">
        <f aca="false">G143^2</f>
        <v>1.69267904961742</v>
      </c>
    </row>
    <row r="144" customFormat="false" ht="15" hidden="false" customHeight="false" outlineLevel="0" collapsed="false">
      <c r="A144" s="4" t="s">
        <v>145</v>
      </c>
      <c r="B144" s="2" t="n">
        <f aca="false">COUNTIF($M$10:$M$123,A144)</f>
        <v>0</v>
      </c>
      <c r="C144" s="2" t="n">
        <f aca="false">COUNTIF($N$10:$N$102,A144)</f>
        <v>1</v>
      </c>
      <c r="D144" s="4" t="n">
        <v>7</v>
      </c>
      <c r="E144" s="18" t="n">
        <f aca="false">LOG10($B$4/D144)</f>
        <v>0.455931955649724</v>
      </c>
      <c r="F144" s="18" t="n">
        <f aca="false">B144*E144</f>
        <v>0</v>
      </c>
      <c r="G144" s="18" t="n">
        <f aca="false">C144*E144</f>
        <v>0.455931955649724</v>
      </c>
      <c r="H144" s="18" t="n">
        <f aca="false">F144*G144</f>
        <v>0</v>
      </c>
      <c r="I144" s="18" t="n">
        <f aca="false">F144^2</f>
        <v>0</v>
      </c>
      <c r="J144" s="18" t="n">
        <f aca="false">G144^2</f>
        <v>0.207873948182582</v>
      </c>
    </row>
    <row r="145" customFormat="false" ht="15" hidden="false" customHeight="false" outlineLevel="0" collapsed="false">
      <c r="A145" s="4" t="s">
        <v>146</v>
      </c>
      <c r="B145" s="2" t="n">
        <f aca="false">COUNTIF($M$10:$M$123,A145)</f>
        <v>0</v>
      </c>
      <c r="C145" s="2" t="n">
        <f aca="false">COUNTIF($N$10:$N$102,A145)</f>
        <v>1</v>
      </c>
      <c r="D145" s="4" t="n">
        <v>6</v>
      </c>
      <c r="E145" s="18" t="n">
        <f aca="false">LOG10($B$4/D145)</f>
        <v>0.522878745280338</v>
      </c>
      <c r="F145" s="18" t="n">
        <f aca="false">B145*E145</f>
        <v>0</v>
      </c>
      <c r="G145" s="18" t="n">
        <f aca="false">C145*E145</f>
        <v>0.522878745280338</v>
      </c>
      <c r="H145" s="18" t="n">
        <f aca="false">F145*G145</f>
        <v>0</v>
      </c>
      <c r="I145" s="18" t="n">
        <f aca="false">F145^2</f>
        <v>0</v>
      </c>
      <c r="J145" s="18" t="n">
        <f aca="false">G145^2</f>
        <v>0.27340218226594</v>
      </c>
    </row>
    <row r="146" customFormat="false" ht="15" hidden="false" customHeight="false" outlineLevel="0" collapsed="false">
      <c r="A146" s="4" t="s">
        <v>147</v>
      </c>
      <c r="B146" s="2" t="n">
        <f aca="false">COUNTIF($M$10:$M$123,A146)</f>
        <v>0</v>
      </c>
      <c r="C146" s="2" t="n">
        <f aca="false">COUNTIF($N$10:$N$102,A146)</f>
        <v>1</v>
      </c>
      <c r="D146" s="4" t="n">
        <v>2</v>
      </c>
      <c r="E146" s="18" t="n">
        <f aca="false">LOG10($B$4/D146)</f>
        <v>1</v>
      </c>
      <c r="F146" s="18" t="n">
        <f aca="false">B146*E146</f>
        <v>0</v>
      </c>
      <c r="G146" s="18" t="n">
        <f aca="false">C146*E146</f>
        <v>1</v>
      </c>
      <c r="H146" s="18" t="n">
        <f aca="false">F146*G146</f>
        <v>0</v>
      </c>
      <c r="I146" s="18" t="n">
        <f aca="false">F146^2</f>
        <v>0</v>
      </c>
      <c r="J146" s="18" t="n">
        <f aca="false">G146^2</f>
        <v>1</v>
      </c>
    </row>
    <row r="147" customFormat="false" ht="15" hidden="false" customHeight="false" outlineLevel="0" collapsed="false">
      <c r="A147" s="4" t="s">
        <v>148</v>
      </c>
      <c r="B147" s="2" t="n">
        <f aca="false">COUNTIF($M$10:$M$123,A147)</f>
        <v>0</v>
      </c>
      <c r="C147" s="2" t="n">
        <f aca="false">COUNTIF($N$10:$N$102,A147)</f>
        <v>1</v>
      </c>
      <c r="D147" s="4" t="n">
        <v>1</v>
      </c>
      <c r="E147" s="18" t="n">
        <f aca="false">LOG10($B$4/D147)</f>
        <v>1.30102999566398</v>
      </c>
      <c r="F147" s="18" t="n">
        <f aca="false">B147*E147</f>
        <v>0</v>
      </c>
      <c r="G147" s="18" t="n">
        <f aca="false">C147*E147</f>
        <v>1.30102999566398</v>
      </c>
      <c r="H147" s="18" t="n">
        <f aca="false">F147*G147</f>
        <v>0</v>
      </c>
      <c r="I147" s="18" t="n">
        <f aca="false">F147^2</f>
        <v>0</v>
      </c>
      <c r="J147" s="18" t="n">
        <f aca="false">G147^2</f>
        <v>1.69267904961742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6" style="0" width="28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9" t="s">
        <v>238</v>
      </c>
    </row>
    <row r="2" customFormat="false" ht="15" hidden="false" customHeight="false" outlineLevel="0" collapsed="false">
      <c r="A2" s="10" t="s">
        <v>239</v>
      </c>
    </row>
    <row r="4" customFormat="false" ht="15" hidden="false" customHeight="false" outlineLevel="0" collapsed="false">
      <c r="F4" s="3" t="s">
        <v>221</v>
      </c>
      <c r="G4" s="2" t="n">
        <f aca="false">SUM(B10:B147)</f>
        <v>81</v>
      </c>
      <c r="H4" s="3" t="s">
        <v>69</v>
      </c>
      <c r="I4" s="4" t="n">
        <v>81</v>
      </c>
    </row>
    <row r="5" customFormat="false" ht="15" hidden="false" customHeight="false" outlineLevel="0" collapsed="false">
      <c r="F5" s="3" t="s">
        <v>223</v>
      </c>
      <c r="G5" s="2" t="n">
        <f aca="false">SUM(C10:C147)</f>
        <v>69</v>
      </c>
      <c r="I5" s="4" t="n">
        <v>69</v>
      </c>
    </row>
    <row r="6" customFormat="false" ht="15" hidden="false" customHeight="false" outlineLevel="0" collapsed="false">
      <c r="F6" s="3" t="s">
        <v>240</v>
      </c>
      <c r="G6" s="2" t="n">
        <f aca="false">SUM(D10:D147)</f>
        <v>12</v>
      </c>
      <c r="I6" s="4" t="n">
        <v>12</v>
      </c>
    </row>
    <row r="7" customFormat="false" ht="15" hidden="false" customHeight="false" outlineLevel="0" collapsed="false">
      <c r="F7" s="3" t="s">
        <v>241</v>
      </c>
      <c r="G7" s="2" t="n">
        <f aca="false">G4+G5-G6</f>
        <v>138</v>
      </c>
      <c r="I7" s="4" t="n">
        <v>138</v>
      </c>
    </row>
    <row r="8" customFormat="false" ht="15" hidden="false" customHeight="false" outlineLevel="0" collapsed="false">
      <c r="F8" s="3" t="s">
        <v>242</v>
      </c>
      <c r="G8" s="14" t="n">
        <f aca="false">G6/G7</f>
        <v>0.0869565217391304</v>
      </c>
      <c r="I8" s="15" t="n">
        <v>0.087</v>
      </c>
    </row>
    <row r="9" customFormat="false" ht="15" hidden="false" customHeight="false" outlineLevel="0" collapsed="false">
      <c r="A9" s="7" t="s">
        <v>243</v>
      </c>
      <c r="B9" s="7" t="s">
        <v>244</v>
      </c>
      <c r="C9" s="7" t="s">
        <v>245</v>
      </c>
      <c r="D9" s="7" t="s">
        <v>246</v>
      </c>
    </row>
    <row r="10" customFormat="false" ht="15" hidden="false" customHeight="false" outlineLevel="0" collapsed="false">
      <c r="A10" s="5" t="str">
        <f aca="false">'1.3 TF-IDF coseno'!A10</f>
        <v>generative</v>
      </c>
      <c r="B10" s="2" t="n">
        <f aca="false">IF('1.3 TF-IDF coseno'!B10&gt;0,1,0)</f>
        <v>1</v>
      </c>
      <c r="C10" s="2" t="n">
        <f aca="false">IF('1.3 TF-IDF coseno'!C10&gt;0,1,0)</f>
        <v>1</v>
      </c>
      <c r="D10" s="2" t="n">
        <f aca="false">B10*C10</f>
        <v>1</v>
      </c>
    </row>
    <row r="11" customFormat="false" ht="15" hidden="false" customHeight="false" outlineLevel="0" collapsed="false">
      <c r="A11" s="5" t="str">
        <f aca="false">'1.3 TF-IDF coseno'!A11</f>
        <v>artificial</v>
      </c>
      <c r="B11" s="2" t="n">
        <f aca="false">IF('1.3 TF-IDF coseno'!B11&gt;0,1,0)</f>
        <v>1</v>
      </c>
      <c r="C11" s="2" t="n">
        <f aca="false">IF('1.3 TF-IDF coseno'!C11&gt;0,1,0)</f>
        <v>1</v>
      </c>
      <c r="D11" s="2" t="n">
        <f aca="false">B11*C11</f>
        <v>1</v>
      </c>
    </row>
    <row r="12" customFormat="false" ht="15" hidden="false" customHeight="false" outlineLevel="0" collapsed="false">
      <c r="A12" s="5" t="str">
        <f aca="false">'1.3 TF-IDF coseno'!A12</f>
        <v>intelligence</v>
      </c>
      <c r="B12" s="2" t="n">
        <f aca="false">IF('1.3 TF-IDF coseno'!B12&gt;0,1,0)</f>
        <v>1</v>
      </c>
      <c r="C12" s="2" t="n">
        <f aca="false">IF('1.3 TF-IDF coseno'!C12&gt;0,1,0)</f>
        <v>1</v>
      </c>
      <c r="D12" s="2" t="n">
        <f aca="false">B12*C12</f>
        <v>1</v>
      </c>
    </row>
    <row r="13" customFormat="false" ht="15" hidden="false" customHeight="false" outlineLevel="0" collapsed="false">
      <c r="A13" s="5" t="str">
        <f aca="false">'1.3 TF-IDF coseno'!A13</f>
        <v>provides</v>
      </c>
      <c r="B13" s="2" t="n">
        <f aca="false">IF('1.3 TF-IDF coseno'!B13&gt;0,1,0)</f>
        <v>1</v>
      </c>
      <c r="C13" s="2" t="n">
        <f aca="false">IF('1.3 TF-IDF coseno'!C13&gt;0,1,0)</f>
        <v>0</v>
      </c>
      <c r="D13" s="2" t="n">
        <f aca="false">B13*C13</f>
        <v>0</v>
      </c>
    </row>
    <row r="14" customFormat="false" ht="15" hidden="false" customHeight="false" outlineLevel="0" collapsed="false">
      <c r="A14" s="5" t="str">
        <f aca="false">'1.3 TF-IDF coseno'!A14</f>
        <v>opportunities</v>
      </c>
      <c r="B14" s="2" t="n">
        <f aca="false">IF('1.3 TF-IDF coseno'!B14&gt;0,1,0)</f>
        <v>1</v>
      </c>
      <c r="C14" s="2" t="n">
        <f aca="false">IF('1.3 TF-IDF coseno'!C14&gt;0,1,0)</f>
        <v>0</v>
      </c>
      <c r="D14" s="2" t="n">
        <f aca="false">B14*C14</f>
        <v>0</v>
      </c>
    </row>
    <row r="15" customFormat="false" ht="15" hidden="false" customHeight="false" outlineLevel="0" collapsed="false">
      <c r="A15" s="5" t="str">
        <f aca="false">'1.3 TF-IDF coseno'!A15</f>
        <v>challenges</v>
      </c>
      <c r="B15" s="2" t="n">
        <f aca="false">IF('1.3 TF-IDF coseno'!B15&gt;0,1,0)</f>
        <v>1</v>
      </c>
      <c r="C15" s="2" t="n">
        <f aca="false">IF('1.3 TF-IDF coseno'!C15&gt;0,1,0)</f>
        <v>1</v>
      </c>
      <c r="D15" s="2" t="n">
        <f aca="false">B15*C15</f>
        <v>1</v>
      </c>
    </row>
    <row r="16" customFormat="false" ht="15" hidden="false" customHeight="false" outlineLevel="0" collapsed="false">
      <c r="A16" s="5" t="str">
        <f aca="false">'1.3 TF-IDF coseno'!A16</f>
        <v>higher</v>
      </c>
      <c r="B16" s="2" t="n">
        <f aca="false">IF('1.3 TF-IDF coseno'!B16&gt;0,1,0)</f>
        <v>1</v>
      </c>
      <c r="C16" s="2" t="n">
        <f aca="false">IF('1.3 TF-IDF coseno'!C16&gt;0,1,0)</f>
        <v>0</v>
      </c>
      <c r="D16" s="2" t="n">
        <f aca="false">B16*C16</f>
        <v>0</v>
      </c>
    </row>
    <row r="17" customFormat="false" ht="15" hidden="false" customHeight="false" outlineLevel="0" collapsed="false">
      <c r="A17" s="5" t="str">
        <f aca="false">'1.3 TF-IDF coseno'!A17</f>
        <v>education</v>
      </c>
      <c r="B17" s="2" t="n">
        <f aca="false">IF('1.3 TF-IDF coseno'!B17&gt;0,1,0)</f>
        <v>1</v>
      </c>
      <c r="C17" s="2" t="n">
        <f aca="false">IF('1.3 TF-IDF coseno'!C17&gt;0,1,0)</f>
        <v>1</v>
      </c>
      <c r="D17" s="2" t="n">
        <f aca="false">B17*C17</f>
        <v>1</v>
      </c>
    </row>
    <row r="18" customFormat="false" ht="15" hidden="false" customHeight="false" outlineLevel="0" collapsed="false">
      <c r="A18" s="5" t="str">
        <f aca="false">'1.3 TF-IDF coseno'!A18</f>
        <v>existing</v>
      </c>
      <c r="B18" s="2" t="n">
        <f aca="false">IF('1.3 TF-IDF coseno'!B18&gt;0,1,0)</f>
        <v>1</v>
      </c>
      <c r="C18" s="2" t="n">
        <f aca="false">IF('1.3 TF-IDF coseno'!C18&gt;0,1,0)</f>
        <v>0</v>
      </c>
      <c r="D18" s="2" t="n">
        <f aca="false">B18*C18</f>
        <v>0</v>
      </c>
    </row>
    <row r="19" customFormat="false" ht="15" hidden="false" customHeight="false" outlineLevel="0" collapsed="false">
      <c r="A19" s="5" t="str">
        <f aca="false">'1.3 TF-IDF coseno'!A19</f>
        <v>literature</v>
      </c>
      <c r="B19" s="2" t="n">
        <f aca="false">IF('1.3 TF-IDF coseno'!B19&gt;0,1,0)</f>
        <v>1</v>
      </c>
      <c r="C19" s="2" t="n">
        <f aca="false">IF('1.3 TF-IDF coseno'!C19&gt;0,1,0)</f>
        <v>0</v>
      </c>
      <c r="D19" s="2" t="n">
        <f aca="false">B19*C19</f>
        <v>0</v>
      </c>
    </row>
    <row r="20" customFormat="false" ht="15" hidden="false" customHeight="false" outlineLevel="0" collapsed="false">
      <c r="A20" s="5" t="str">
        <f aca="false">'1.3 TF-IDF coseno'!A20</f>
        <v>properly</v>
      </c>
      <c r="B20" s="2" t="n">
        <f aca="false">IF('1.3 TF-IDF coseno'!B20&gt;0,1,0)</f>
        <v>1</v>
      </c>
      <c r="C20" s="2" t="n">
        <f aca="false">IF('1.3 TF-IDF coseno'!C20&gt;0,1,0)</f>
        <v>0</v>
      </c>
      <c r="D20" s="2" t="n">
        <f aca="false">B20*C20</f>
        <v>0</v>
      </c>
    </row>
    <row r="21" customFormat="false" ht="15" hidden="false" customHeight="false" outlineLevel="0" collapsed="false">
      <c r="A21" s="5" t="str">
        <f aca="false">'1.3 TF-IDF coseno'!A21</f>
        <v>investigated</v>
      </c>
      <c r="B21" s="2" t="n">
        <f aca="false">IF('1.3 TF-IDF coseno'!B21&gt;0,1,0)</f>
        <v>1</v>
      </c>
      <c r="C21" s="2" t="n">
        <f aca="false">IF('1.3 TF-IDF coseno'!C21&gt;0,1,0)</f>
        <v>0</v>
      </c>
      <c r="D21" s="2" t="n">
        <f aca="false">B21*C21</f>
        <v>0</v>
      </c>
    </row>
    <row r="22" customFormat="false" ht="15" hidden="false" customHeight="false" outlineLevel="0" collapsed="false">
      <c r="A22" s="5" t="str">
        <f aca="false">'1.3 TF-IDF coseno'!A22</f>
        <v>technology</v>
      </c>
      <c r="B22" s="2" t="n">
        <f aca="false">IF('1.3 TF-IDF coseno'!B22&gt;0,1,0)</f>
        <v>1</v>
      </c>
      <c r="C22" s="2" t="n">
        <f aca="false">IF('1.3 TF-IDF coseno'!C22&gt;0,1,0)</f>
        <v>0</v>
      </c>
      <c r="D22" s="2" t="n">
        <f aca="false">B22*C22</f>
        <v>0</v>
      </c>
    </row>
    <row r="23" customFormat="false" ht="15" hidden="false" customHeight="false" outlineLevel="0" collapsed="false">
      <c r="A23" s="5" t="str">
        <f aca="false">'1.3 TF-IDF coseno'!A23</f>
        <v>impact</v>
      </c>
      <c r="B23" s="2" t="n">
        <f aca="false">IF('1.3 TF-IDF coseno'!B23&gt;0,1,0)</f>
        <v>1</v>
      </c>
      <c r="C23" s="2" t="n">
        <f aca="false">IF('1.3 TF-IDF coseno'!C23&gt;0,1,0)</f>
        <v>0</v>
      </c>
      <c r="D23" s="2" t="n">
        <f aca="false">B23*C23</f>
        <v>0</v>
      </c>
    </row>
    <row r="24" customFormat="false" ht="15" hidden="false" customHeight="false" outlineLevel="0" collapsed="false">
      <c r="A24" s="5" t="str">
        <f aca="false">'1.3 TF-IDF coseno'!A24</f>
        <v>assessment</v>
      </c>
      <c r="B24" s="2" t="n">
        <f aca="false">IF('1.3 TF-IDF coseno'!B24&gt;0,1,0)</f>
        <v>1</v>
      </c>
      <c r="C24" s="2" t="n">
        <f aca="false">IF('1.3 TF-IDF coseno'!C24&gt;0,1,0)</f>
        <v>1</v>
      </c>
      <c r="D24" s="2" t="n">
        <f aca="false">B24*C24</f>
        <v>1</v>
      </c>
    </row>
    <row r="25" customFormat="false" ht="15" hidden="false" customHeight="false" outlineLevel="0" collapsed="false">
      <c r="A25" s="5" t="str">
        <f aca="false">'1.3 TF-IDF coseno'!A25</f>
        <v>scoping</v>
      </c>
      <c r="B25" s="2" t="n">
        <f aca="false">IF('1.3 TF-IDF coseno'!B25&gt;0,1,0)</f>
        <v>1</v>
      </c>
      <c r="C25" s="2" t="n">
        <f aca="false">IF('1.3 TF-IDF coseno'!C25&gt;0,1,0)</f>
        <v>0</v>
      </c>
      <c r="D25" s="2" t="n">
        <f aca="false">B25*C25</f>
        <v>0</v>
      </c>
    </row>
    <row r="26" customFormat="false" ht="15" hidden="false" customHeight="false" outlineLevel="0" collapsed="false">
      <c r="A26" s="5" t="str">
        <f aca="false">'1.3 TF-IDF coseno'!A26</f>
        <v>review</v>
      </c>
      <c r="B26" s="2" t="n">
        <f aca="false">IF('1.3 TF-IDF coseno'!B26&gt;0,1,0)</f>
        <v>1</v>
      </c>
      <c r="C26" s="2" t="n">
        <f aca="false">IF('1.3 TF-IDF coseno'!C26&gt;0,1,0)</f>
        <v>0</v>
      </c>
      <c r="D26" s="2" t="n">
        <f aca="false">B26*C26</f>
        <v>0</v>
      </c>
    </row>
    <row r="27" customFormat="false" ht="15" hidden="false" customHeight="false" outlineLevel="0" collapsed="false">
      <c r="A27" s="5" t="str">
        <f aca="false">'1.3 TF-IDF coseno'!A27</f>
        <v>took</v>
      </c>
      <c r="B27" s="2" t="n">
        <f aca="false">IF('1.3 TF-IDF coseno'!B27&gt;0,1,0)</f>
        <v>1</v>
      </c>
      <c r="C27" s="2" t="n">
        <f aca="false">IF('1.3 TF-IDF coseno'!C27&gt;0,1,0)</f>
        <v>0</v>
      </c>
      <c r="D27" s="2" t="n">
        <f aca="false">B27*C27</f>
        <v>0</v>
      </c>
    </row>
    <row r="28" customFormat="false" ht="15" hidden="false" customHeight="false" outlineLevel="0" collapsed="false">
      <c r="A28" s="5" t="str">
        <f aca="false">'1.3 TF-IDF coseno'!A28</f>
        <v>forward</v>
      </c>
      <c r="B28" s="2" t="n">
        <f aca="false">IF('1.3 TF-IDF coseno'!B28&gt;0,1,0)</f>
        <v>1</v>
      </c>
      <c r="C28" s="2" t="n">
        <f aca="false">IF('1.3 TF-IDF coseno'!C28&gt;0,1,0)</f>
        <v>0</v>
      </c>
      <c r="D28" s="2" t="n">
        <f aca="false">B28*C28</f>
        <v>0</v>
      </c>
    </row>
    <row r="29" customFormat="false" ht="15" hidden="false" customHeight="false" outlineLevel="0" collapsed="false">
      <c r="A29" s="5" t="str">
        <f aca="false">'1.3 TF-IDF coseno'!A29</f>
        <v>thinking</v>
      </c>
      <c r="B29" s="2" t="n">
        <f aca="false">IF('1.3 TF-IDF coseno'!B29&gt;0,1,0)</f>
        <v>1</v>
      </c>
      <c r="C29" s="2" t="n">
        <f aca="false">IF('1.3 TF-IDF coseno'!C29&gt;0,1,0)</f>
        <v>0</v>
      </c>
      <c r="D29" s="2" t="n">
        <f aca="false">B29*C29</f>
        <v>0</v>
      </c>
    </row>
    <row r="30" customFormat="false" ht="15" hidden="false" customHeight="false" outlineLevel="0" collapsed="false">
      <c r="A30" s="5" t="str">
        <f aca="false">'1.3 TF-IDF coseno'!A30</f>
        <v>approach</v>
      </c>
      <c r="B30" s="2" t="n">
        <f aca="false">IF('1.3 TF-IDF coseno'!B30&gt;0,1,0)</f>
        <v>1</v>
      </c>
      <c r="C30" s="2" t="n">
        <f aca="false">IF('1.3 TF-IDF coseno'!C30&gt;0,1,0)</f>
        <v>0</v>
      </c>
      <c r="D30" s="2" t="n">
        <f aca="false">B30*C30</f>
        <v>0</v>
      </c>
    </row>
    <row r="31" customFormat="false" ht="15" hidden="false" customHeight="false" outlineLevel="0" collapsed="false">
      <c r="A31" s="5" t="str">
        <f aca="false">'1.3 TF-IDF coseno'!A31</f>
        <v>investigate</v>
      </c>
      <c r="B31" s="2" t="n">
        <f aca="false">IF('1.3 TF-IDF coseno'!B31&gt;0,1,0)</f>
        <v>1</v>
      </c>
      <c r="C31" s="2" t="n">
        <f aca="false">IF('1.3 TF-IDF coseno'!C31&gt;0,1,0)</f>
        <v>0</v>
      </c>
      <c r="D31" s="2" t="n">
        <f aca="false">B31*C31</f>
        <v>0</v>
      </c>
    </row>
    <row r="32" customFormat="false" ht="15" hidden="false" customHeight="false" outlineLevel="0" collapsed="false">
      <c r="A32" s="5" t="str">
        <f aca="false">'1.3 TF-IDF coseno'!A32</f>
        <v>transforms</v>
      </c>
      <c r="B32" s="2" t="n">
        <f aca="false">IF('1.3 TF-IDF coseno'!B32&gt;0,1,0)</f>
        <v>1</v>
      </c>
      <c r="C32" s="2" t="n">
        <f aca="false">IF('1.3 TF-IDF coseno'!C32&gt;0,1,0)</f>
        <v>0</v>
      </c>
      <c r="D32" s="2" t="n">
        <f aca="false">B32*C32</f>
        <v>0</v>
      </c>
    </row>
    <row r="33" customFormat="false" ht="15" hidden="false" customHeight="false" outlineLevel="0" collapsed="false">
      <c r="A33" s="5" t="str">
        <f aca="false">'1.3 TF-IDF coseno'!A33</f>
        <v>used</v>
      </c>
      <c r="B33" s="2" t="n">
        <f aca="false">IF('1.3 TF-IDF coseno'!B33&gt;0,1,0)</f>
        <v>1</v>
      </c>
      <c r="C33" s="2" t="n">
        <f aca="false">IF('1.3 TF-IDF coseno'!C33&gt;0,1,0)</f>
        <v>0</v>
      </c>
      <c r="D33" s="2" t="n">
        <f aca="false">B33*C33</f>
        <v>0</v>
      </c>
    </row>
    <row r="34" customFormat="false" ht="15" hidden="false" customHeight="false" outlineLevel="0" collapsed="false">
      <c r="A34" s="5" t="str">
        <f aca="false">'1.3 TF-IDF coseno'!A34</f>
        <v>prisma</v>
      </c>
      <c r="B34" s="2" t="n">
        <f aca="false">IF('1.3 TF-IDF coseno'!B34&gt;0,1,0)</f>
        <v>1</v>
      </c>
      <c r="C34" s="2" t="n">
        <f aca="false">IF('1.3 TF-IDF coseno'!C34&gt;0,1,0)</f>
        <v>0</v>
      </c>
      <c r="D34" s="2" t="n">
        <f aca="false">B34*C34</f>
        <v>0</v>
      </c>
    </row>
    <row r="35" customFormat="false" ht="15" hidden="false" customHeight="false" outlineLevel="0" collapsed="false">
      <c r="A35" s="5" t="str">
        <f aca="false">'1.3 TF-IDF coseno'!A35</f>
        <v>extension</v>
      </c>
      <c r="B35" s="2" t="n">
        <f aca="false">IF('1.3 TF-IDF coseno'!B35&gt;0,1,0)</f>
        <v>1</v>
      </c>
      <c r="C35" s="2" t="n">
        <f aca="false">IF('1.3 TF-IDF coseno'!C35&gt;0,1,0)</f>
        <v>0</v>
      </c>
      <c r="D35" s="2" t="n">
        <f aca="false">B35*C35</f>
        <v>0</v>
      </c>
    </row>
    <row r="36" customFormat="false" ht="15" hidden="false" customHeight="false" outlineLevel="0" collapsed="false">
      <c r="A36" s="5" t="str">
        <f aca="false">'1.3 TF-IDF coseno'!A36</f>
        <v>reviews</v>
      </c>
      <c r="B36" s="2" t="n">
        <f aca="false">IF('1.3 TF-IDF coseno'!B36&gt;0,1,0)</f>
        <v>1</v>
      </c>
      <c r="C36" s="2" t="n">
        <f aca="false">IF('1.3 TF-IDF coseno'!C36&gt;0,1,0)</f>
        <v>0</v>
      </c>
      <c r="D36" s="2" t="n">
        <f aca="false">B36*C36</f>
        <v>0</v>
      </c>
    </row>
    <row r="37" customFormat="false" ht="15" hidden="false" customHeight="false" outlineLevel="0" collapsed="false">
      <c r="A37" s="5" t="str">
        <f aca="false">'1.3 TF-IDF coseno'!A37</f>
        <v>select</v>
      </c>
      <c r="B37" s="2" t="n">
        <f aca="false">IF('1.3 TF-IDF coseno'!B37&gt;0,1,0)</f>
        <v>1</v>
      </c>
      <c r="C37" s="2" t="n">
        <f aca="false">IF('1.3 TF-IDF coseno'!C37&gt;0,1,0)</f>
        <v>0</v>
      </c>
      <c r="D37" s="2" t="n">
        <f aca="false">B37*C37</f>
        <v>0</v>
      </c>
    </row>
    <row r="38" customFormat="false" ht="15" hidden="false" customHeight="false" outlineLevel="0" collapsed="false">
      <c r="A38" s="5" t="str">
        <f aca="false">'1.3 TF-IDF coseno'!A38</f>
        <v>articles</v>
      </c>
      <c r="B38" s="2" t="n">
        <f aca="false">IF('1.3 TF-IDF coseno'!B38&gt;0,1,0)</f>
        <v>1</v>
      </c>
      <c r="C38" s="2" t="n">
        <f aca="false">IF('1.3 TF-IDF coseno'!C38&gt;0,1,0)</f>
        <v>0</v>
      </c>
      <c r="D38" s="2" t="n">
        <f aca="false">B38*C38</f>
        <v>0</v>
      </c>
    </row>
    <row r="39" customFormat="false" ht="15" hidden="false" customHeight="false" outlineLevel="0" collapsed="false">
      <c r="A39" s="5" t="str">
        <f aca="false">'1.3 TF-IDF coseno'!A39</f>
        <v>report</v>
      </c>
      <c r="B39" s="2" t="n">
        <f aca="false">IF('1.3 TF-IDF coseno'!B39&gt;0,1,0)</f>
        <v>1</v>
      </c>
      <c r="C39" s="2" t="n">
        <f aca="false">IF('1.3 TF-IDF coseno'!C39&gt;0,1,0)</f>
        <v>0</v>
      </c>
      <c r="D39" s="2" t="n">
        <f aca="false">B39*C39</f>
        <v>0</v>
      </c>
    </row>
    <row r="40" customFormat="false" ht="15" hidden="false" customHeight="false" outlineLevel="0" collapsed="false">
      <c r="A40" s="5" t="str">
        <f aca="false">'1.3 TF-IDF coseno'!A40</f>
        <v>results</v>
      </c>
      <c r="B40" s="2" t="n">
        <f aca="false">IF('1.3 TF-IDF coseno'!B40&gt;0,1,0)</f>
        <v>1</v>
      </c>
      <c r="C40" s="2" t="n">
        <f aca="false">IF('1.3 TF-IDF coseno'!C40&gt;0,1,0)</f>
        <v>0</v>
      </c>
      <c r="D40" s="2" t="n">
        <f aca="false">B40*C40</f>
        <v>0</v>
      </c>
    </row>
    <row r="41" customFormat="false" ht="15" hidden="false" customHeight="false" outlineLevel="0" collapsed="false">
      <c r="A41" s="5" t="str">
        <f aca="false">'1.3 TF-IDF coseno'!A41</f>
        <v>screening</v>
      </c>
      <c r="B41" s="2" t="n">
        <f aca="false">IF('1.3 TF-IDF coseno'!B41&gt;0,1,0)</f>
        <v>1</v>
      </c>
      <c r="C41" s="2" t="n">
        <f aca="false">IF('1.3 TF-IDF coseno'!C41&gt;0,1,0)</f>
        <v>0</v>
      </c>
      <c r="D41" s="2" t="n">
        <f aca="false">B41*C41</f>
        <v>0</v>
      </c>
    </row>
    <row r="42" customFormat="false" ht="15" hidden="false" customHeight="false" outlineLevel="0" collapsed="false">
      <c r="A42" s="5" t="str">
        <f aca="false">'1.3 TF-IDF coseno'!A42</f>
        <v>retrieved</v>
      </c>
      <c r="B42" s="2" t="n">
        <f aca="false">IF('1.3 TF-IDF coseno'!B42&gt;0,1,0)</f>
        <v>1</v>
      </c>
      <c r="C42" s="2" t="n">
        <f aca="false">IF('1.3 TF-IDF coseno'!C42&gt;0,1,0)</f>
        <v>1</v>
      </c>
      <c r="D42" s="2" t="n">
        <f aca="false">B42*C42</f>
        <v>1</v>
      </c>
    </row>
    <row r="43" customFormat="false" ht="15" hidden="false" customHeight="false" outlineLevel="0" collapsed="false">
      <c r="A43" s="5" t="str">
        <f aca="false">'1.3 TF-IDF coseno'!A43</f>
        <v>selected</v>
      </c>
      <c r="B43" s="2" t="n">
        <f aca="false">IF('1.3 TF-IDF coseno'!B43&gt;0,1,0)</f>
        <v>1</v>
      </c>
      <c r="C43" s="2" t="n">
        <f aca="false">IF('1.3 TF-IDF coseno'!C43&gt;0,1,0)</f>
        <v>0</v>
      </c>
      <c r="D43" s="2" t="n">
        <f aca="false">B43*C43</f>
        <v>0</v>
      </c>
    </row>
    <row r="44" customFormat="false" ht="15" hidden="false" customHeight="false" outlineLevel="0" collapsed="false">
      <c r="A44" s="5" t="str">
        <f aca="false">'1.3 TF-IDF coseno'!A44</f>
        <v>empirical</v>
      </c>
      <c r="B44" s="2" t="n">
        <f aca="false">IF('1.3 TF-IDF coseno'!B44&gt;0,1,0)</f>
        <v>1</v>
      </c>
      <c r="C44" s="2" t="n">
        <f aca="false">IF('1.3 TF-IDF coseno'!C44&gt;0,1,0)</f>
        <v>0</v>
      </c>
      <c r="D44" s="2" t="n">
        <f aca="false">B44*C44</f>
        <v>0</v>
      </c>
    </row>
    <row r="45" customFormat="false" ht="15" hidden="false" customHeight="false" outlineLevel="0" collapsed="false">
      <c r="A45" s="5" t="str">
        <f aca="false">'1.3 TF-IDF coseno'!A45</f>
        <v>studies</v>
      </c>
      <c r="B45" s="2" t="n">
        <f aca="false">IF('1.3 TF-IDF coseno'!B45&gt;0,1,0)</f>
        <v>1</v>
      </c>
      <c r="C45" s="2" t="n">
        <f aca="false">IF('1.3 TF-IDF coseno'!C45&gt;0,1,0)</f>
        <v>0</v>
      </c>
      <c r="D45" s="2" t="n">
        <f aca="false">B45*C45</f>
        <v>0</v>
      </c>
    </row>
    <row r="46" customFormat="false" ht="15" hidden="false" customHeight="false" outlineLevel="0" collapsed="false">
      <c r="A46" s="5" t="str">
        <f aca="false">'1.3 TF-IDF coseno'!A46</f>
        <v>analysis</v>
      </c>
      <c r="B46" s="2" t="n">
        <f aca="false">IF('1.3 TF-IDF coseno'!B46&gt;0,1,0)</f>
        <v>1</v>
      </c>
      <c r="C46" s="2" t="n">
        <f aca="false">IF('1.3 TF-IDF coseno'!C46&gt;0,1,0)</f>
        <v>0</v>
      </c>
      <c r="D46" s="2" t="n">
        <f aca="false">B46*C46</f>
        <v>0</v>
      </c>
    </row>
    <row r="47" customFormat="false" ht="15" hidden="false" customHeight="false" outlineLevel="0" collapsed="false">
      <c r="A47" s="5" t="str">
        <f aca="false">'1.3 TF-IDF coseno'!A47</f>
        <v>published</v>
      </c>
      <c r="B47" s="2" t="n">
        <f aca="false">IF('1.3 TF-IDF coseno'!B47&gt;0,1,0)</f>
        <v>1</v>
      </c>
      <c r="C47" s="2" t="n">
        <f aca="false">IF('1.3 TF-IDF coseno'!C47&gt;0,1,0)</f>
        <v>0</v>
      </c>
      <c r="D47" s="2" t="n">
        <f aca="false">B47*C47</f>
        <v>0</v>
      </c>
    </row>
    <row r="48" customFormat="false" ht="15" hidden="false" customHeight="false" outlineLevel="0" collapsed="false">
      <c r="A48" s="5" t="str">
        <f aca="false">'1.3 TF-IDF coseno'!A48</f>
        <v>three</v>
      </c>
      <c r="B48" s="2" t="n">
        <f aca="false">IF('1.3 TF-IDF coseno'!B48&gt;0,1,0)</f>
        <v>1</v>
      </c>
      <c r="C48" s="2" t="n">
        <f aca="false">IF('1.3 TF-IDF coseno'!C48&gt;0,1,0)</f>
        <v>0</v>
      </c>
      <c r="D48" s="2" t="n">
        <f aca="false">B48*C48</f>
        <v>0</v>
      </c>
    </row>
    <row r="49" customFormat="false" ht="15" hidden="false" customHeight="false" outlineLevel="0" collapsed="false">
      <c r="A49" s="5" t="str">
        <f aca="false">'1.3 TF-IDF coseno'!A49</f>
        <v>levels</v>
      </c>
      <c r="B49" s="2" t="n">
        <f aca="false">IF('1.3 TF-IDF coseno'!B49&gt;0,1,0)</f>
        <v>1</v>
      </c>
      <c r="C49" s="2" t="n">
        <f aca="false">IF('1.3 TF-IDF coseno'!C49&gt;0,1,0)</f>
        <v>0</v>
      </c>
      <c r="D49" s="2" t="n">
        <f aca="false">B49*C49</f>
        <v>0</v>
      </c>
    </row>
    <row r="50" customFormat="false" ht="15" hidden="false" customHeight="false" outlineLevel="0" collapsed="false">
      <c r="A50" s="5" t="str">
        <f aca="false">'1.3 TF-IDF coseno'!A50</f>
        <v>students</v>
      </c>
      <c r="B50" s="2" t="n">
        <f aca="false">IF('1.3 TF-IDF coseno'!B50&gt;0,1,0)</f>
        <v>1</v>
      </c>
      <c r="C50" s="2" t="n">
        <f aca="false">IF('1.3 TF-IDF coseno'!C50&gt;0,1,0)</f>
        <v>1</v>
      </c>
      <c r="D50" s="2" t="n">
        <f aca="false">B50*C50</f>
        <v>1</v>
      </c>
    </row>
    <row r="51" customFormat="false" ht="15" hidden="false" customHeight="false" outlineLevel="0" collapsed="false">
      <c r="A51" s="5" t="str">
        <f aca="false">'1.3 TF-IDF coseno'!A51</f>
        <v>teachers</v>
      </c>
      <c r="B51" s="2" t="n">
        <f aca="false">IF('1.3 TF-IDF coseno'!B51&gt;0,1,0)</f>
        <v>1</v>
      </c>
      <c r="C51" s="2" t="n">
        <f aca="false">IF('1.3 TF-IDF coseno'!C51&gt;0,1,0)</f>
        <v>0</v>
      </c>
      <c r="D51" s="2" t="n">
        <f aca="false">B51*C51</f>
        <v>0</v>
      </c>
    </row>
    <row r="52" customFormat="false" ht="15" hidden="false" customHeight="false" outlineLevel="0" collapsed="false">
      <c r="A52" s="5" t="str">
        <f aca="false">'1.3 TF-IDF coseno'!A52</f>
        <v>institutions</v>
      </c>
      <c r="B52" s="2" t="n">
        <f aca="false">IF('1.3 TF-IDF coseno'!B52&gt;0,1,0)</f>
        <v>1</v>
      </c>
      <c r="C52" s="2" t="n">
        <f aca="false">IF('1.3 TF-IDF coseno'!C52&gt;0,1,0)</f>
        <v>0</v>
      </c>
      <c r="D52" s="2" t="n">
        <f aca="false">B52*C52</f>
        <v>0</v>
      </c>
    </row>
    <row r="53" customFormat="false" ht="15" hidden="false" customHeight="false" outlineLevel="0" collapsed="false">
      <c r="A53" s="5" t="str">
        <f aca="false">'1.3 TF-IDF coseno'!A53</f>
        <v>analyses</v>
      </c>
      <c r="B53" s="2" t="n">
        <f aca="false">IF('1.3 TF-IDF coseno'!B53&gt;0,1,0)</f>
        <v>1</v>
      </c>
      <c r="C53" s="2" t="n">
        <f aca="false">IF('1.3 TF-IDF coseno'!C53&gt;0,1,0)</f>
        <v>0</v>
      </c>
      <c r="D53" s="2" t="n">
        <f aca="false">B53*C53</f>
        <v>0</v>
      </c>
    </row>
    <row r="54" customFormat="false" ht="15" hidden="false" customHeight="false" outlineLevel="0" collapsed="false">
      <c r="A54" s="5" t="str">
        <f aca="false">'1.3 TF-IDF coseno'!A54</f>
        <v>suggested</v>
      </c>
      <c r="B54" s="2" t="n">
        <f aca="false">IF('1.3 TF-IDF coseno'!B54&gt;0,1,0)</f>
        <v>1</v>
      </c>
      <c r="C54" s="2" t="n">
        <f aca="false">IF('1.3 TF-IDF coseno'!C54&gt;0,1,0)</f>
        <v>0</v>
      </c>
      <c r="D54" s="2" t="n">
        <f aca="false">B54*C54</f>
        <v>0</v>
      </c>
    </row>
    <row r="55" customFormat="false" ht="15" hidden="false" customHeight="false" outlineLevel="0" collapsed="false">
      <c r="A55" s="5" t="str">
        <f aca="false">'1.3 TF-IDF coseno'!A55</f>
        <v>transformed</v>
      </c>
      <c r="B55" s="2" t="n">
        <f aca="false">IF('1.3 TF-IDF coseno'!B55&gt;0,1,0)</f>
        <v>1</v>
      </c>
      <c r="C55" s="2" t="n">
        <f aca="false">IF('1.3 TF-IDF coseno'!C55&gt;0,1,0)</f>
        <v>0</v>
      </c>
      <c r="D55" s="2" t="n">
        <f aca="false">B55*C55</f>
        <v>0</v>
      </c>
    </row>
    <row r="56" customFormat="false" ht="15" hidden="false" customHeight="false" outlineLevel="0" collapsed="false">
      <c r="A56" s="5" t="str">
        <f aca="false">'1.3 TF-IDF coseno'!A56</f>
        <v>cultivate</v>
      </c>
      <c r="B56" s="2" t="n">
        <f aca="false">IF('1.3 TF-IDF coseno'!B56&gt;0,1,0)</f>
        <v>1</v>
      </c>
      <c r="C56" s="2" t="n">
        <f aca="false">IF('1.3 TF-IDF coseno'!C56&gt;0,1,0)</f>
        <v>0</v>
      </c>
      <c r="D56" s="2" t="n">
        <f aca="false">B56*C56</f>
        <v>0</v>
      </c>
    </row>
    <row r="57" customFormat="false" ht="15" hidden="false" customHeight="false" outlineLevel="0" collapsed="false">
      <c r="A57" s="5" t="str">
        <f aca="false">'1.3 TF-IDF coseno'!A57</f>
        <v>self</v>
      </c>
      <c r="B57" s="2" t="n">
        <f aca="false">IF('1.3 TF-IDF coseno'!B57&gt;0,1,0)</f>
        <v>1</v>
      </c>
      <c r="C57" s="2" t="n">
        <f aca="false">IF('1.3 TF-IDF coseno'!C57&gt;0,1,0)</f>
        <v>0</v>
      </c>
      <c r="D57" s="2" t="n">
        <f aca="false">B57*C57</f>
        <v>0</v>
      </c>
    </row>
    <row r="58" customFormat="false" ht="15" hidden="false" customHeight="false" outlineLevel="0" collapsed="false">
      <c r="A58" s="5" t="str">
        <f aca="false">'1.3 TF-IDF coseno'!A58</f>
        <v>regulated</v>
      </c>
      <c r="B58" s="2" t="n">
        <f aca="false">IF('1.3 TF-IDF coseno'!B58&gt;0,1,0)</f>
        <v>1</v>
      </c>
      <c r="C58" s="2" t="n">
        <f aca="false">IF('1.3 TF-IDF coseno'!C58&gt;0,1,0)</f>
        <v>0</v>
      </c>
      <c r="D58" s="2" t="n">
        <f aca="false">B58*C58</f>
        <v>0</v>
      </c>
    </row>
    <row r="59" customFormat="false" ht="15" hidden="false" customHeight="false" outlineLevel="0" collapsed="false">
      <c r="A59" s="5" t="str">
        <f aca="false">'1.3 TF-IDF coseno'!A59</f>
        <v>learning</v>
      </c>
      <c r="B59" s="2" t="n">
        <f aca="false">IF('1.3 TF-IDF coseno'!B59&gt;0,1,0)</f>
        <v>1</v>
      </c>
      <c r="C59" s="2" t="n">
        <f aca="false">IF('1.3 TF-IDF coseno'!C59&gt;0,1,0)</f>
        <v>0</v>
      </c>
      <c r="D59" s="2" t="n">
        <f aca="false">B59*C59</f>
        <v>0</v>
      </c>
    </row>
    <row r="60" customFormat="false" ht="15" hidden="false" customHeight="false" outlineLevel="0" collapsed="false">
      <c r="A60" s="5" t="str">
        <f aca="false">'1.3 TF-IDF coseno'!A60</f>
        <v>skills</v>
      </c>
      <c r="B60" s="2" t="n">
        <f aca="false">IF('1.3 TF-IDF coseno'!B60&gt;0,1,0)</f>
        <v>1</v>
      </c>
      <c r="C60" s="2" t="n">
        <f aca="false">IF('1.3 TF-IDF coseno'!C60&gt;0,1,0)</f>
        <v>0</v>
      </c>
      <c r="D60" s="2" t="n">
        <f aca="false">B60*C60</f>
        <v>0</v>
      </c>
    </row>
    <row r="61" customFormat="false" ht="15" hidden="false" customHeight="false" outlineLevel="0" collapsed="false">
      <c r="A61" s="5" t="str">
        <f aca="false">'1.3 TF-IDF coseno'!A61</f>
        <v>responsible</v>
      </c>
      <c r="B61" s="2" t="n">
        <f aca="false">IF('1.3 TF-IDF coseno'!B61&gt;0,1,0)</f>
        <v>1</v>
      </c>
      <c r="C61" s="2" t="n">
        <f aca="false">IF('1.3 TF-IDF coseno'!C61&gt;0,1,0)</f>
        <v>0</v>
      </c>
      <c r="D61" s="2" t="n">
        <f aca="false">B61*C61</f>
        <v>0</v>
      </c>
    </row>
    <row r="62" customFormat="false" ht="15" hidden="false" customHeight="false" outlineLevel="0" collapsed="false">
      <c r="A62" s="5" t="str">
        <f aca="false">'1.3 TF-IDF coseno'!A62</f>
        <v>integrity</v>
      </c>
      <c r="B62" s="2" t="n">
        <f aca="false">IF('1.3 TF-IDF coseno'!B62&gt;0,1,0)</f>
        <v>1</v>
      </c>
      <c r="C62" s="2" t="n">
        <f aca="false">IF('1.3 TF-IDF coseno'!C62&gt;0,1,0)</f>
        <v>1</v>
      </c>
      <c r="D62" s="2" t="n">
        <f aca="false">B62*C62</f>
        <v>1</v>
      </c>
    </row>
    <row r="63" customFormat="false" ht="15" hidden="false" customHeight="false" outlineLevel="0" collapsed="false">
      <c r="A63" s="5" t="str">
        <f aca="false">'1.3 TF-IDF coseno'!A63</f>
        <v>successfully</v>
      </c>
      <c r="B63" s="2" t="n">
        <f aca="false">IF('1.3 TF-IDF coseno'!B63&gt;0,1,0)</f>
        <v>1</v>
      </c>
      <c r="C63" s="2" t="n">
        <f aca="false">IF('1.3 TF-IDF coseno'!C63&gt;0,1,0)</f>
        <v>0</v>
      </c>
      <c r="D63" s="2" t="n">
        <f aca="false">B63*C63</f>
        <v>0</v>
      </c>
    </row>
    <row r="64" customFormat="false" ht="15" hidden="false" customHeight="false" outlineLevel="0" collapsed="false">
      <c r="A64" s="5" t="str">
        <f aca="false">'1.3 TF-IDF coseno'!A64</f>
        <v>transform</v>
      </c>
      <c r="B64" s="2" t="n">
        <f aca="false">IF('1.3 TF-IDF coseno'!B64&gt;0,1,0)</f>
        <v>1</v>
      </c>
      <c r="C64" s="2" t="n">
        <f aca="false">IF('1.3 TF-IDF coseno'!C64&gt;0,1,0)</f>
        <v>0</v>
      </c>
      <c r="D64" s="2" t="n">
        <f aca="false">B64*C64</f>
        <v>0</v>
      </c>
    </row>
    <row r="65" customFormat="false" ht="15" hidden="false" customHeight="false" outlineLevel="0" collapsed="false">
      <c r="A65" s="5" t="str">
        <f aca="false">'1.3 TF-IDF coseno'!A65</f>
        <v>teacher</v>
      </c>
      <c r="B65" s="2" t="n">
        <f aca="false">IF('1.3 TF-IDF coseno'!B65&gt;0,1,0)</f>
        <v>1</v>
      </c>
      <c r="C65" s="2" t="n">
        <f aca="false">IF('1.3 TF-IDF coseno'!C65&gt;0,1,0)</f>
        <v>0</v>
      </c>
      <c r="D65" s="2" t="n">
        <f aca="false">B65*C65</f>
        <v>0</v>
      </c>
    </row>
    <row r="66" customFormat="false" ht="15" hidden="false" customHeight="false" outlineLevel="0" collapsed="false">
      <c r="A66" s="5" t="str">
        <f aca="false">'1.3 TF-IDF coseno'!A66</f>
        <v>professional</v>
      </c>
      <c r="B66" s="2" t="n">
        <f aca="false">IF('1.3 TF-IDF coseno'!B66&gt;0,1,0)</f>
        <v>1</v>
      </c>
      <c r="C66" s="2" t="n">
        <f aca="false">IF('1.3 TF-IDF coseno'!C66&gt;0,1,0)</f>
        <v>0</v>
      </c>
      <c r="D66" s="2" t="n">
        <f aca="false">B66*C66</f>
        <v>0</v>
      </c>
    </row>
    <row r="67" customFormat="false" ht="15" hidden="false" customHeight="false" outlineLevel="0" collapsed="false">
      <c r="A67" s="5" t="str">
        <f aca="false">'1.3 TF-IDF coseno'!A67</f>
        <v>development</v>
      </c>
      <c r="B67" s="2" t="n">
        <f aca="false">IF('1.3 TF-IDF coseno'!B67&gt;0,1,0)</f>
        <v>1</v>
      </c>
      <c r="C67" s="2" t="n">
        <f aca="false">IF('1.3 TF-IDF coseno'!C67&gt;0,1,0)</f>
        <v>0</v>
      </c>
      <c r="D67" s="2" t="n">
        <f aca="false">B67*C67</f>
        <v>0</v>
      </c>
    </row>
    <row r="68" customFormat="false" ht="15" hidden="false" customHeight="false" outlineLevel="0" collapsed="false">
      <c r="A68" s="5" t="str">
        <f aca="false">'1.3 TF-IDF coseno'!A68</f>
        <v>activities</v>
      </c>
      <c r="B68" s="2" t="n">
        <f aca="false">IF('1.3 TF-IDF coseno'!B68&gt;0,1,0)</f>
        <v>1</v>
      </c>
      <c r="C68" s="2" t="n">
        <f aca="false">IF('1.3 TF-IDF coseno'!C68&gt;0,1,0)</f>
        <v>0</v>
      </c>
      <c r="D68" s="2" t="n">
        <f aca="false">B68*C68</f>
        <v>0</v>
      </c>
    </row>
    <row r="69" customFormat="false" ht="15" hidden="false" customHeight="false" outlineLevel="0" collapsed="false">
      <c r="A69" s="5" t="str">
        <f aca="false">'1.3 TF-IDF coseno'!A69</f>
        <v>ai</v>
      </c>
      <c r="B69" s="2" t="n">
        <f aca="false">IF('1.3 TF-IDF coseno'!B69&gt;0,1,0)</f>
        <v>1</v>
      </c>
      <c r="C69" s="2" t="n">
        <f aca="false">IF('1.3 TF-IDF coseno'!C69&gt;0,1,0)</f>
        <v>1</v>
      </c>
      <c r="D69" s="2" t="n">
        <f aca="false">B69*C69</f>
        <v>1</v>
      </c>
    </row>
    <row r="70" customFormat="false" ht="15" hidden="false" customHeight="false" outlineLevel="0" collapsed="false">
      <c r="A70" s="5" t="str">
        <f aca="false">'1.3 TF-IDF coseno'!A70</f>
        <v>digital</v>
      </c>
      <c r="B70" s="2" t="n">
        <f aca="false">IF('1.3 TF-IDF coseno'!B70&gt;0,1,0)</f>
        <v>1</v>
      </c>
      <c r="C70" s="2" t="n">
        <f aca="false">IF('1.3 TF-IDF coseno'!C70&gt;0,1,0)</f>
        <v>0</v>
      </c>
      <c r="D70" s="2" t="n">
        <f aca="false">B70*C70</f>
        <v>0</v>
      </c>
    </row>
    <row r="71" customFormat="false" ht="15" hidden="false" customHeight="false" outlineLevel="0" collapsed="false">
      <c r="A71" s="5" t="str">
        <f aca="false">'1.3 TF-IDF coseno'!A71</f>
        <v>literacy</v>
      </c>
      <c r="B71" s="2" t="n">
        <f aca="false">IF('1.3 TF-IDF coseno'!B71&gt;0,1,0)</f>
        <v>1</v>
      </c>
      <c r="C71" s="2" t="n">
        <f aca="false">IF('1.3 TF-IDF coseno'!C71&gt;0,1,0)</f>
        <v>0</v>
      </c>
      <c r="D71" s="2" t="n">
        <f aca="false">B71*C71</f>
        <v>0</v>
      </c>
    </row>
    <row r="72" customFormat="false" ht="15" hidden="false" customHeight="false" outlineLevel="0" collapsed="false">
      <c r="A72" s="5" t="str">
        <f aca="false">'1.3 TF-IDF coseno'!A72</f>
        <v>provided</v>
      </c>
      <c r="B72" s="2" t="n">
        <f aca="false">IF('1.3 TF-IDF coseno'!B72&gt;0,1,0)</f>
        <v>1</v>
      </c>
      <c r="C72" s="2" t="n">
        <f aca="false">IF('1.3 TF-IDF coseno'!C72&gt;0,1,0)</f>
        <v>0</v>
      </c>
      <c r="D72" s="2" t="n">
        <f aca="false">B72*C72</f>
        <v>0</v>
      </c>
    </row>
    <row r="73" customFormat="false" ht="15" hidden="false" customHeight="false" outlineLevel="0" collapsed="false">
      <c r="A73" s="5" t="str">
        <f aca="false">'1.3 TF-IDF coseno'!A73</f>
        <v>ii</v>
      </c>
      <c r="B73" s="2" t="n">
        <f aca="false">IF('1.3 TF-IDF coseno'!B73&gt;0,1,0)</f>
        <v>1</v>
      </c>
      <c r="C73" s="2" t="n">
        <f aca="false">IF('1.3 TF-IDF coseno'!C73&gt;0,1,0)</f>
        <v>0</v>
      </c>
      <c r="D73" s="2" t="n">
        <f aca="false">B73*C73</f>
        <v>0</v>
      </c>
    </row>
    <row r="74" customFormat="false" ht="15" hidden="false" customHeight="false" outlineLevel="0" collapsed="false">
      <c r="A74" s="5" t="str">
        <f aca="false">'1.3 TF-IDF coseno'!A74</f>
        <v>beliefs</v>
      </c>
      <c r="B74" s="2" t="n">
        <f aca="false">IF('1.3 TF-IDF coseno'!B74&gt;0,1,0)</f>
        <v>1</v>
      </c>
      <c r="C74" s="2" t="n">
        <f aca="false">IF('1.3 TF-IDF coseno'!C74&gt;0,1,0)</f>
        <v>0</v>
      </c>
      <c r="D74" s="2" t="n">
        <f aca="false">B74*C74</f>
        <v>0</v>
      </c>
    </row>
    <row r="75" customFormat="false" ht="15" hidden="false" customHeight="false" outlineLevel="0" collapsed="false">
      <c r="A75" s="5" t="str">
        <f aca="false">'1.3 TF-IDF coseno'!A75</f>
        <v>human</v>
      </c>
      <c r="B75" s="2" t="n">
        <f aca="false">IF('1.3 TF-IDF coseno'!B75&gt;0,1,0)</f>
        <v>1</v>
      </c>
      <c r="C75" s="2" t="n">
        <f aca="false">IF('1.3 TF-IDF coseno'!C75&gt;0,1,0)</f>
        <v>0</v>
      </c>
      <c r="D75" s="2" t="n">
        <f aca="false">B75*C75</f>
        <v>0</v>
      </c>
    </row>
    <row r="76" customFormat="false" ht="15" hidden="false" customHeight="false" outlineLevel="0" collapsed="false">
      <c r="A76" s="5" t="str">
        <f aca="false">'1.3 TF-IDF coseno'!A76</f>
        <v>strengthened</v>
      </c>
      <c r="B76" s="2" t="n">
        <f aca="false">IF('1.3 TF-IDF coseno'!B76&gt;0,1,0)</f>
        <v>1</v>
      </c>
      <c r="C76" s="2" t="n">
        <f aca="false">IF('1.3 TF-IDF coseno'!C76&gt;0,1,0)</f>
        <v>0</v>
      </c>
      <c r="D76" s="2" t="n">
        <f aca="false">B76*C76</f>
        <v>0</v>
      </c>
    </row>
    <row r="77" customFormat="false" ht="15" hidden="false" customHeight="false" outlineLevel="0" collapsed="false">
      <c r="A77" s="5" t="str">
        <f aca="false">'1.3 TF-IDF coseno'!A77</f>
        <v>iii</v>
      </c>
      <c r="B77" s="2" t="n">
        <f aca="false">IF('1.3 TF-IDF coseno'!B77&gt;0,1,0)</f>
        <v>1</v>
      </c>
      <c r="C77" s="2" t="n">
        <f aca="false">IF('1.3 TF-IDF coseno'!C77&gt;0,1,0)</f>
        <v>0</v>
      </c>
      <c r="D77" s="2" t="n">
        <f aca="false">B77*C77</f>
        <v>0</v>
      </c>
    </row>
    <row r="78" customFormat="false" ht="15" hidden="false" customHeight="false" outlineLevel="0" collapsed="false">
      <c r="A78" s="5" t="str">
        <f aca="false">'1.3 TF-IDF coseno'!A78</f>
        <v>innovative</v>
      </c>
      <c r="B78" s="2" t="n">
        <f aca="false">IF('1.3 TF-IDF coseno'!B78&gt;0,1,0)</f>
        <v>1</v>
      </c>
      <c r="C78" s="2" t="n">
        <f aca="false">IF('1.3 TF-IDF coseno'!C78&gt;0,1,0)</f>
        <v>0</v>
      </c>
      <c r="D78" s="2" t="n">
        <f aca="false">B78*C78</f>
        <v>0</v>
      </c>
    </row>
    <row r="79" customFormat="false" ht="15" hidden="false" customHeight="false" outlineLevel="0" collapsed="false">
      <c r="A79" s="5" t="str">
        <f aca="false">'1.3 TF-IDF coseno'!A79</f>
        <v>holistic</v>
      </c>
      <c r="B79" s="2" t="n">
        <f aca="false">IF('1.3 TF-IDF coseno'!B79&gt;0,1,0)</f>
        <v>1</v>
      </c>
      <c r="C79" s="2" t="n">
        <f aca="false">IF('1.3 TF-IDF coseno'!C79&gt;0,1,0)</f>
        <v>0</v>
      </c>
      <c r="D79" s="2" t="n">
        <f aca="false">B79*C79</f>
        <v>0</v>
      </c>
    </row>
    <row r="80" customFormat="false" ht="15" hidden="false" customHeight="false" outlineLevel="0" collapsed="false">
      <c r="A80" s="5" t="str">
        <f aca="false">'1.3 TF-IDF coseno'!A80</f>
        <v>teaching</v>
      </c>
      <c r="B80" s="2" t="n">
        <f aca="false">IF('1.3 TF-IDF coseno'!B80&gt;0,1,0)</f>
        <v>1</v>
      </c>
      <c r="C80" s="2" t="n">
        <f aca="false">IF('1.3 TF-IDF coseno'!C80&gt;0,1,0)</f>
        <v>0</v>
      </c>
      <c r="D80" s="2" t="n">
        <f aca="false">B80*C80</f>
        <v>0</v>
      </c>
    </row>
    <row r="81" customFormat="false" ht="15" hidden="false" customHeight="false" outlineLevel="0" collapsed="false">
      <c r="A81" s="5" t="str">
        <f aca="false">'1.3 TF-IDF coseno'!A81</f>
        <v>reflect</v>
      </c>
      <c r="B81" s="2" t="n">
        <f aca="false">IF('1.3 TF-IDF coseno'!B81&gt;0,1,0)</f>
        <v>1</v>
      </c>
      <c r="C81" s="2" t="n">
        <f aca="false">IF('1.3 TF-IDF coseno'!C81&gt;0,1,0)</f>
        <v>0</v>
      </c>
      <c r="D81" s="2" t="n">
        <f aca="false">B81*C81</f>
        <v>0</v>
      </c>
    </row>
    <row r="82" customFormat="false" ht="15" hidden="false" customHeight="false" outlineLevel="0" collapsed="false">
      <c r="A82" s="5" t="str">
        <f aca="false">'1.3 TF-IDF coseno'!A82</f>
        <v>transformation</v>
      </c>
      <c r="B82" s="2" t="n">
        <f aca="false">IF('1.3 TF-IDF coseno'!B82&gt;0,1,0)</f>
        <v>1</v>
      </c>
      <c r="C82" s="2" t="n">
        <f aca="false">IF('1.3 TF-IDF coseno'!C82&gt;0,1,0)</f>
        <v>0</v>
      </c>
      <c r="D82" s="2" t="n">
        <f aca="false">B82*C82</f>
        <v>0</v>
      </c>
    </row>
    <row r="83" customFormat="false" ht="15" hidden="false" customHeight="false" outlineLevel="0" collapsed="false">
      <c r="A83" s="5" t="str">
        <f aca="false">'1.3 TF-IDF coseno'!A83</f>
        <v>educational</v>
      </c>
      <c r="B83" s="2" t="n">
        <f aca="false">IF('1.3 TF-IDF coseno'!B83&gt;0,1,0)</f>
        <v>1</v>
      </c>
      <c r="C83" s="2" t="n">
        <f aca="false">IF('1.3 TF-IDF coseno'!C83&gt;0,1,0)</f>
        <v>0</v>
      </c>
      <c r="D83" s="2" t="n">
        <f aca="false">B83*C83</f>
        <v>0</v>
      </c>
    </row>
    <row r="84" customFormat="false" ht="15" hidden="false" customHeight="false" outlineLevel="0" collapsed="false">
      <c r="A84" s="5" t="str">
        <f aca="false">'1.3 TF-IDF coseno'!A84</f>
        <v>recommended</v>
      </c>
      <c r="B84" s="2" t="n">
        <f aca="false">IF('1.3 TF-IDF coseno'!B84&gt;0,1,0)</f>
        <v>1</v>
      </c>
      <c r="C84" s="2" t="n">
        <f aca="false">IF('1.3 TF-IDF coseno'!C84&gt;0,1,0)</f>
        <v>0</v>
      </c>
      <c r="D84" s="2" t="n">
        <f aca="false">B84*C84</f>
        <v>0</v>
      </c>
    </row>
    <row r="85" customFormat="false" ht="15" hidden="false" customHeight="false" outlineLevel="0" collapsed="false">
      <c r="A85" s="5" t="str">
        <f aca="false">'1.3 TF-IDF coseno'!A85</f>
        <v>rethink</v>
      </c>
      <c r="B85" s="2" t="n">
        <f aca="false">IF('1.3 TF-IDF coseno'!B85&gt;0,1,0)</f>
        <v>1</v>
      </c>
      <c r="C85" s="2" t="n">
        <f aca="false">IF('1.3 TF-IDF coseno'!C85&gt;0,1,0)</f>
        <v>1</v>
      </c>
      <c r="D85" s="2" t="n">
        <f aca="false">B85*C85</f>
        <v>1</v>
      </c>
    </row>
    <row r="86" customFormat="false" ht="15" hidden="false" customHeight="false" outlineLevel="0" collapsed="false">
      <c r="A86" s="5" t="str">
        <f aca="false">'1.3 TF-IDF coseno'!A86</f>
        <v>policies</v>
      </c>
      <c r="B86" s="2" t="n">
        <f aca="false">IF('1.3 TF-IDF coseno'!B86&gt;0,1,0)</f>
        <v>1</v>
      </c>
      <c r="C86" s="2" t="n">
        <f aca="false">IF('1.3 TF-IDF coseno'!C86&gt;0,1,0)</f>
        <v>0</v>
      </c>
      <c r="D86" s="2" t="n">
        <f aca="false">B86*C86</f>
        <v>0</v>
      </c>
    </row>
    <row r="87" customFormat="false" ht="15" hidden="false" customHeight="false" outlineLevel="0" collapsed="false">
      <c r="A87" s="5" t="str">
        <f aca="false">'1.3 TF-IDF coseno'!A87</f>
        <v>provide</v>
      </c>
      <c r="B87" s="2" t="n">
        <f aca="false">IF('1.3 TF-IDF coseno'!B87&gt;0,1,0)</f>
        <v>1</v>
      </c>
      <c r="C87" s="2" t="n">
        <f aca="false">IF('1.3 TF-IDF coseno'!C87&gt;0,1,0)</f>
        <v>1</v>
      </c>
      <c r="D87" s="2" t="n">
        <f aca="false">B87*C87</f>
        <v>1</v>
      </c>
    </row>
    <row r="88" customFormat="false" ht="15" hidden="false" customHeight="false" outlineLevel="0" collapsed="false">
      <c r="A88" s="5" t="str">
        <f aca="false">'1.3 TF-IDF coseno'!A88</f>
        <v>inter</v>
      </c>
      <c r="B88" s="2" t="n">
        <f aca="false">IF('1.3 TF-IDF coseno'!B88&gt;0,1,0)</f>
        <v>1</v>
      </c>
      <c r="C88" s="2" t="n">
        <f aca="false">IF('1.3 TF-IDF coseno'!C88&gt;0,1,0)</f>
        <v>0</v>
      </c>
      <c r="D88" s="2" t="n">
        <f aca="false">B88*C88</f>
        <v>0</v>
      </c>
    </row>
    <row r="89" customFormat="false" ht="15" hidden="false" customHeight="false" outlineLevel="0" collapsed="false">
      <c r="A89" s="5" t="str">
        <f aca="false">'1.3 TF-IDF coseno'!A89</f>
        <v>disciplinary</v>
      </c>
      <c r="B89" s="2" t="n">
        <f aca="false">IF('1.3 TF-IDF coseno'!B89&gt;0,1,0)</f>
        <v>1</v>
      </c>
      <c r="C89" s="2" t="n">
        <f aca="false">IF('1.3 TF-IDF coseno'!C89&gt;0,1,0)</f>
        <v>0</v>
      </c>
      <c r="D89" s="2" t="n">
        <f aca="false">B89*C89</f>
        <v>0</v>
      </c>
    </row>
    <row r="90" customFormat="false" ht="15" hidden="false" customHeight="false" outlineLevel="0" collapsed="false">
      <c r="A90" s="5" t="str">
        <f aca="false">'1.3 TF-IDF coseno'!A90</f>
        <v>programs</v>
      </c>
      <c r="B90" s="2" t="n">
        <f aca="false">IF('1.3 TF-IDF coseno'!B90&gt;0,1,0)</f>
        <v>1</v>
      </c>
      <c r="C90" s="2" t="n">
        <f aca="false">IF('1.3 TF-IDF coseno'!C90&gt;0,1,0)</f>
        <v>0</v>
      </c>
      <c r="D90" s="2" t="n">
        <f aca="false">B90*C90</f>
        <v>0</v>
      </c>
    </row>
    <row r="91" customFormat="false" ht="15" hidden="false" customHeight="false" outlineLevel="0" collapsed="false">
      <c r="A91" s="5" t="str">
        <f aca="false">'1.3 TF-IDF coseno'!A91</f>
        <v>emergence</v>
      </c>
      <c r="B91" s="2" t="n">
        <f aca="false">IF('1.3 TF-IDF coseno'!B91&gt;0,1,0)</f>
        <v>0</v>
      </c>
      <c r="C91" s="2" t="n">
        <f aca="false">IF('1.3 TF-IDF coseno'!C91&gt;0,1,0)</f>
        <v>1</v>
      </c>
      <c r="D91" s="2" t="n">
        <f aca="false">B91*C91</f>
        <v>0</v>
      </c>
    </row>
    <row r="92" customFormat="false" ht="15" hidden="false" customHeight="false" outlineLevel="0" collapsed="false">
      <c r="A92" s="5" t="str">
        <f aca="false">'1.3 TF-IDF coseno'!A92</f>
        <v>chatgpt</v>
      </c>
      <c r="B92" s="2" t="n">
        <f aca="false">IF('1.3 TF-IDF coseno'!B92&gt;0,1,0)</f>
        <v>0</v>
      </c>
      <c r="C92" s="2" t="n">
        <f aca="false">IF('1.3 TF-IDF coseno'!C92&gt;0,1,0)</f>
        <v>1</v>
      </c>
      <c r="D92" s="2" t="n">
        <f aca="false">B92*C92</f>
        <v>0</v>
      </c>
    </row>
    <row r="93" customFormat="false" ht="15" hidden="false" customHeight="false" outlineLevel="0" collapsed="false">
      <c r="A93" s="5" t="str">
        <f aca="false">'1.3 TF-IDF coseno'!A93</f>
        <v>sparked</v>
      </c>
      <c r="B93" s="2" t="n">
        <f aca="false">IF('1.3 TF-IDF coseno'!B93&gt;0,1,0)</f>
        <v>0</v>
      </c>
      <c r="C93" s="2" t="n">
        <f aca="false">IF('1.3 TF-IDF coseno'!C93&gt;0,1,0)</f>
        <v>1</v>
      </c>
      <c r="D93" s="2" t="n">
        <f aca="false">B93*C93</f>
        <v>0</v>
      </c>
    </row>
    <row r="94" customFormat="false" ht="15" hidden="false" customHeight="false" outlineLevel="0" collapsed="false">
      <c r="A94" s="5" t="str">
        <f aca="false">'1.3 TF-IDF coseno'!A94</f>
        <v>significant</v>
      </c>
      <c r="B94" s="2" t="n">
        <f aca="false">IF('1.3 TF-IDF coseno'!B94&gt;0,1,0)</f>
        <v>0</v>
      </c>
      <c r="C94" s="2" t="n">
        <f aca="false">IF('1.3 TF-IDF coseno'!C94&gt;0,1,0)</f>
        <v>1</v>
      </c>
      <c r="D94" s="2" t="n">
        <f aca="false">B94*C94</f>
        <v>0</v>
      </c>
    </row>
    <row r="95" customFormat="false" ht="15" hidden="false" customHeight="false" outlineLevel="0" collapsed="false">
      <c r="A95" s="5" t="str">
        <f aca="false">'1.3 TF-IDF coseno'!A95</f>
        <v>concerns</v>
      </c>
      <c r="B95" s="2" t="n">
        <f aca="false">IF('1.3 TF-IDF coseno'!B95&gt;0,1,0)</f>
        <v>0</v>
      </c>
      <c r="C95" s="2" t="n">
        <f aca="false">IF('1.3 TF-IDF coseno'!C95&gt;0,1,0)</f>
        <v>1</v>
      </c>
      <c r="D95" s="2" t="n">
        <f aca="false">B95*C95</f>
        <v>0</v>
      </c>
    </row>
    <row r="96" customFormat="false" ht="15" hidden="false" customHeight="false" outlineLevel="0" collapsed="false">
      <c r="A96" s="5" t="str">
        <f aca="false">'1.3 TF-IDF coseno'!A96</f>
        <v>tertiary</v>
      </c>
      <c r="B96" s="2" t="n">
        <f aca="false">IF('1.3 TF-IDF coseno'!B96&gt;0,1,0)</f>
        <v>0</v>
      </c>
      <c r="C96" s="2" t="n">
        <f aca="false">IF('1.3 TF-IDF coseno'!C96&gt;0,1,0)</f>
        <v>1</v>
      </c>
      <c r="D96" s="2" t="n">
        <f aca="false">B96*C96</f>
        <v>0</v>
      </c>
    </row>
    <row r="97" customFormat="false" ht="15" hidden="false" customHeight="false" outlineLevel="0" collapsed="false">
      <c r="A97" s="5" t="str">
        <f aca="false">'1.3 TF-IDF coseno'!A97</f>
        <v>largely</v>
      </c>
      <c r="B97" s="2" t="n">
        <f aca="false">IF('1.3 TF-IDF coseno'!B97&gt;0,1,0)</f>
        <v>0</v>
      </c>
      <c r="C97" s="2" t="n">
        <f aca="false">IF('1.3 TF-IDF coseno'!C97&gt;0,1,0)</f>
        <v>1</v>
      </c>
      <c r="D97" s="2" t="n">
        <f aca="false">B97*C97</f>
        <v>0</v>
      </c>
    </row>
    <row r="98" customFormat="false" ht="15" hidden="false" customHeight="false" outlineLevel="0" collapsed="false">
      <c r="A98" s="5" t="str">
        <f aca="false">'1.3 TF-IDF coseno'!A98</f>
        <v>revolved</v>
      </c>
      <c r="B98" s="2" t="n">
        <f aca="false">IF('1.3 TF-IDF coseno'!B98&gt;0,1,0)</f>
        <v>0</v>
      </c>
      <c r="C98" s="2" t="n">
        <f aca="false">IF('1.3 TF-IDF coseno'!C98&gt;0,1,0)</f>
        <v>1</v>
      </c>
      <c r="D98" s="2" t="n">
        <f aca="false">B98*C98</f>
        <v>0</v>
      </c>
    </row>
    <row r="99" customFormat="false" ht="15" hidden="false" customHeight="false" outlineLevel="0" collapsed="false">
      <c r="A99" s="5" t="str">
        <f aca="false">'1.3 TF-IDF coseno'!A99</f>
        <v>around</v>
      </c>
      <c r="B99" s="2" t="n">
        <f aca="false">IF('1.3 TF-IDF coseno'!B99&gt;0,1,0)</f>
        <v>0</v>
      </c>
      <c r="C99" s="2" t="n">
        <f aca="false">IF('1.3 TF-IDF coseno'!C99&gt;0,1,0)</f>
        <v>1</v>
      </c>
      <c r="D99" s="2" t="n">
        <f aca="false">B99*C99</f>
        <v>0</v>
      </c>
    </row>
    <row r="100" customFormat="false" ht="15" hidden="false" customHeight="false" outlineLevel="0" collapsed="false">
      <c r="A100" s="5" t="str">
        <f aca="false">'1.3 TF-IDF coseno'!A100</f>
        <v>academic</v>
      </c>
      <c r="B100" s="2" t="n">
        <f aca="false">IF('1.3 TF-IDF coseno'!B100&gt;0,1,0)</f>
        <v>0</v>
      </c>
      <c r="C100" s="2" t="n">
        <f aca="false">IF('1.3 TF-IDF coseno'!C100&gt;0,1,0)</f>
        <v>1</v>
      </c>
      <c r="D100" s="2" t="n">
        <f aca="false">B100*C100</f>
        <v>0</v>
      </c>
    </row>
    <row r="101" customFormat="false" ht="15" hidden="false" customHeight="false" outlineLevel="0" collapsed="false">
      <c r="A101" s="5" t="str">
        <f aca="false">'1.3 TF-IDF coseno'!A101</f>
        <v>issues</v>
      </c>
      <c r="B101" s="2" t="n">
        <f aca="false">IF('1.3 TF-IDF coseno'!B101&gt;0,1,0)</f>
        <v>0</v>
      </c>
      <c r="C101" s="2" t="n">
        <f aca="false">IF('1.3 TF-IDF coseno'!C101&gt;0,1,0)</f>
        <v>1</v>
      </c>
      <c r="D101" s="2" t="n">
        <f aca="false">B101*C101</f>
        <v>0</v>
      </c>
    </row>
    <row r="102" customFormat="false" ht="15" hidden="false" customHeight="false" outlineLevel="0" collapsed="false">
      <c r="A102" s="5" t="str">
        <f aca="false">'1.3 TF-IDF coseno'!A102</f>
        <v>plagiarism</v>
      </c>
      <c r="B102" s="2" t="n">
        <f aca="false">IF('1.3 TF-IDF coseno'!B102&gt;0,1,0)</f>
        <v>0</v>
      </c>
      <c r="C102" s="2" t="n">
        <f aca="false">IF('1.3 TF-IDF coseno'!C102&gt;0,1,0)</f>
        <v>1</v>
      </c>
      <c r="D102" s="2" t="n">
        <f aca="false">B102*C102</f>
        <v>0</v>
      </c>
    </row>
    <row r="103" customFormat="false" ht="15" hidden="false" customHeight="false" outlineLevel="0" collapsed="false">
      <c r="A103" s="5" t="str">
        <f aca="false">'1.3 TF-IDF coseno'!A103</f>
        <v>cheating</v>
      </c>
      <c r="B103" s="2" t="n">
        <f aca="false">IF('1.3 TF-IDF coseno'!B103&gt;0,1,0)</f>
        <v>0</v>
      </c>
      <c r="C103" s="2" t="n">
        <f aca="false">IF('1.3 TF-IDF coseno'!C103&gt;0,1,0)</f>
        <v>1</v>
      </c>
      <c r="D103" s="2" t="n">
        <f aca="false">B103*C103</f>
        <v>0</v>
      </c>
    </row>
    <row r="104" customFormat="false" ht="15" hidden="false" customHeight="false" outlineLevel="0" collapsed="false">
      <c r="A104" s="5" t="str">
        <f aca="false">'1.3 TF-IDF coseno'!A104</f>
        <v>nonetheless</v>
      </c>
      <c r="B104" s="2" t="n">
        <f aca="false">IF('1.3 TF-IDF coseno'!B104&gt;0,1,0)</f>
        <v>0</v>
      </c>
      <c r="C104" s="2" t="n">
        <f aca="false">IF('1.3 TF-IDF coseno'!C104&gt;0,1,0)</f>
        <v>1</v>
      </c>
      <c r="D104" s="2" t="n">
        <f aca="false">B104*C104</f>
        <v>0</v>
      </c>
    </row>
    <row r="105" customFormat="false" ht="15" hidden="false" customHeight="false" outlineLevel="0" collapsed="false">
      <c r="A105" s="5" t="str">
        <f aca="false">'1.3 TF-IDF coseno'!A105</f>
        <v>critical</v>
      </c>
      <c r="B105" s="2" t="n">
        <f aca="false">IF('1.3 TF-IDF coseno'!B105&gt;0,1,0)</f>
        <v>0</v>
      </c>
      <c r="C105" s="2" t="n">
        <f aca="false">IF('1.3 TF-IDF coseno'!C105&gt;0,1,0)</f>
        <v>1</v>
      </c>
      <c r="D105" s="2" t="n">
        <f aca="false">B105*C105</f>
        <v>0</v>
      </c>
    </row>
    <row r="106" customFormat="false" ht="15" hidden="false" customHeight="false" outlineLevel="0" collapsed="false">
      <c r="A106" s="5" t="str">
        <f aca="false">'1.3 TF-IDF coseno'!A106</f>
        <v>consider</v>
      </c>
      <c r="B106" s="2" t="n">
        <f aca="false">IF('1.3 TF-IDF coseno'!B106&gt;0,1,0)</f>
        <v>0</v>
      </c>
      <c r="C106" s="2" t="n">
        <f aca="false">IF('1.3 TF-IDF coseno'!C106&gt;0,1,0)</f>
        <v>1</v>
      </c>
      <c r="D106" s="2" t="n">
        <f aca="false">B106*C106</f>
        <v>0</v>
      </c>
    </row>
    <row r="107" customFormat="false" ht="15" hidden="false" customHeight="false" outlineLevel="0" collapsed="false">
      <c r="A107" s="5" t="str">
        <f aca="false">'1.3 TF-IDF coseno'!A107</f>
        <v>models</v>
      </c>
      <c r="B107" s="2" t="n">
        <f aca="false">IF('1.3 TF-IDF coseno'!B107&gt;0,1,0)</f>
        <v>0</v>
      </c>
      <c r="C107" s="2" t="n">
        <f aca="false">IF('1.3 TF-IDF coseno'!C107&gt;0,1,0)</f>
        <v>1</v>
      </c>
      <c r="D107" s="2" t="n">
        <f aca="false">B107*C107</f>
        <v>0</v>
      </c>
    </row>
    <row r="108" customFormat="false" ht="15" hidden="false" customHeight="false" outlineLevel="0" collapsed="false">
      <c r="A108" s="5" t="str">
        <f aca="false">'1.3 TF-IDF coseno'!A108</f>
        <v>trained</v>
      </c>
      <c r="B108" s="2" t="n">
        <f aca="false">IF('1.3 TF-IDF coseno'!B108&gt;0,1,0)</f>
        <v>0</v>
      </c>
      <c r="C108" s="2" t="n">
        <f aca="false">IF('1.3 TF-IDF coseno'!C108&gt;0,1,0)</f>
        <v>1</v>
      </c>
      <c r="D108" s="2" t="n">
        <f aca="false">B108*C108</f>
        <v>0</v>
      </c>
    </row>
    <row r="109" customFormat="false" ht="15" hidden="false" customHeight="false" outlineLevel="0" collapsed="false">
      <c r="A109" s="5" t="str">
        <f aca="false">'1.3 TF-IDF coseno'!A109</f>
        <v>information</v>
      </c>
      <c r="B109" s="2" t="n">
        <f aca="false">IF('1.3 TF-IDF coseno'!B109&gt;0,1,0)</f>
        <v>0</v>
      </c>
      <c r="C109" s="2" t="n">
        <f aca="false">IF('1.3 TF-IDF coseno'!C109&gt;0,1,0)</f>
        <v>1</v>
      </c>
      <c r="D109" s="2" t="n">
        <f aca="false">B109*C109</f>
        <v>0</v>
      </c>
    </row>
    <row r="110" customFormat="false" ht="15" hidden="false" customHeight="false" outlineLevel="0" collapsed="false">
      <c r="A110" s="5" t="str">
        <f aca="false">'1.3 TF-IDF coseno'!A110</f>
        <v>internet</v>
      </c>
      <c r="B110" s="2" t="n">
        <f aca="false">IF('1.3 TF-IDF coseno'!B110&gt;0,1,0)</f>
        <v>0</v>
      </c>
      <c r="C110" s="2" t="n">
        <f aca="false">IF('1.3 TF-IDF coseno'!C110&gt;0,1,0)</f>
        <v>1</v>
      </c>
      <c r="D110" s="2" t="n">
        <f aca="false">B110*C110</f>
        <v>0</v>
      </c>
    </row>
    <row r="111" customFormat="false" ht="15" hidden="false" customHeight="false" outlineLevel="0" collapsed="false">
      <c r="A111" s="5" t="str">
        <f aca="false">'1.3 TF-IDF coseno'!A111</f>
        <v>produce</v>
      </c>
      <c r="B111" s="2" t="n">
        <f aca="false">IF('1.3 TF-IDF coseno'!B111&gt;0,1,0)</f>
        <v>0</v>
      </c>
      <c r="C111" s="2" t="n">
        <f aca="false">IF('1.3 TF-IDF coseno'!C111&gt;0,1,0)</f>
        <v>1</v>
      </c>
      <c r="D111" s="2" t="n">
        <f aca="false">B111*C111</f>
        <v>0</v>
      </c>
    </row>
    <row r="112" customFormat="false" ht="15" hidden="false" customHeight="false" outlineLevel="0" collapsed="false">
      <c r="A112" s="5" t="str">
        <f aca="false">'1.3 TF-IDF coseno'!A112</f>
        <v>biased</v>
      </c>
      <c r="B112" s="2" t="n">
        <f aca="false">IF('1.3 TF-IDF coseno'!B112&gt;0,1,0)</f>
        <v>0</v>
      </c>
      <c r="C112" s="2" t="n">
        <f aca="false">IF('1.3 TF-IDF coseno'!C112&gt;0,1,0)</f>
        <v>1</v>
      </c>
      <c r="D112" s="2" t="n">
        <f aca="false">B112*C112</f>
        <v>0</v>
      </c>
    </row>
    <row r="113" customFormat="false" ht="15" hidden="false" customHeight="false" outlineLevel="0" collapsed="false">
      <c r="A113" s="5" t="str">
        <f aca="false">'1.3 TF-IDF coseno'!A113</f>
        <v>discriminatory</v>
      </c>
      <c r="B113" s="2" t="n">
        <f aca="false">IF('1.3 TF-IDF coseno'!B113&gt;0,1,0)</f>
        <v>0</v>
      </c>
      <c r="C113" s="2" t="n">
        <f aca="false">IF('1.3 TF-IDF coseno'!C113&gt;0,1,0)</f>
        <v>1</v>
      </c>
      <c r="D113" s="2" t="n">
        <f aca="false">B113*C113</f>
        <v>0</v>
      </c>
    </row>
    <row r="114" customFormat="false" ht="15" hidden="false" customHeight="false" outlineLevel="0" collapsed="false">
      <c r="A114" s="5" t="str">
        <f aca="false">'1.3 TF-IDF coseno'!A114</f>
        <v>outputs</v>
      </c>
      <c r="B114" s="2" t="n">
        <f aca="false">IF('1.3 TF-IDF coseno'!B114&gt;0,1,0)</f>
        <v>0</v>
      </c>
      <c r="C114" s="2" t="n">
        <f aca="false">IF('1.3 TF-IDF coseno'!C114&gt;0,1,0)</f>
        <v>1</v>
      </c>
      <c r="D114" s="2" t="n">
        <f aca="false">B114*C114</f>
        <v>0</v>
      </c>
    </row>
    <row r="115" customFormat="false" ht="15" hidden="false" customHeight="false" outlineLevel="0" collapsed="false">
      <c r="A115" s="5" t="str">
        <f aca="false">'1.3 TF-IDF coseno'!A115</f>
        <v>hallucination</v>
      </c>
      <c r="B115" s="2" t="n">
        <f aca="false">IF('1.3 TF-IDF coseno'!B115&gt;0,1,0)</f>
        <v>0</v>
      </c>
      <c r="C115" s="2" t="n">
        <f aca="false">IF('1.3 TF-IDF coseno'!C115&gt;0,1,0)</f>
        <v>1</v>
      </c>
      <c r="D115" s="2" t="n">
        <f aca="false">B115*C115</f>
        <v>0</v>
      </c>
    </row>
    <row r="116" customFormat="false" ht="15" hidden="false" customHeight="false" outlineLevel="0" collapsed="false">
      <c r="A116" s="5" t="str">
        <f aca="false">'1.3 TF-IDF coseno'!A116</f>
        <v>large</v>
      </c>
      <c r="B116" s="2" t="n">
        <f aca="false">IF('1.3 TF-IDF coseno'!B116&gt;0,1,0)</f>
        <v>0</v>
      </c>
      <c r="C116" s="2" t="n">
        <f aca="false">IF('1.3 TF-IDF coseno'!C116&gt;0,1,0)</f>
        <v>1</v>
      </c>
      <c r="D116" s="2" t="n">
        <f aca="false">B116*C116</f>
        <v>0</v>
      </c>
    </row>
    <row r="117" customFormat="false" ht="15" hidden="false" customHeight="false" outlineLevel="0" collapsed="false">
      <c r="A117" s="5" t="str">
        <f aca="false">'1.3 TF-IDF coseno'!A117</f>
        <v>language</v>
      </c>
      <c r="B117" s="2" t="n">
        <f aca="false">IF('1.3 TF-IDF coseno'!B117&gt;0,1,0)</f>
        <v>0</v>
      </c>
      <c r="C117" s="2" t="n">
        <f aca="false">IF('1.3 TF-IDF coseno'!C117&gt;0,1,0)</f>
        <v>1</v>
      </c>
      <c r="D117" s="2" t="n">
        <f aca="false">B117*C117</f>
        <v>0</v>
      </c>
    </row>
    <row r="118" customFormat="false" ht="15" hidden="false" customHeight="false" outlineLevel="0" collapsed="false">
      <c r="A118" s="5" t="str">
        <f aca="false">'1.3 TF-IDF coseno'!A118</f>
        <v>acts</v>
      </c>
      <c r="B118" s="2" t="n">
        <f aca="false">IF('1.3 TF-IDF coseno'!B118&gt;0,1,0)</f>
        <v>0</v>
      </c>
      <c r="C118" s="2" t="n">
        <f aca="false">IF('1.3 TF-IDF coseno'!C118&gt;0,1,0)</f>
        <v>1</v>
      </c>
      <c r="D118" s="2" t="n">
        <f aca="false">B118*C118</f>
        <v>0</v>
      </c>
    </row>
    <row r="119" customFormat="false" ht="15" hidden="false" customHeight="false" outlineLevel="0" collapsed="false">
      <c r="A119" s="5" t="str">
        <f aca="false">'1.3 TF-IDF coseno'!A119</f>
        <v>made</v>
      </c>
      <c r="B119" s="2" t="n">
        <f aca="false">IF('1.3 TF-IDF coseno'!B119&gt;0,1,0)</f>
        <v>0</v>
      </c>
      <c r="C119" s="2" t="n">
        <f aca="false">IF('1.3 TF-IDF coseno'!C119&gt;0,1,0)</f>
        <v>1</v>
      </c>
      <c r="D119" s="2" t="n">
        <f aca="false">B119*C119</f>
        <v>0</v>
      </c>
    </row>
    <row r="120" customFormat="false" ht="15" hidden="false" customHeight="false" outlineLevel="0" collapsed="false">
      <c r="A120" s="5" t="str">
        <f aca="false">'1.3 TF-IDF coseno'!A120</f>
        <v>untruthful</v>
      </c>
      <c r="B120" s="2" t="n">
        <f aca="false">IF('1.3 TF-IDF coseno'!B120&gt;0,1,0)</f>
        <v>0</v>
      </c>
      <c r="C120" s="2" t="n">
        <f aca="false">IF('1.3 TF-IDF coseno'!C120&gt;0,1,0)</f>
        <v>1</v>
      </c>
      <c r="D120" s="2" t="n">
        <f aca="false">B120*C120</f>
        <v>0</v>
      </c>
    </row>
    <row r="121" customFormat="false" ht="15" hidden="false" customHeight="false" outlineLevel="0" collapsed="false">
      <c r="A121" s="5" t="str">
        <f aca="false">'1.3 TF-IDF coseno'!A121</f>
        <v>article</v>
      </c>
      <c r="B121" s="2" t="n">
        <f aca="false">IF('1.3 TF-IDF coseno'!B121&gt;0,1,0)</f>
        <v>0</v>
      </c>
      <c r="C121" s="2" t="n">
        <f aca="false">IF('1.3 TF-IDF coseno'!C121&gt;0,1,0)</f>
        <v>1</v>
      </c>
      <c r="D121" s="2" t="n">
        <f aca="false">B121*C121</f>
        <v>0</v>
      </c>
    </row>
    <row r="122" customFormat="false" ht="15" hidden="false" customHeight="false" outlineLevel="0" collapsed="false">
      <c r="A122" s="5" t="str">
        <f aca="false">'1.3 TF-IDF coseno'!A122</f>
        <v>considers</v>
      </c>
      <c r="B122" s="2" t="n">
        <f aca="false">IF('1.3 TF-IDF coseno'!B122&gt;0,1,0)</f>
        <v>0</v>
      </c>
      <c r="C122" s="2" t="n">
        <f aca="false">IF('1.3 TF-IDF coseno'!C122&gt;0,1,0)</f>
        <v>1</v>
      </c>
      <c r="D122" s="2" t="n">
        <f aca="false">B122*C122</f>
        <v>0</v>
      </c>
    </row>
    <row r="123" customFormat="false" ht="15" hidden="false" customHeight="false" outlineLevel="0" collapsed="false">
      <c r="A123" s="5" t="str">
        <f aca="false">'1.3 TF-IDF coseno'!A123</f>
        <v>affordances</v>
      </c>
      <c r="B123" s="2" t="n">
        <f aca="false">IF('1.3 TF-IDF coseno'!B123&gt;0,1,0)</f>
        <v>0</v>
      </c>
      <c r="C123" s="2" t="n">
        <f aca="false">IF('1.3 TF-IDF coseno'!C123&gt;0,1,0)</f>
        <v>1</v>
      </c>
      <c r="D123" s="2" t="n">
        <f aca="false">B123*C123</f>
        <v>0</v>
      </c>
    </row>
    <row r="124" customFormat="false" ht="15" hidden="false" customHeight="false" outlineLevel="0" collapsed="false">
      <c r="A124" s="5" t="str">
        <f aca="false">'1.3 TF-IDF coseno'!A124</f>
        <v>specific</v>
      </c>
      <c r="B124" s="2" t="n">
        <f aca="false">IF('1.3 TF-IDF coseno'!B124&gt;0,1,0)</f>
        <v>0</v>
      </c>
      <c r="C124" s="2" t="n">
        <f aca="false">IF('1.3 TF-IDF coseno'!C124&gt;0,1,0)</f>
        <v>1</v>
      </c>
      <c r="D124" s="2" t="n">
        <f aca="false">B124*C124</f>
        <v>0</v>
      </c>
    </row>
    <row r="125" customFormat="false" ht="15" hidden="false" customHeight="false" outlineLevel="0" collapsed="false">
      <c r="A125" s="5" t="str">
        <f aca="false">'1.3 TF-IDF coseno'!A125</f>
        <v>assessments</v>
      </c>
      <c r="B125" s="2" t="n">
        <f aca="false">IF('1.3 TF-IDF coseno'!B125&gt;0,1,0)</f>
        <v>0</v>
      </c>
      <c r="C125" s="2" t="n">
        <f aca="false">IF('1.3 TF-IDF coseno'!C125&gt;0,1,0)</f>
        <v>1</v>
      </c>
      <c r="D125" s="2" t="n">
        <f aca="false">B125*C125</f>
        <v>0</v>
      </c>
    </row>
    <row r="126" customFormat="false" ht="15" hidden="false" customHeight="false" outlineLevel="0" collapsed="false">
      <c r="A126" s="5" t="str">
        <f aca="false">'1.3 TF-IDF coseno'!A126</f>
        <v>illustrates</v>
      </c>
      <c r="B126" s="2" t="n">
        <f aca="false">IF('1.3 TF-IDF coseno'!B126&gt;0,1,0)</f>
        <v>0</v>
      </c>
      <c r="C126" s="2" t="n">
        <f aca="false">IF('1.3 TF-IDF coseno'!C126&gt;0,1,0)</f>
        <v>1</v>
      </c>
      <c r="D126" s="2" t="n">
        <f aca="false">B126*C126</f>
        <v>0</v>
      </c>
    </row>
    <row r="127" customFormat="false" ht="15" hidden="false" customHeight="false" outlineLevel="0" collapsed="false">
      <c r="A127" s="5" t="str">
        <f aca="false">'1.3 TF-IDF coseno'!A127</f>
        <v>considerations</v>
      </c>
      <c r="B127" s="2" t="n">
        <f aca="false">IF('1.3 TF-IDF coseno'!B127&gt;0,1,0)</f>
        <v>0</v>
      </c>
      <c r="C127" s="2" t="n">
        <f aca="false">IF('1.3 TF-IDF coseno'!C127&gt;0,1,0)</f>
        <v>1</v>
      </c>
      <c r="D127" s="2" t="n">
        <f aca="false">B127*C127</f>
        <v>0</v>
      </c>
    </row>
    <row r="128" customFormat="false" ht="15" hidden="false" customHeight="false" outlineLevel="0" collapsed="false">
      <c r="A128" s="5" t="str">
        <f aca="false">'1.3 TF-IDF coseno'!A128</f>
        <v>redesign</v>
      </c>
      <c r="B128" s="2" t="n">
        <f aca="false">IF('1.3 TF-IDF coseno'!B128&gt;0,1,0)</f>
        <v>0</v>
      </c>
      <c r="C128" s="2" t="n">
        <f aca="false">IF('1.3 TF-IDF coseno'!C128&gt;0,1,0)</f>
        <v>1</v>
      </c>
      <c r="D128" s="2" t="n">
        <f aca="false">B128*C128</f>
        <v>0</v>
      </c>
    </row>
    <row r="129" customFormat="false" ht="15" hidden="false" customHeight="false" outlineLevel="0" collapsed="false">
      <c r="A129" s="5" t="str">
        <f aca="false">'1.3 TF-IDF coseno'!A129</f>
        <v>existence</v>
      </c>
      <c r="B129" s="2" t="n">
        <f aca="false">IF('1.3 TF-IDF coseno'!B129&gt;0,1,0)</f>
        <v>0</v>
      </c>
      <c r="C129" s="2" t="n">
        <f aca="false">IF('1.3 TF-IDF coseno'!C129&gt;0,1,0)</f>
        <v>1</v>
      </c>
      <c r="D129" s="2" t="n">
        <f aca="false">B129*C129</f>
        <v>0</v>
      </c>
    </row>
    <row r="130" customFormat="false" ht="15" hidden="false" customHeight="false" outlineLevel="0" collapsed="false">
      <c r="A130" s="5" t="str">
        <f aca="false">'1.3 TF-IDF coseno'!A130</f>
        <v>proposes</v>
      </c>
      <c r="B130" s="2" t="n">
        <f aca="false">IF('1.3 TF-IDF coseno'!B130&gt;0,1,0)</f>
        <v>0</v>
      </c>
      <c r="C130" s="2" t="n">
        <f aca="false">IF('1.3 TF-IDF coseno'!C130&gt;0,1,0)</f>
        <v>1</v>
      </c>
      <c r="D130" s="2" t="n">
        <f aca="false">B130*C130</f>
        <v>0</v>
      </c>
    </row>
    <row r="131" customFormat="false" ht="15" hidden="false" customHeight="false" outlineLevel="0" collapsed="false">
      <c r="A131" s="5" t="str">
        <f aca="false">'1.3 TF-IDF coseno'!A131</f>
        <v>avoid</v>
      </c>
      <c r="B131" s="2" t="n">
        <f aca="false">IF('1.3 TF-IDF coseno'!B131&gt;0,1,0)</f>
        <v>0</v>
      </c>
      <c r="C131" s="2" t="n">
        <f aca="false">IF('1.3 TF-IDF coseno'!C131&gt;0,1,0)</f>
        <v>1</v>
      </c>
      <c r="D131" s="2" t="n">
        <f aca="false">B131*C131</f>
        <v>0</v>
      </c>
    </row>
    <row r="132" customFormat="false" ht="15" hidden="false" customHeight="false" outlineLevel="0" collapsed="false">
      <c r="A132" s="5" t="str">
        <f aca="false">'1.3 TF-IDF coseno'!A132</f>
        <v>adopt</v>
      </c>
      <c r="B132" s="2" t="n">
        <f aca="false">IF('1.3 TF-IDF coseno'!B132&gt;0,1,0)</f>
        <v>0</v>
      </c>
      <c r="C132" s="2" t="n">
        <f aca="false">IF('1.3 TF-IDF coseno'!C132&gt;0,1,0)</f>
        <v>1</v>
      </c>
      <c r="D132" s="2" t="n">
        <f aca="false">B132*C132</f>
        <v>0</v>
      </c>
    </row>
    <row r="133" customFormat="false" ht="15" hidden="false" customHeight="false" outlineLevel="0" collapsed="false">
      <c r="A133" s="5" t="str">
        <f aca="false">'1.3 TF-IDF coseno'!A133</f>
        <v>aaa</v>
      </c>
      <c r="B133" s="2" t="n">
        <f aca="false">IF('1.3 TF-IDF coseno'!B133&gt;0,1,0)</f>
        <v>0</v>
      </c>
      <c r="C133" s="2" t="n">
        <f aca="false">IF('1.3 TF-IDF coseno'!C133&gt;0,1,0)</f>
        <v>1</v>
      </c>
      <c r="D133" s="2" t="n">
        <f aca="false">B133*C133</f>
        <v>0</v>
      </c>
    </row>
    <row r="134" customFormat="false" ht="15" hidden="false" customHeight="false" outlineLevel="0" collapsed="false">
      <c r="A134" s="5" t="str">
        <f aca="false">'1.3 TF-IDF coseno'!A134</f>
        <v>principle</v>
      </c>
      <c r="B134" s="2" t="n">
        <f aca="false">IF('1.3 TF-IDF coseno'!B134&gt;0,1,0)</f>
        <v>0</v>
      </c>
      <c r="C134" s="2" t="n">
        <f aca="false">IF('1.3 TF-IDF coseno'!C134&gt;0,1,0)</f>
        <v>1</v>
      </c>
      <c r="D134" s="2" t="n">
        <f aca="false">B134*C134</f>
        <v>0</v>
      </c>
    </row>
    <row r="135" customFormat="false" ht="15" hidden="false" customHeight="false" outlineLevel="0" collapsed="false">
      <c r="A135" s="5" t="str">
        <f aca="false">'1.3 TF-IDF coseno'!A135</f>
        <v>argues</v>
      </c>
      <c r="B135" s="2" t="n">
        <f aca="false">IF('1.3 TF-IDF coseno'!B135&gt;0,1,0)</f>
        <v>0</v>
      </c>
      <c r="C135" s="2" t="n">
        <f aca="false">IF('1.3 TF-IDF coseno'!C135&gt;0,1,0)</f>
        <v>1</v>
      </c>
      <c r="D135" s="2" t="n">
        <f aca="false">B135*C135</f>
        <v>0</v>
      </c>
    </row>
    <row r="136" customFormat="false" ht="15" hidden="false" customHeight="false" outlineLevel="0" collapsed="false">
      <c r="A136" s="5" t="str">
        <f aca="false">'1.3 TF-IDF coseno'!A136</f>
        <v>tools</v>
      </c>
      <c r="B136" s="2" t="n">
        <f aca="false">IF('1.3 TF-IDF coseno'!B136&gt;0,1,0)</f>
        <v>0</v>
      </c>
      <c r="C136" s="2" t="n">
        <f aca="false">IF('1.3 TF-IDF coseno'!C136&gt;0,1,0)</f>
        <v>1</v>
      </c>
      <c r="D136" s="2" t="n">
        <f aca="false">B136*C136</f>
        <v>0</v>
      </c>
    </row>
    <row r="137" customFormat="false" ht="15" hidden="false" customHeight="false" outlineLevel="0" collapsed="false">
      <c r="A137" s="5" t="str">
        <f aca="false">'1.3 TF-IDF coseno'!A137</f>
        <v>emerge</v>
      </c>
      <c r="B137" s="2" t="n">
        <f aca="false">IF('1.3 TF-IDF coseno'!B137&gt;0,1,0)</f>
        <v>0</v>
      </c>
      <c r="C137" s="2" t="n">
        <f aca="false">IF('1.3 TF-IDF coseno'!C137&gt;0,1,0)</f>
        <v>1</v>
      </c>
      <c r="D137" s="2" t="n">
        <f aca="false">B137*C137</f>
        <v>0</v>
      </c>
    </row>
    <row r="138" customFormat="false" ht="15" hidden="false" customHeight="false" outlineLevel="0" collapsed="false">
      <c r="A138" s="5" t="str">
        <f aca="false">'1.3 TF-IDF coseno'!A138</f>
        <v>exponentially</v>
      </c>
      <c r="B138" s="2" t="n">
        <f aca="false">IF('1.3 TF-IDF coseno'!B138&gt;0,1,0)</f>
        <v>0</v>
      </c>
      <c r="C138" s="2" t="n">
        <f aca="false">IF('1.3 TF-IDF coseno'!C138&gt;0,1,0)</f>
        <v>1</v>
      </c>
      <c r="D138" s="2" t="n">
        <f aca="false">B138*C138</f>
        <v>0</v>
      </c>
    </row>
    <row r="139" customFormat="false" ht="15" hidden="false" customHeight="false" outlineLevel="0" collapsed="false">
      <c r="A139" s="5" t="str">
        <f aca="false">'1.3 TF-IDF coseno'!A139</f>
        <v>hence</v>
      </c>
      <c r="B139" s="2" t="n">
        <f aca="false">IF('1.3 TF-IDF coseno'!B139&gt;0,1,0)</f>
        <v>0</v>
      </c>
      <c r="C139" s="2" t="n">
        <f aca="false">IF('1.3 TF-IDF coseno'!C139&gt;0,1,0)</f>
        <v>1</v>
      </c>
      <c r="D139" s="2" t="n">
        <f aca="false">B139*C139</f>
        <v>0</v>
      </c>
    </row>
    <row r="140" customFormat="false" ht="15" hidden="false" customHeight="false" outlineLevel="0" collapsed="false">
      <c r="A140" s="5" t="str">
        <f aca="false">'1.3 TF-IDF coseno'!A140</f>
        <v>engaging</v>
      </c>
      <c r="B140" s="2" t="n">
        <f aca="false">IF('1.3 TF-IDF coseno'!B140&gt;0,1,0)</f>
        <v>0</v>
      </c>
      <c r="C140" s="2" t="n">
        <f aca="false">IF('1.3 TF-IDF coseno'!C140&gt;0,1,0)</f>
        <v>1</v>
      </c>
      <c r="D140" s="2" t="n">
        <f aca="false">B140*C140</f>
        <v>0</v>
      </c>
    </row>
    <row r="141" customFormat="false" ht="15" hidden="false" customHeight="false" outlineLevel="0" collapsed="false">
      <c r="A141" s="5" t="str">
        <f aca="false">'1.3 TF-IDF coseno'!A141</f>
        <v>arms</v>
      </c>
      <c r="B141" s="2" t="n">
        <f aca="false">IF('1.3 TF-IDF coseno'!B141&gt;0,1,0)</f>
        <v>0</v>
      </c>
      <c r="C141" s="2" t="n">
        <f aca="false">IF('1.3 TF-IDF coseno'!C141&gt;0,1,0)</f>
        <v>1</v>
      </c>
      <c r="D141" s="2" t="n">
        <f aca="false">B141*C141</f>
        <v>0</v>
      </c>
    </row>
    <row r="142" customFormat="false" ht="15" hidden="false" customHeight="false" outlineLevel="0" collapsed="false">
      <c r="A142" s="5" t="str">
        <f aca="false">'1.3 TF-IDF coseno'!A142</f>
        <v>race</v>
      </c>
      <c r="B142" s="2" t="n">
        <f aca="false">IF('1.3 TF-IDF coseno'!B142&gt;0,1,0)</f>
        <v>0</v>
      </c>
      <c r="C142" s="2" t="n">
        <f aca="false">IF('1.3 TF-IDF coseno'!C142&gt;0,1,0)</f>
        <v>1</v>
      </c>
      <c r="D142" s="2" t="n">
        <f aca="false">B142*C142</f>
        <v>0</v>
      </c>
    </row>
    <row r="143" customFormat="false" ht="15" hidden="false" customHeight="false" outlineLevel="0" collapsed="false">
      <c r="A143" s="5" t="str">
        <f aca="false">'1.3 TF-IDF coseno'!A143</f>
        <v>policing</v>
      </c>
      <c r="B143" s="2" t="n">
        <f aca="false">IF('1.3 TF-IDF coseno'!B143&gt;0,1,0)</f>
        <v>0</v>
      </c>
      <c r="C143" s="2" t="n">
        <f aca="false">IF('1.3 TF-IDF coseno'!C143&gt;0,1,0)</f>
        <v>1</v>
      </c>
      <c r="D143" s="2" t="n">
        <f aca="false">B143*C143</f>
        <v>0</v>
      </c>
    </row>
    <row r="144" customFormat="false" ht="15" hidden="false" customHeight="false" outlineLevel="0" collapsed="false">
      <c r="A144" s="5" t="str">
        <f aca="false">'1.3 TF-IDF coseno'!A144</f>
        <v>use</v>
      </c>
      <c r="B144" s="2" t="n">
        <f aca="false">IF('1.3 TF-IDF coseno'!B144&gt;0,1,0)</f>
        <v>0</v>
      </c>
      <c r="C144" s="2" t="n">
        <f aca="false">IF('1.3 TF-IDF coseno'!C144&gt;0,1,0)</f>
        <v>1</v>
      </c>
      <c r="D144" s="2" t="n">
        <f aca="false">B144*C144</f>
        <v>0</v>
      </c>
    </row>
    <row r="145" customFormat="false" ht="15" hidden="false" customHeight="false" outlineLevel="0" collapsed="false">
      <c r="A145" s="5" t="str">
        <f aca="false">'1.3 TF-IDF coseno'!A145</f>
        <v>technologies</v>
      </c>
      <c r="B145" s="2" t="n">
        <f aca="false">IF('1.3 TF-IDF coseno'!B145&gt;0,1,0)</f>
        <v>0</v>
      </c>
      <c r="C145" s="2" t="n">
        <f aca="false">IF('1.3 TF-IDF coseno'!C145&gt;0,1,0)</f>
        <v>1</v>
      </c>
      <c r="D145" s="2" t="n">
        <f aca="false">B145*C145</f>
        <v>0</v>
      </c>
    </row>
    <row r="146" customFormat="false" ht="15" hidden="false" customHeight="false" outlineLevel="0" collapsed="false">
      <c r="A146" s="5" t="str">
        <f aca="false">'1.3 TF-IDF coseno'!A146</f>
        <v>address</v>
      </c>
      <c r="B146" s="2" t="n">
        <f aca="false">IF('1.3 TF-IDF coseno'!B146&gt;0,1,0)</f>
        <v>0</v>
      </c>
      <c r="C146" s="2" t="n">
        <f aca="false">IF('1.3 TF-IDF coseno'!C146&gt;0,1,0)</f>
        <v>1</v>
      </c>
      <c r="D146" s="2" t="n">
        <f aca="false">B146*C146</f>
        <v>0</v>
      </c>
    </row>
    <row r="147" customFormat="false" ht="15" hidden="false" customHeight="false" outlineLevel="0" collapsed="false">
      <c r="A147" s="5" t="str">
        <f aca="false">'1.3 TF-IDF coseno'!A147</f>
        <v>fundamental</v>
      </c>
      <c r="B147" s="2" t="n">
        <f aca="false">IF('1.3 TF-IDF coseno'!B147&gt;0,1,0)</f>
        <v>0</v>
      </c>
      <c r="C147" s="2" t="n">
        <f aca="false">IF('1.3 TF-IDF coseno'!C147&gt;0,1,0)</f>
        <v>1</v>
      </c>
      <c r="D147" s="2" t="n">
        <f aca="false">B147*C147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Y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</cols>
  <sheetData>
    <row r="1" customFormat="false" ht="15" hidden="false" customHeight="false" outlineLevel="0" collapsed="false">
      <c r="A1" s="3" t="s">
        <v>247</v>
      </c>
    </row>
    <row r="3" customFormat="false" ht="15" hidden="false" customHeight="false" outlineLevel="0" collapsed="false">
      <c r="A3" s="7" t="s">
        <v>248</v>
      </c>
      <c r="B3" s="7" t="s">
        <v>249</v>
      </c>
      <c r="C3" s="7" t="s">
        <v>250</v>
      </c>
      <c r="D3" s="7" t="s">
        <v>251</v>
      </c>
      <c r="E3" s="7" t="s">
        <v>252</v>
      </c>
      <c r="F3" s="7" t="s">
        <v>253</v>
      </c>
      <c r="G3" s="7" t="s">
        <v>254</v>
      </c>
      <c r="H3" s="7" t="s">
        <v>255</v>
      </c>
      <c r="I3" s="7" t="s">
        <v>256</v>
      </c>
      <c r="J3" s="7" t="s">
        <v>257</v>
      </c>
      <c r="K3" s="7" t="s">
        <v>258</v>
      </c>
      <c r="L3" s="7" t="s">
        <v>259</v>
      </c>
      <c r="M3" s="7" t="s">
        <v>260</v>
      </c>
      <c r="N3" s="7" t="s">
        <v>261</v>
      </c>
      <c r="O3" s="7" t="s">
        <v>262</v>
      </c>
      <c r="P3" s="7" t="s">
        <v>263</v>
      </c>
      <c r="Q3" s="7" t="s">
        <v>264</v>
      </c>
      <c r="R3" s="7" t="s">
        <v>265</v>
      </c>
      <c r="S3" s="7" t="s">
        <v>266</v>
      </c>
      <c r="T3" s="7" t="s">
        <v>267</v>
      </c>
      <c r="U3" s="7" t="s">
        <v>268</v>
      </c>
      <c r="V3" s="7" t="s">
        <v>269</v>
      </c>
      <c r="W3" s="7" t="s">
        <v>270</v>
      </c>
      <c r="X3" s="7" t="s">
        <v>271</v>
      </c>
      <c r="Y3" s="7" t="s">
        <v>272</v>
      </c>
      <c r="Z3" s="7" t="s">
        <v>273</v>
      </c>
      <c r="AA3" s="7" t="s">
        <v>274</v>
      </c>
      <c r="AB3" s="7" t="s">
        <v>275</v>
      </c>
      <c r="AC3" s="7" t="s">
        <v>276</v>
      </c>
      <c r="AD3" s="7" t="s">
        <v>277</v>
      </c>
      <c r="AE3" s="7" t="s">
        <v>278</v>
      </c>
      <c r="AF3" s="7" t="s">
        <v>279</v>
      </c>
      <c r="AG3" s="7" t="s">
        <v>280</v>
      </c>
      <c r="AH3" s="7" t="s">
        <v>281</v>
      </c>
      <c r="AI3" s="7" t="s">
        <v>282</v>
      </c>
      <c r="AJ3" s="7" t="s">
        <v>283</v>
      </c>
      <c r="AK3" s="7" t="s">
        <v>284</v>
      </c>
      <c r="AL3" s="7" t="s">
        <v>285</v>
      </c>
      <c r="AM3" s="7" t="s">
        <v>286</v>
      </c>
      <c r="AN3" s="7" t="s">
        <v>287</v>
      </c>
      <c r="AO3" s="7" t="s">
        <v>288</v>
      </c>
      <c r="AP3" s="7" t="s">
        <v>289</v>
      </c>
      <c r="AQ3" s="7" t="s">
        <v>290</v>
      </c>
      <c r="AR3" s="7" t="s">
        <v>291</v>
      </c>
      <c r="AS3" s="7" t="s">
        <v>292</v>
      </c>
      <c r="AT3" s="7" t="s">
        <v>293</v>
      </c>
      <c r="AU3" s="7" t="s">
        <v>294</v>
      </c>
      <c r="AV3" s="7" t="s">
        <v>295</v>
      </c>
      <c r="AW3" s="7" t="s">
        <v>296</v>
      </c>
      <c r="AX3" s="7" t="s">
        <v>297</v>
      </c>
      <c r="AY3" s="7" t="s">
        <v>298</v>
      </c>
      <c r="AZ3" s="7" t="s">
        <v>299</v>
      </c>
      <c r="BA3" s="7" t="s">
        <v>300</v>
      </c>
      <c r="BB3" s="7" t="s">
        <v>301</v>
      </c>
      <c r="BC3" s="7" t="s">
        <v>302</v>
      </c>
      <c r="BD3" s="7" t="s">
        <v>303</v>
      </c>
      <c r="BE3" s="7" t="s">
        <v>304</v>
      </c>
      <c r="BF3" s="7" t="s">
        <v>305</v>
      </c>
      <c r="BG3" s="7" t="s">
        <v>306</v>
      </c>
      <c r="BH3" s="7" t="s">
        <v>307</v>
      </c>
      <c r="BI3" s="7" t="s">
        <v>308</v>
      </c>
      <c r="BJ3" s="7" t="s">
        <v>309</v>
      </c>
      <c r="BK3" s="7" t="s">
        <v>310</v>
      </c>
      <c r="BL3" s="7" t="s">
        <v>311</v>
      </c>
      <c r="BM3" s="7" t="s">
        <v>312</v>
      </c>
      <c r="BN3" s="7" t="s">
        <v>313</v>
      </c>
      <c r="BO3" s="7" t="s">
        <v>314</v>
      </c>
      <c r="BP3" s="7" t="s">
        <v>315</v>
      </c>
      <c r="BQ3" s="7" t="s">
        <v>316</v>
      </c>
      <c r="BR3" s="7" t="s">
        <v>317</v>
      </c>
      <c r="BS3" s="7" t="s">
        <v>318</v>
      </c>
      <c r="BT3" s="7" t="s">
        <v>319</v>
      </c>
      <c r="BU3" s="7" t="s">
        <v>320</v>
      </c>
      <c r="BV3" s="7" t="s">
        <v>321</v>
      </c>
      <c r="BW3" s="7" t="s">
        <v>322</v>
      </c>
      <c r="BX3" s="7" t="s">
        <v>323</v>
      </c>
      <c r="BY3" s="7" t="s">
        <v>324</v>
      </c>
      <c r="BZ3" s="7" t="s">
        <v>325</v>
      </c>
      <c r="CA3" s="7" t="s">
        <v>326</v>
      </c>
      <c r="CB3" s="7" t="s">
        <v>327</v>
      </c>
      <c r="CC3" s="7" t="s">
        <v>328</v>
      </c>
      <c r="CD3" s="7" t="s">
        <v>329</v>
      </c>
      <c r="CE3" s="7" t="s">
        <v>330</v>
      </c>
      <c r="CF3" s="7" t="s">
        <v>331</v>
      </c>
      <c r="CG3" s="7" t="s">
        <v>332</v>
      </c>
      <c r="CH3" s="7" t="s">
        <v>333</v>
      </c>
      <c r="CI3" s="7" t="s">
        <v>334</v>
      </c>
      <c r="CJ3" s="7" t="s">
        <v>335</v>
      </c>
      <c r="CK3" s="7" t="s">
        <v>336</v>
      </c>
      <c r="CL3" s="7" t="s">
        <v>337</v>
      </c>
      <c r="CM3" s="7" t="s">
        <v>338</v>
      </c>
      <c r="CN3" s="7" t="s">
        <v>339</v>
      </c>
      <c r="CO3" s="7" t="s">
        <v>340</v>
      </c>
      <c r="CP3" s="7" t="s">
        <v>341</v>
      </c>
      <c r="CQ3" s="7" t="s">
        <v>342</v>
      </c>
      <c r="CR3" s="7" t="s">
        <v>343</v>
      </c>
      <c r="CS3" s="7" t="s">
        <v>344</v>
      </c>
      <c r="CT3" s="7" t="s">
        <v>345</v>
      </c>
      <c r="CU3" s="7" t="s">
        <v>346</v>
      </c>
      <c r="CV3" s="7" t="s">
        <v>347</v>
      </c>
      <c r="CW3" s="7" t="s">
        <v>348</v>
      </c>
      <c r="CX3" s="7" t="s">
        <v>349</v>
      </c>
      <c r="CY3" s="7" t="s">
        <v>350</v>
      </c>
    </row>
    <row r="4" customFormat="false" ht="15" hidden="false" customHeight="false" outlineLevel="0" collapsed="false">
      <c r="A4" s="4" t="s">
        <v>58</v>
      </c>
      <c r="B4" s="2" t="n">
        <f aca="false">COUNTIF('1.3 TF-IDF coseno'!$M$10:$M$123,A4)</f>
        <v>2</v>
      </c>
      <c r="C4" s="2" t="n">
        <f aca="false">COUNTIF('1.3 TF-IDF coseno'!$N$10:$N$102,A4)</f>
        <v>7</v>
      </c>
      <c r="D4" s="15" t="n">
        <v>0.35239</v>
      </c>
      <c r="E4" s="15" t="n">
        <v>0.77988</v>
      </c>
      <c r="F4" s="15" t="n">
        <v>0.15489</v>
      </c>
      <c r="G4" s="15" t="n">
        <v>0.11259</v>
      </c>
      <c r="H4" s="15" t="n">
        <v>-0.15905</v>
      </c>
      <c r="I4" s="15" t="n">
        <v>0.27251</v>
      </c>
      <c r="J4" s="15" t="n">
        <v>-0.40809</v>
      </c>
      <c r="K4" s="15" t="n">
        <v>-0.72692</v>
      </c>
      <c r="L4" s="15" t="n">
        <v>0.11867</v>
      </c>
      <c r="M4" s="15" t="n">
        <v>0.18027</v>
      </c>
      <c r="N4" s="15" t="n">
        <v>-0.6841</v>
      </c>
      <c r="O4" s="15" t="n">
        <v>0.76745</v>
      </c>
      <c r="P4" s="15" t="n">
        <v>-0.048246</v>
      </c>
      <c r="Q4" s="15" t="n">
        <v>0.57617</v>
      </c>
      <c r="R4" s="15" t="n">
        <v>0.64573</v>
      </c>
      <c r="S4" s="15" t="n">
        <v>0.19839</v>
      </c>
      <c r="T4" s="15" t="n">
        <v>-0.45937</v>
      </c>
      <c r="U4" s="15" t="n">
        <v>0.79898</v>
      </c>
      <c r="V4" s="15" t="n">
        <v>1.2163</v>
      </c>
      <c r="W4" s="15" t="n">
        <v>-0.708</v>
      </c>
      <c r="X4" s="15" t="n">
        <v>-0.38933</v>
      </c>
      <c r="Y4" s="15" t="n">
        <v>-0.76558</v>
      </c>
      <c r="Z4" s="15" t="n">
        <v>0.63064</v>
      </c>
      <c r="AA4" s="15" t="n">
        <v>-0.27196</v>
      </c>
      <c r="AB4" s="15" t="n">
        <v>0.23798</v>
      </c>
      <c r="AC4" s="15" t="n">
        <v>-0.41747</v>
      </c>
      <c r="AD4" s="15" t="n">
        <v>0.33256</v>
      </c>
      <c r="AE4" s="15" t="n">
        <v>0.061651</v>
      </c>
      <c r="AF4" s="15" t="n">
        <v>-0.10204</v>
      </c>
      <c r="AG4" s="15" t="n">
        <v>0.66058</v>
      </c>
      <c r="AH4" s="15" t="n">
        <v>-0.56434</v>
      </c>
      <c r="AI4" s="15" t="n">
        <v>0.19412</v>
      </c>
      <c r="AJ4" s="15" t="n">
        <v>-0.16805</v>
      </c>
      <c r="AK4" s="15" t="n">
        <v>-0.91181</v>
      </c>
      <c r="AL4" s="15" t="n">
        <v>-0.075913</v>
      </c>
      <c r="AM4" s="15" t="n">
        <v>-0.16567</v>
      </c>
      <c r="AN4" s="15" t="n">
        <v>-0.1862</v>
      </c>
      <c r="AO4" s="15" t="n">
        <v>0.42456</v>
      </c>
      <c r="AP4" s="15" t="n">
        <v>-0.93952</v>
      </c>
      <c r="AQ4" s="15" t="n">
        <v>-1.3663</v>
      </c>
      <c r="AR4" s="15" t="n">
        <v>0.38085</v>
      </c>
      <c r="AS4" s="15" t="n">
        <v>0.25965</v>
      </c>
      <c r="AT4" s="15" t="n">
        <v>-0.2055</v>
      </c>
      <c r="AU4" s="15" t="n">
        <v>0.59215</v>
      </c>
      <c r="AV4" s="15" t="n">
        <v>-0.70678</v>
      </c>
      <c r="AW4" s="15" t="n">
        <v>0.40846</v>
      </c>
      <c r="AX4" s="15" t="n">
        <v>-0.116</v>
      </c>
      <c r="AY4" s="15" t="n">
        <v>0.0039168</v>
      </c>
      <c r="AZ4" s="15" t="n">
        <v>0.065516</v>
      </c>
      <c r="BA4" s="15" t="n">
        <v>0.93922</v>
      </c>
      <c r="BB4" s="15" t="n">
        <v>-0.12103</v>
      </c>
      <c r="BC4" s="15" t="n">
        <v>0.037132</v>
      </c>
      <c r="BD4" s="15" t="n">
        <v>0.39928</v>
      </c>
      <c r="BE4" s="15" t="n">
        <v>-0.74498</v>
      </c>
      <c r="BF4" s="15" t="n">
        <v>-0.16596</v>
      </c>
      <c r="BG4" s="15" t="n">
        <v>0.45701</v>
      </c>
      <c r="BH4" s="15" t="n">
        <v>-0.17093</v>
      </c>
      <c r="BI4" s="15" t="n">
        <v>-0.89102</v>
      </c>
      <c r="BJ4" s="15" t="n">
        <v>-0.43618</v>
      </c>
      <c r="BK4" s="15" t="n">
        <v>-0.053019</v>
      </c>
      <c r="BL4" s="15" t="n">
        <v>0.502</v>
      </c>
      <c r="BM4" s="15" t="n">
        <v>-0.31475</v>
      </c>
      <c r="BN4" s="15" t="n">
        <v>-1.029</v>
      </c>
      <c r="BO4" s="15" t="n">
        <v>0.34296</v>
      </c>
      <c r="BP4" s="15" t="n">
        <v>0.76058</v>
      </c>
      <c r="BQ4" s="15" t="n">
        <v>0.023688</v>
      </c>
      <c r="BR4" s="15" t="n">
        <v>-0.58827</v>
      </c>
      <c r="BS4" s="15" t="n">
        <v>0.0096552</v>
      </c>
      <c r="BT4" s="15" t="n">
        <v>0.55192</v>
      </c>
      <c r="BU4" s="15" t="n">
        <v>-0.23178</v>
      </c>
      <c r="BV4" s="15" t="n">
        <v>-0.22511</v>
      </c>
      <c r="BW4" s="15" t="n">
        <v>0.015229</v>
      </c>
      <c r="BX4" s="15" t="n">
        <v>0.1328</v>
      </c>
      <c r="BY4" s="15" t="n">
        <v>-0.016894</v>
      </c>
      <c r="BZ4" s="15" t="n">
        <v>-0.44029</v>
      </c>
      <c r="CA4" s="15" t="n">
        <v>-0.38795</v>
      </c>
      <c r="CB4" s="15" t="n">
        <v>0.64377</v>
      </c>
      <c r="CC4" s="15" t="n">
        <v>0.57362</v>
      </c>
      <c r="CD4" s="15" t="n">
        <v>0.018416</v>
      </c>
      <c r="CE4" s="15" t="n">
        <v>-0.085088</v>
      </c>
      <c r="CF4" s="15" t="n">
        <v>-0.45457</v>
      </c>
      <c r="CG4" s="15" t="n">
        <v>0.47465</v>
      </c>
      <c r="CH4" s="15" t="n">
        <v>0.22805</v>
      </c>
      <c r="CI4" s="15" t="n">
        <v>0.11104</v>
      </c>
      <c r="CJ4" s="15" t="n">
        <v>-0.65214</v>
      </c>
      <c r="CK4" s="15" t="n">
        <v>0.89736</v>
      </c>
      <c r="CL4" s="15" t="n">
        <v>0.86518</v>
      </c>
      <c r="CM4" s="15" t="n">
        <v>0.12856</v>
      </c>
      <c r="CN4" s="15" t="n">
        <v>-0.15918</v>
      </c>
      <c r="CO4" s="15" t="n">
        <v>-0.40459</v>
      </c>
      <c r="CP4" s="15" t="n">
        <v>0.024764</v>
      </c>
      <c r="CQ4" s="15" t="n">
        <v>0.13741</v>
      </c>
      <c r="CR4" s="15" t="n">
        <v>0.22429</v>
      </c>
      <c r="CS4" s="15" t="n">
        <v>-0.1663</v>
      </c>
      <c r="CT4" s="15" t="n">
        <v>0.33716</v>
      </c>
      <c r="CU4" s="15" t="n">
        <v>-0.69514</v>
      </c>
      <c r="CV4" s="15" t="n">
        <v>-0.022794</v>
      </c>
      <c r="CW4" s="15" t="n">
        <v>-1.0914</v>
      </c>
      <c r="CX4" s="15" t="n">
        <v>0.80467</v>
      </c>
      <c r="CY4" s="15" t="n">
        <v>1.012</v>
      </c>
    </row>
    <row r="5" customFormat="false" ht="15" hidden="false" customHeight="false" outlineLevel="0" collapsed="false">
      <c r="A5" s="4" t="s">
        <v>59</v>
      </c>
      <c r="B5" s="2" t="n">
        <f aca="false">COUNTIF('1.3 TF-IDF coseno'!$M$10:$M$123,A5)</f>
        <v>2</v>
      </c>
      <c r="C5" s="2" t="n">
        <f aca="false">COUNTIF('1.3 TF-IDF coseno'!$N$10:$N$102,A5)</f>
        <v>1</v>
      </c>
      <c r="D5" s="15" t="n">
        <v>0.34547</v>
      </c>
      <c r="E5" s="15" t="n">
        <v>0.31444</v>
      </c>
      <c r="F5" s="15" t="n">
        <v>-0.031311</v>
      </c>
      <c r="G5" s="15" t="n">
        <v>0.63676</v>
      </c>
      <c r="H5" s="15" t="n">
        <v>0.27265</v>
      </c>
      <c r="I5" s="15" t="n">
        <v>-0.61974</v>
      </c>
      <c r="J5" s="15" t="n">
        <v>-0.51774</v>
      </c>
      <c r="K5" s="15" t="n">
        <v>-0.2368</v>
      </c>
      <c r="L5" s="15" t="n">
        <v>-0.016551</v>
      </c>
      <c r="M5" s="15" t="n">
        <v>0.034353</v>
      </c>
      <c r="N5" s="15" t="n">
        <v>-0.15422</v>
      </c>
      <c r="O5" s="15" t="n">
        <v>0.043481</v>
      </c>
      <c r="P5" s="15" t="n">
        <v>0.72984</v>
      </c>
      <c r="Q5" s="15" t="n">
        <v>0.11122</v>
      </c>
      <c r="R5" s="15" t="n">
        <v>1.343</v>
      </c>
      <c r="S5" s="15" t="n">
        <v>0.30638</v>
      </c>
      <c r="T5" s="15" t="n">
        <v>0.13065</v>
      </c>
      <c r="U5" s="15" t="n">
        <v>0.94327</v>
      </c>
      <c r="V5" s="15" t="n">
        <v>0.59695</v>
      </c>
      <c r="W5" s="15" t="n">
        <v>-0.3927</v>
      </c>
      <c r="X5" s="15" t="n">
        <v>-0.93333</v>
      </c>
      <c r="Y5" s="15" t="n">
        <v>0.60884</v>
      </c>
      <c r="Z5" s="15" t="n">
        <v>0.40629</v>
      </c>
      <c r="AA5" s="15" t="n">
        <v>0.20508</v>
      </c>
      <c r="AB5" s="15" t="n">
        <v>0.037983</v>
      </c>
      <c r="AC5" s="15" t="n">
        <v>0.79005</v>
      </c>
      <c r="AD5" s="15" t="n">
        <v>-0.49057</v>
      </c>
      <c r="AE5" s="15" t="n">
        <v>-0.73495</v>
      </c>
      <c r="AF5" s="15" t="n">
        <v>-0.42249</v>
      </c>
      <c r="AG5" s="15" t="n">
        <v>0.22605</v>
      </c>
      <c r="AH5" s="15" t="n">
        <v>0.028285</v>
      </c>
      <c r="AI5" s="15" t="n">
        <v>-0.06285</v>
      </c>
      <c r="AJ5" s="15" t="n">
        <v>-0.030594</v>
      </c>
      <c r="AK5" s="15" t="n">
        <v>-0.31255</v>
      </c>
      <c r="AL5" s="15" t="n">
        <v>0.11552</v>
      </c>
      <c r="AM5" s="15" t="n">
        <v>-0.21525</v>
      </c>
      <c r="AN5" s="15" t="n">
        <v>-0.586</v>
      </c>
      <c r="AO5" s="15" t="n">
        <v>1.0774</v>
      </c>
      <c r="AP5" s="15" t="n">
        <v>-0.36998</v>
      </c>
      <c r="AQ5" s="15" t="n">
        <v>-0.13504</v>
      </c>
      <c r="AR5" s="15" t="n">
        <v>-0.075997</v>
      </c>
      <c r="AS5" s="15" t="n">
        <v>0.10737</v>
      </c>
      <c r="AT5" s="15" t="n">
        <v>-0.52318</v>
      </c>
      <c r="AU5" s="15" t="n">
        <v>-0.2741</v>
      </c>
      <c r="AV5" s="15" t="n">
        <v>0.15267</v>
      </c>
      <c r="AW5" s="15" t="n">
        <v>0.029012</v>
      </c>
      <c r="AX5" s="15" t="n">
        <v>-0.1334</v>
      </c>
      <c r="AY5" s="15" t="n">
        <v>0.4277</v>
      </c>
      <c r="AZ5" s="15" t="n">
        <v>-0.72453</v>
      </c>
      <c r="BA5" s="15" t="n">
        <v>0.038834</v>
      </c>
      <c r="BB5" s="15" t="n">
        <v>-0.33083</v>
      </c>
      <c r="BC5" s="15" t="n">
        <v>-0.033361</v>
      </c>
      <c r="BD5" s="15" t="n">
        <v>0.82193</v>
      </c>
      <c r="BE5" s="15" t="n">
        <v>0.3142</v>
      </c>
      <c r="BF5" s="15" t="n">
        <v>0.44183</v>
      </c>
      <c r="BG5" s="15" t="n">
        <v>-1.6826</v>
      </c>
      <c r="BH5" s="15" t="n">
        <v>0.25512</v>
      </c>
      <c r="BI5" s="15" t="n">
        <v>-0.0073721</v>
      </c>
      <c r="BJ5" s="15" t="n">
        <v>0.6932</v>
      </c>
      <c r="BK5" s="15" t="n">
        <v>0.2951</v>
      </c>
      <c r="BL5" s="15" t="n">
        <v>0.25394</v>
      </c>
      <c r="BM5" s="15" t="n">
        <v>0.63108</v>
      </c>
      <c r="BN5" s="15" t="n">
        <v>0.072754</v>
      </c>
      <c r="BO5" s="15" t="n">
        <v>0.37056</v>
      </c>
      <c r="BP5" s="15" t="n">
        <v>0.70195</v>
      </c>
      <c r="BQ5" s="15" t="n">
        <v>-0.20587</v>
      </c>
      <c r="BR5" s="15" t="n">
        <v>-0.081056</v>
      </c>
      <c r="BS5" s="15" t="n">
        <v>-0.98862</v>
      </c>
      <c r="BT5" s="15" t="n">
        <v>-0.30614</v>
      </c>
      <c r="BU5" s="15" t="n">
        <v>-1.0855</v>
      </c>
      <c r="BV5" s="15" t="n">
        <v>-0.033047</v>
      </c>
      <c r="BW5" s="15" t="n">
        <v>0.29546</v>
      </c>
      <c r="BX5" s="15" t="n">
        <v>0.51402</v>
      </c>
      <c r="BY5" s="15" t="n">
        <v>0.33626</v>
      </c>
      <c r="BZ5" s="15" t="n">
        <v>0.2015</v>
      </c>
      <c r="CA5" s="15" t="n">
        <v>0.01031</v>
      </c>
      <c r="CB5" s="15" t="n">
        <v>0.79075</v>
      </c>
      <c r="CC5" s="15" t="n">
        <v>0.076796</v>
      </c>
      <c r="CD5" s="15" t="n">
        <v>-0.2405</v>
      </c>
      <c r="CE5" s="15" t="n">
        <v>0.75816</v>
      </c>
      <c r="CF5" s="15" t="n">
        <v>0.63534</v>
      </c>
      <c r="CG5" s="15" t="n">
        <v>-0.40973</v>
      </c>
      <c r="CH5" s="15" t="n">
        <v>-0.63246</v>
      </c>
      <c r="CI5" s="15" t="n">
        <v>1.0055</v>
      </c>
      <c r="CJ5" s="15" t="n">
        <v>-1.4537</v>
      </c>
      <c r="CK5" s="15" t="n">
        <v>1.0159</v>
      </c>
      <c r="CL5" s="15" t="n">
        <v>1.1268</v>
      </c>
      <c r="CM5" s="15" t="n">
        <v>0.79828</v>
      </c>
      <c r="CN5" s="15" t="n">
        <v>0.21882</v>
      </c>
      <c r="CO5" s="15" t="n">
        <v>0.24361</v>
      </c>
      <c r="CP5" s="15" t="n">
        <v>0.48333</v>
      </c>
      <c r="CQ5" s="15" t="n">
        <v>-0.03308</v>
      </c>
      <c r="CR5" s="15" t="n">
        <v>-0.25713</v>
      </c>
      <c r="CS5" s="15" t="n">
        <v>0.065248</v>
      </c>
      <c r="CT5" s="15" t="n">
        <v>0.3149</v>
      </c>
      <c r="CU5" s="15" t="n">
        <v>-0.34215</v>
      </c>
      <c r="CV5" s="15" t="n">
        <v>-0.80395</v>
      </c>
      <c r="CW5" s="15" t="n">
        <v>-0.70771</v>
      </c>
      <c r="CX5" s="15" t="n">
        <v>0.76983</v>
      </c>
      <c r="CY5" s="15" t="n">
        <v>-0.087996</v>
      </c>
    </row>
    <row r="6" customFormat="false" ht="15" hidden="false" customHeight="false" outlineLevel="0" collapsed="false">
      <c r="A6" s="4" t="s">
        <v>60</v>
      </c>
      <c r="B6" s="2" t="n">
        <f aca="false">COUNTIF('1.3 TF-IDF coseno'!$M$10:$M$123,A6)</f>
        <v>2</v>
      </c>
      <c r="C6" s="2" t="n">
        <f aca="false">COUNTIF('1.3 TF-IDF coseno'!$N$10:$N$102,A6)</f>
        <v>1</v>
      </c>
      <c r="D6" s="15" t="n">
        <v>-0.31101</v>
      </c>
      <c r="E6" s="15" t="n">
        <v>-0.43291</v>
      </c>
      <c r="F6" s="15" t="n">
        <v>0.77734</v>
      </c>
      <c r="G6" s="15" t="n">
        <v>-0.31115</v>
      </c>
      <c r="H6" s="15" t="n">
        <v>0.052934</v>
      </c>
      <c r="I6" s="15" t="n">
        <v>-0.8502</v>
      </c>
      <c r="J6" s="15" t="n">
        <v>-0.35372</v>
      </c>
      <c r="K6" s="15" t="n">
        <v>-0.70531</v>
      </c>
      <c r="L6" s="15" t="n">
        <v>0.084464</v>
      </c>
      <c r="M6" s="15" t="n">
        <v>0.88768</v>
      </c>
      <c r="N6" s="15" t="n">
        <v>0.83527</v>
      </c>
      <c r="O6" s="15" t="n">
        <v>-0.41641</v>
      </c>
      <c r="P6" s="15" t="n">
        <v>0.36703</v>
      </c>
      <c r="Q6" s="15" t="n">
        <v>0.60834</v>
      </c>
      <c r="R6" s="15" t="n">
        <v>0.0085214</v>
      </c>
      <c r="S6" s="15" t="n">
        <v>0.94293</v>
      </c>
      <c r="T6" s="15" t="n">
        <v>0.5314</v>
      </c>
      <c r="U6" s="15" t="n">
        <v>-0.75322</v>
      </c>
      <c r="V6" s="15" t="n">
        <v>-0.86764</v>
      </c>
      <c r="W6" s="15" t="n">
        <v>0.34833</v>
      </c>
      <c r="X6" s="15" t="n">
        <v>-0.29865</v>
      </c>
      <c r="Y6" s="15" t="n">
        <v>-0.43442</v>
      </c>
      <c r="Z6" s="15" t="n">
        <v>0.3514</v>
      </c>
      <c r="AA6" s="15" t="n">
        <v>-1.1228</v>
      </c>
      <c r="AB6" s="15" t="n">
        <v>-1.2564</v>
      </c>
      <c r="AC6" s="15" t="n">
        <v>-0.094171</v>
      </c>
      <c r="AD6" s="15" t="n">
        <v>0.29402</v>
      </c>
      <c r="AE6" s="15" t="n">
        <v>0.31994</v>
      </c>
      <c r="AF6" s="15" t="n">
        <v>0.086692</v>
      </c>
      <c r="AG6" s="15" t="n">
        <v>0.31915</v>
      </c>
      <c r="AH6" s="15" t="n">
        <v>0.56067</v>
      </c>
      <c r="AI6" s="15" t="n">
        <v>0.032952</v>
      </c>
      <c r="AJ6" s="15" t="n">
        <v>-0.94379</v>
      </c>
      <c r="AK6" s="15" t="n">
        <v>-0.58112</v>
      </c>
      <c r="AL6" s="15" t="n">
        <v>0.11274</v>
      </c>
      <c r="AM6" s="15" t="n">
        <v>0.006062</v>
      </c>
      <c r="AN6" s="15" t="n">
        <v>-0.79353</v>
      </c>
      <c r="AO6" s="15" t="n">
        <v>0.70368</v>
      </c>
      <c r="AP6" s="15" t="n">
        <v>0.59687</v>
      </c>
      <c r="AQ6" s="15" t="n">
        <v>0.60501</v>
      </c>
      <c r="AR6" s="15" t="n">
        <v>-0.22855</v>
      </c>
      <c r="AS6" s="15" t="n">
        <v>-0.26469</v>
      </c>
      <c r="AT6" s="15" t="n">
        <v>0.045172</v>
      </c>
      <c r="AU6" s="15" t="n">
        <v>0.58118</v>
      </c>
      <c r="AV6" s="15" t="n">
        <v>0.26756</v>
      </c>
      <c r="AW6" s="15" t="n">
        <v>-0.47237</v>
      </c>
      <c r="AX6" s="15" t="n">
        <v>0.29358</v>
      </c>
      <c r="AY6" s="15" t="n">
        <v>-0.28342</v>
      </c>
      <c r="AZ6" s="15" t="n">
        <v>-0.22823</v>
      </c>
      <c r="BA6" s="15" t="n">
        <v>-0.59532</v>
      </c>
      <c r="BB6" s="15" t="n">
        <v>1.0845</v>
      </c>
      <c r="BC6" s="15" t="n">
        <v>0.21541</v>
      </c>
      <c r="BD6" s="15" t="n">
        <v>0.5789</v>
      </c>
      <c r="BE6" s="15" t="n">
        <v>1.5825</v>
      </c>
      <c r="BF6" s="15" t="n">
        <v>0.15322</v>
      </c>
      <c r="BG6" s="15" t="n">
        <v>-1.3246</v>
      </c>
      <c r="BH6" s="15" t="n">
        <v>0.42594</v>
      </c>
      <c r="BI6" s="15" t="n">
        <v>-0.24834</v>
      </c>
      <c r="BJ6" s="15" t="n">
        <v>1.3285</v>
      </c>
      <c r="BK6" s="15" t="n">
        <v>0.48737</v>
      </c>
      <c r="BL6" s="15" t="n">
        <v>0.17115</v>
      </c>
      <c r="BM6" s="15" t="n">
        <v>0.73042</v>
      </c>
      <c r="BN6" s="15" t="n">
        <v>0.51749</v>
      </c>
      <c r="BO6" s="15" t="n">
        <v>-0.50172</v>
      </c>
      <c r="BP6" s="15" t="n">
        <v>0.23246</v>
      </c>
      <c r="BQ6" s="15" t="n">
        <v>-0.33179</v>
      </c>
      <c r="BR6" s="15" t="n">
        <v>-0.31772</v>
      </c>
      <c r="BS6" s="15" t="n">
        <v>0.34714</v>
      </c>
      <c r="BT6" s="15" t="n">
        <v>0.95887</v>
      </c>
      <c r="BU6" s="15" t="n">
        <v>1.5972</v>
      </c>
      <c r="BV6" s="15" t="n">
        <v>0.76459</v>
      </c>
      <c r="BW6" s="15" t="n">
        <v>-0.1559</v>
      </c>
      <c r="BX6" s="15" t="n">
        <v>-0.13554</v>
      </c>
      <c r="BY6" s="15" t="n">
        <v>-0.97654</v>
      </c>
      <c r="BZ6" s="15" t="n">
        <v>-0.29545</v>
      </c>
      <c r="CA6" s="15" t="n">
        <v>0.097254</v>
      </c>
      <c r="CB6" s="15" t="n">
        <v>-0.17109</v>
      </c>
      <c r="CC6" s="15" t="n">
        <v>0.17695</v>
      </c>
      <c r="CD6" s="15" t="n">
        <v>-1.1941</v>
      </c>
      <c r="CE6" s="15" t="n">
        <v>0.41086</v>
      </c>
      <c r="CF6" s="15" t="n">
        <v>1.0578</v>
      </c>
      <c r="CG6" s="15" t="n">
        <v>0.55551</v>
      </c>
      <c r="CH6" s="15" t="n">
        <v>0.034317</v>
      </c>
      <c r="CI6" s="15" t="n">
        <v>-0.18596</v>
      </c>
      <c r="CJ6" s="15" t="n">
        <v>-1.7366</v>
      </c>
      <c r="CK6" s="15" t="n">
        <v>0.22696</v>
      </c>
      <c r="CL6" s="15" t="n">
        <v>1.0213</v>
      </c>
      <c r="CM6" s="15" t="n">
        <v>0.80212</v>
      </c>
      <c r="CN6" s="15" t="n">
        <v>-0.017432</v>
      </c>
      <c r="CO6" s="15" t="n">
        <v>-0.45574</v>
      </c>
      <c r="CP6" s="15" t="n">
        <v>-0.11358</v>
      </c>
      <c r="CQ6" s="15" t="n">
        <v>0.032074</v>
      </c>
      <c r="CR6" s="15" t="n">
        <v>-0.37083</v>
      </c>
      <c r="CS6" s="15" t="n">
        <v>0.22161</v>
      </c>
      <c r="CT6" s="15" t="n">
        <v>-0.0030162</v>
      </c>
      <c r="CU6" s="15" t="n">
        <v>0.23286</v>
      </c>
      <c r="CV6" s="15" t="n">
        <v>0.16984</v>
      </c>
      <c r="CW6" s="15" t="n">
        <v>-1.0727</v>
      </c>
      <c r="CX6" s="15" t="n">
        <v>-0.18416</v>
      </c>
      <c r="CY6" s="15" t="n">
        <v>0.45819</v>
      </c>
    </row>
    <row r="7" customFormat="false" ht="15" hidden="false" customHeight="false" outlineLevel="0" collapsed="false">
      <c r="A7" s="4" t="s">
        <v>64</v>
      </c>
      <c r="B7" s="2" t="n">
        <f aca="false">COUNTIF('1.3 TF-IDF coseno'!$M$10:$M$123,A7)</f>
        <v>1</v>
      </c>
      <c r="C7" s="2" t="n">
        <f aca="false">COUNTIF('1.3 TF-IDF coseno'!$N$10:$N$102,A7)</f>
        <v>0</v>
      </c>
      <c r="D7" s="15" t="n">
        <v>-0.39901</v>
      </c>
      <c r="E7" s="15" t="n">
        <v>0.72219</v>
      </c>
      <c r="F7" s="15" t="n">
        <v>0.35761</v>
      </c>
      <c r="G7" s="15" t="n">
        <v>0.44202</v>
      </c>
      <c r="H7" s="15" t="n">
        <v>0.96065</v>
      </c>
      <c r="I7" s="15" t="n">
        <v>-0.14992</v>
      </c>
      <c r="J7" s="15" t="n">
        <v>-0.39474</v>
      </c>
      <c r="K7" s="15" t="n">
        <v>0.60111</v>
      </c>
      <c r="L7" s="15" t="n">
        <v>-0.0069838</v>
      </c>
      <c r="M7" s="15" t="n">
        <v>-0.58195</v>
      </c>
      <c r="N7" s="15" t="n">
        <v>0.38573</v>
      </c>
      <c r="O7" s="15" t="n">
        <v>-0.62358</v>
      </c>
      <c r="P7" s="15" t="n">
        <v>0.09346</v>
      </c>
      <c r="Q7" s="15" t="n">
        <v>0.11159</v>
      </c>
      <c r="R7" s="15" t="n">
        <v>0.40168</v>
      </c>
      <c r="S7" s="15" t="n">
        <v>-0.028122</v>
      </c>
      <c r="T7" s="15" t="n">
        <v>0.42026</v>
      </c>
      <c r="U7" s="15" t="n">
        <v>-0.33642</v>
      </c>
      <c r="V7" s="15" t="n">
        <v>0.057942</v>
      </c>
      <c r="W7" s="15" t="n">
        <v>0.72631</v>
      </c>
      <c r="X7" s="15" t="n">
        <v>-0.68665</v>
      </c>
      <c r="Y7" s="15" t="n">
        <v>-0.43124</v>
      </c>
      <c r="Z7" s="15" t="n">
        <v>-0.0045034</v>
      </c>
      <c r="AA7" s="15" t="n">
        <v>-0.33352</v>
      </c>
      <c r="AB7" s="15" t="n">
        <v>-0.28637</v>
      </c>
      <c r="AC7" s="15" t="n">
        <v>-0.36417</v>
      </c>
      <c r="AD7" s="15" t="n">
        <v>-0.24758</v>
      </c>
      <c r="AE7" s="15" t="n">
        <v>-0.029707</v>
      </c>
      <c r="AF7" s="15" t="n">
        <v>-1.0744</v>
      </c>
      <c r="AG7" s="15" t="n">
        <v>-0.21185</v>
      </c>
      <c r="AH7" s="15" t="n">
        <v>-0.52507</v>
      </c>
      <c r="AI7" s="15" t="n">
        <v>1.2239</v>
      </c>
      <c r="AJ7" s="15" t="n">
        <v>-0.54441</v>
      </c>
      <c r="AK7" s="15" t="n">
        <v>0.031635</v>
      </c>
      <c r="AL7" s="15" t="n">
        <v>0.34985</v>
      </c>
      <c r="AM7" s="15" t="n">
        <v>0.17616</v>
      </c>
      <c r="AN7" s="15" t="n">
        <v>-0.15284</v>
      </c>
      <c r="AO7" s="15" t="n">
        <v>0.23009</v>
      </c>
      <c r="AP7" s="15" t="n">
        <v>-0.24221</v>
      </c>
      <c r="AQ7" s="15" t="n">
        <v>0.16406</v>
      </c>
      <c r="AR7" s="15" t="n">
        <v>0.072349</v>
      </c>
      <c r="AS7" s="15" t="n">
        <v>-0.0056697</v>
      </c>
      <c r="AT7" s="15" t="n">
        <v>-0.061041</v>
      </c>
      <c r="AU7" s="15" t="n">
        <v>-0.20472</v>
      </c>
      <c r="AV7" s="15" t="n">
        <v>0.10003</v>
      </c>
      <c r="AW7" s="15" t="n">
        <v>-0.19559</v>
      </c>
      <c r="AX7" s="15" t="n">
        <v>-0.091668</v>
      </c>
      <c r="AY7" s="15" t="n">
        <v>-0.2126</v>
      </c>
      <c r="AZ7" s="15" t="n">
        <v>0.096877</v>
      </c>
      <c r="BA7" s="15" t="n">
        <v>0.079562</v>
      </c>
      <c r="BB7" s="15" t="n">
        <v>0.029542</v>
      </c>
      <c r="BC7" s="15" t="n">
        <v>-0.11805</v>
      </c>
      <c r="BD7" s="15" t="n">
        <v>-0.25408</v>
      </c>
      <c r="BE7" s="15" t="n">
        <v>0.59386</v>
      </c>
      <c r="BF7" s="15" t="n">
        <v>0.055854</v>
      </c>
      <c r="BG7" s="15" t="n">
        <v>-2.0044</v>
      </c>
      <c r="BH7" s="15" t="n">
        <v>0.79315</v>
      </c>
      <c r="BI7" s="15" t="n">
        <v>-1.0467</v>
      </c>
      <c r="BJ7" s="15" t="n">
        <v>2.0948</v>
      </c>
      <c r="BK7" s="15" t="n">
        <v>-0.093772</v>
      </c>
      <c r="BL7" s="15" t="n">
        <v>0.050717</v>
      </c>
      <c r="BM7" s="15" t="n">
        <v>-0.19329</v>
      </c>
      <c r="BN7" s="15" t="n">
        <v>0.28786</v>
      </c>
      <c r="BO7" s="15" t="n">
        <v>-0.37746</v>
      </c>
      <c r="BP7" s="15" t="n">
        <v>0.67984</v>
      </c>
      <c r="BQ7" s="15" t="n">
        <v>-0.14231</v>
      </c>
      <c r="BR7" s="15" t="n">
        <v>-0.23934</v>
      </c>
      <c r="BS7" s="15" t="n">
        <v>-0.20855</v>
      </c>
      <c r="BT7" s="15" t="n">
        <v>0.61959</v>
      </c>
      <c r="BU7" s="15" t="n">
        <v>0.098884</v>
      </c>
      <c r="BV7" s="15" t="n">
        <v>-0.046714</v>
      </c>
      <c r="BW7" s="15" t="n">
        <v>-0.18852</v>
      </c>
      <c r="BX7" s="15" t="n">
        <v>0.47946</v>
      </c>
      <c r="BY7" s="15" t="n">
        <v>0.031469</v>
      </c>
      <c r="BZ7" s="15" t="n">
        <v>1.0589</v>
      </c>
      <c r="CA7" s="15" t="n">
        <v>0.20633</v>
      </c>
      <c r="CB7" s="15" t="n">
        <v>0.53744</v>
      </c>
      <c r="CC7" s="15" t="n">
        <v>-0.068317</v>
      </c>
      <c r="CD7" s="15" t="n">
        <v>-0.92857</v>
      </c>
      <c r="CE7" s="15" t="n">
        <v>-0.5814</v>
      </c>
      <c r="CF7" s="15" t="n">
        <v>0.46425</v>
      </c>
      <c r="CG7" s="15" t="n">
        <v>0.0070906</v>
      </c>
      <c r="CH7" s="15" t="n">
        <v>-0.55615</v>
      </c>
      <c r="CI7" s="15" t="n">
        <v>-0.14932</v>
      </c>
      <c r="CJ7" s="15" t="n">
        <v>-1.0091</v>
      </c>
      <c r="CK7" s="15" t="n">
        <v>0.54039</v>
      </c>
      <c r="CL7" s="15" t="n">
        <v>0.54576</v>
      </c>
      <c r="CM7" s="15" t="n">
        <v>-0.12443</v>
      </c>
      <c r="CN7" s="15" t="n">
        <v>0.30695</v>
      </c>
      <c r="CO7" s="15" t="n">
        <v>0.39566</v>
      </c>
      <c r="CP7" s="15" t="n">
        <v>0.39365</v>
      </c>
      <c r="CQ7" s="15" t="n">
        <v>-0.11755</v>
      </c>
      <c r="CR7" s="15" t="n">
        <v>0.19302</v>
      </c>
      <c r="CS7" s="15" t="n">
        <v>-0.51727</v>
      </c>
      <c r="CT7" s="15" t="n">
        <v>0.26023</v>
      </c>
      <c r="CU7" s="15" t="n">
        <v>0.26808</v>
      </c>
      <c r="CV7" s="15" t="n">
        <v>0.1873</v>
      </c>
      <c r="CW7" s="15" t="n">
        <v>-0.69134</v>
      </c>
      <c r="CX7" s="15" t="n">
        <v>0.78147</v>
      </c>
      <c r="CY7" s="15" t="n">
        <v>0.75188</v>
      </c>
    </row>
    <row r="8" customFormat="false" ht="15" hidden="false" customHeight="false" outlineLevel="0" collapsed="false">
      <c r="A8" s="4" t="s">
        <v>65</v>
      </c>
      <c r="B8" s="2" t="n">
        <f aca="false">COUNTIF('1.3 TF-IDF coseno'!$M$10:$M$123,A8)</f>
        <v>1</v>
      </c>
      <c r="C8" s="2" t="n">
        <f aca="false">COUNTIF('1.3 TF-IDF coseno'!$N$10:$N$102,A8)</f>
        <v>0</v>
      </c>
      <c r="D8" s="15" t="n">
        <v>0.24241</v>
      </c>
      <c r="E8" s="15" t="n">
        <v>0.45846</v>
      </c>
      <c r="F8" s="15" t="n">
        <v>-0.29419</v>
      </c>
      <c r="G8" s="15" t="n">
        <v>0.48428</v>
      </c>
      <c r="H8" s="15" t="n">
        <v>0.70585</v>
      </c>
      <c r="I8" s="15" t="n">
        <v>-0.92999</v>
      </c>
      <c r="J8" s="15" t="n">
        <v>-0.51084</v>
      </c>
      <c r="K8" s="15" t="n">
        <v>0.004797</v>
      </c>
      <c r="L8" s="15" t="n">
        <v>0.052998</v>
      </c>
      <c r="M8" s="15" t="n">
        <v>-0.60376</v>
      </c>
      <c r="N8" s="15" t="n">
        <v>0.032246</v>
      </c>
      <c r="O8" s="15" t="n">
        <v>-0.092365</v>
      </c>
      <c r="P8" s="15" t="n">
        <v>-0.29923</v>
      </c>
      <c r="Q8" s="15" t="n">
        <v>-0.46016</v>
      </c>
      <c r="R8" s="15" t="n">
        <v>0.28315</v>
      </c>
      <c r="S8" s="15" t="n">
        <v>-0.43575</v>
      </c>
      <c r="T8" s="15" t="n">
        <v>-0.2538</v>
      </c>
      <c r="U8" s="15" t="n">
        <v>0.43662</v>
      </c>
      <c r="V8" s="15" t="n">
        <v>-0.9151</v>
      </c>
      <c r="W8" s="15" t="n">
        <v>0.56403</v>
      </c>
      <c r="X8" s="15" t="n">
        <v>-0.64571</v>
      </c>
      <c r="Y8" s="15" t="n">
        <v>0.10816</v>
      </c>
      <c r="Z8" s="15" t="n">
        <v>-0.12087</v>
      </c>
      <c r="AA8" s="15" t="n">
        <v>0.032933</v>
      </c>
      <c r="AB8" s="15" t="n">
        <v>-0.49366</v>
      </c>
      <c r="AC8" s="15" t="n">
        <v>-0.44691</v>
      </c>
      <c r="AD8" s="15" t="n">
        <v>0.32416</v>
      </c>
      <c r="AE8" s="15" t="n">
        <v>-0.15993</v>
      </c>
      <c r="AF8" s="15" t="n">
        <v>-0.59858</v>
      </c>
      <c r="AG8" s="15" t="n">
        <v>-0.34355</v>
      </c>
      <c r="AH8" s="15" t="n">
        <v>-0.98357</v>
      </c>
      <c r="AI8" s="15" t="n">
        <v>0.83512</v>
      </c>
      <c r="AJ8" s="15" t="n">
        <v>-0.28589</v>
      </c>
      <c r="AK8" s="15" t="n">
        <v>-0.57337</v>
      </c>
      <c r="AL8" s="15" t="n">
        <v>0.35843</v>
      </c>
      <c r="AM8" s="15" t="n">
        <v>-0.44298</v>
      </c>
      <c r="AN8" s="15" t="n">
        <v>-0.57896</v>
      </c>
      <c r="AO8" s="15" t="n">
        <v>0.44098</v>
      </c>
      <c r="AP8" s="15" t="n">
        <v>-0.78221</v>
      </c>
      <c r="AQ8" s="15" t="n">
        <v>-0.11826</v>
      </c>
      <c r="AR8" s="15" t="n">
        <v>-0.37672</v>
      </c>
      <c r="AS8" s="15" t="n">
        <v>-0.27744</v>
      </c>
      <c r="AT8" s="15" t="n">
        <v>-0.3277</v>
      </c>
      <c r="AU8" s="15" t="n">
        <v>-0.0054275</v>
      </c>
      <c r="AV8" s="15" t="n">
        <v>0.10801</v>
      </c>
      <c r="AW8" s="15" t="n">
        <v>-0.11084</v>
      </c>
      <c r="AX8" s="15" t="n">
        <v>0.39844</v>
      </c>
      <c r="AY8" s="15" t="n">
        <v>0.3028</v>
      </c>
      <c r="AZ8" s="15" t="n">
        <v>0.0053793</v>
      </c>
      <c r="BA8" s="15" t="n">
        <v>-0.57754</v>
      </c>
      <c r="BB8" s="15" t="n">
        <v>-0.79336</v>
      </c>
      <c r="BC8" s="15" t="n">
        <v>0.10131</v>
      </c>
      <c r="BD8" s="15" t="n">
        <v>-1.0414</v>
      </c>
      <c r="BE8" s="15" t="n">
        <v>0.94593</v>
      </c>
      <c r="BF8" s="15" t="n">
        <v>0.80782</v>
      </c>
      <c r="BG8" s="15" t="n">
        <v>-1.5309</v>
      </c>
      <c r="BH8" s="15" t="n">
        <v>0.42669</v>
      </c>
      <c r="BI8" s="15" t="n">
        <v>-0.59653</v>
      </c>
      <c r="BJ8" s="15" t="n">
        <v>1.5254</v>
      </c>
      <c r="BK8" s="15" t="n">
        <v>-0.26122</v>
      </c>
      <c r="BL8" s="15" t="n">
        <v>-1.3743</v>
      </c>
      <c r="BM8" s="15" t="n">
        <v>0.46115</v>
      </c>
      <c r="BN8" s="15" t="n">
        <v>-0.37133</v>
      </c>
      <c r="BO8" s="15" t="n">
        <v>-0.21246</v>
      </c>
      <c r="BP8" s="15" t="n">
        <v>0.2623</v>
      </c>
      <c r="BQ8" s="15" t="n">
        <v>-0.083545</v>
      </c>
      <c r="BR8" s="15" t="n">
        <v>0.68394</v>
      </c>
      <c r="BS8" s="15" t="n">
        <v>-0.71561</v>
      </c>
      <c r="BT8" s="15" t="n">
        <v>0.73258</v>
      </c>
      <c r="BU8" s="15" t="n">
        <v>-0.13596</v>
      </c>
      <c r="BV8" s="15" t="n">
        <v>0.58503</v>
      </c>
      <c r="BW8" s="15" t="n">
        <v>-0.28914</v>
      </c>
      <c r="BX8" s="15" t="n">
        <v>0.068506</v>
      </c>
      <c r="BY8" s="15" t="n">
        <v>-0.95085</v>
      </c>
      <c r="BZ8" s="15" t="n">
        <v>0.32352</v>
      </c>
      <c r="CA8" s="15" t="n">
        <v>0.52325</v>
      </c>
      <c r="CB8" s="15" t="n">
        <v>-0.59789</v>
      </c>
      <c r="CC8" s="15" t="n">
        <v>-0.31616</v>
      </c>
      <c r="CD8" s="15" t="n">
        <v>-0.13341</v>
      </c>
      <c r="CE8" s="15" t="n">
        <v>0.211</v>
      </c>
      <c r="CF8" s="15" t="n">
        <v>0.55374</v>
      </c>
      <c r="CG8" s="15" t="n">
        <v>0.27205</v>
      </c>
      <c r="CH8" s="15" t="n">
        <v>0.39535</v>
      </c>
      <c r="CI8" s="15" t="n">
        <v>-0.28549</v>
      </c>
      <c r="CJ8" s="15" t="n">
        <v>-1.4028</v>
      </c>
      <c r="CK8" s="15" t="n">
        <v>-0.24287</v>
      </c>
      <c r="CL8" s="15" t="n">
        <v>-0.28634</v>
      </c>
      <c r="CM8" s="15" t="n">
        <v>0.045456</v>
      </c>
      <c r="CN8" s="15" t="n">
        <v>-0.26317</v>
      </c>
      <c r="CO8" s="15" t="n">
        <v>-0.53817</v>
      </c>
      <c r="CP8" s="15" t="n">
        <v>-0.58188</v>
      </c>
      <c r="CQ8" s="15" t="n">
        <v>-0.39642</v>
      </c>
      <c r="CR8" s="15" t="n">
        <v>0.38452</v>
      </c>
      <c r="CS8" s="15" t="n">
        <v>-0.91947</v>
      </c>
      <c r="CT8" s="15" t="n">
        <v>-0.65858</v>
      </c>
      <c r="CU8" s="15" t="n">
        <v>0.32465</v>
      </c>
      <c r="CV8" s="15" t="n">
        <v>-0.45359</v>
      </c>
      <c r="CW8" s="15" t="n">
        <v>0.15774</v>
      </c>
      <c r="CX8" s="15" t="n">
        <v>0.41552</v>
      </c>
      <c r="CY8" s="15" t="n">
        <v>0.7696</v>
      </c>
    </row>
    <row r="9" customFormat="false" ht="15" hidden="false" customHeight="false" outlineLevel="0" collapsed="false">
      <c r="A9" s="4" t="s">
        <v>66</v>
      </c>
      <c r="B9" s="2" t="n">
        <f aca="false">COUNTIF('1.3 TF-IDF coseno'!$M$10:$M$123,A9)</f>
        <v>1</v>
      </c>
      <c r="C9" s="2" t="n">
        <f aca="false">COUNTIF('1.3 TF-IDF coseno'!$N$10:$N$102,A9)</f>
        <v>1</v>
      </c>
      <c r="D9" s="15" t="n">
        <v>-0.55188</v>
      </c>
      <c r="E9" s="15" t="n">
        <v>0.72829</v>
      </c>
      <c r="F9" s="15" t="n">
        <v>0.5641</v>
      </c>
      <c r="G9" s="15" t="n">
        <v>0.34889</v>
      </c>
      <c r="H9" s="15" t="n">
        <v>0.35897</v>
      </c>
      <c r="I9" s="15" t="n">
        <v>-0.47325</v>
      </c>
      <c r="J9" s="15" t="n">
        <v>-0.7506</v>
      </c>
      <c r="K9" s="15" t="n">
        <v>-0.51533</v>
      </c>
      <c r="L9" s="15" t="n">
        <v>-0.35941</v>
      </c>
      <c r="M9" s="15" t="n">
        <v>-0.31772</v>
      </c>
      <c r="N9" s="15" t="n">
        <v>-0.027367</v>
      </c>
      <c r="O9" s="15" t="n">
        <v>-0.21891</v>
      </c>
      <c r="P9" s="15" t="n">
        <v>-0.046079</v>
      </c>
      <c r="Q9" s="15" t="n">
        <v>-0.29832</v>
      </c>
      <c r="R9" s="15" t="n">
        <v>-0.29427</v>
      </c>
      <c r="S9" s="15" t="n">
        <v>-0.52508</v>
      </c>
      <c r="T9" s="15" t="n">
        <v>-0.4474</v>
      </c>
      <c r="U9" s="15" t="n">
        <v>0.92838</v>
      </c>
      <c r="V9" s="15" t="n">
        <v>-0.81415</v>
      </c>
      <c r="W9" s="15" t="n">
        <v>-0.33373</v>
      </c>
      <c r="X9" s="15" t="n">
        <v>-0.52969</v>
      </c>
      <c r="Y9" s="15" t="n">
        <v>-0.69579</v>
      </c>
      <c r="Z9" s="15" t="n">
        <v>0.11445</v>
      </c>
      <c r="AA9" s="15" t="n">
        <v>-0.017317</v>
      </c>
      <c r="AB9" s="15" t="n">
        <v>-0.097425</v>
      </c>
      <c r="AC9" s="15" t="n">
        <v>0.10473</v>
      </c>
      <c r="AD9" s="15" t="n">
        <v>0.18007</v>
      </c>
      <c r="AE9" s="15" t="n">
        <v>-0.34489</v>
      </c>
      <c r="AF9" s="15" t="n">
        <v>-0.36328</v>
      </c>
      <c r="AG9" s="15" t="n">
        <v>0.036613</v>
      </c>
      <c r="AH9" s="15" t="n">
        <v>-0.31259</v>
      </c>
      <c r="AI9" s="15" t="n">
        <v>-0.33701</v>
      </c>
      <c r="AJ9" s="15" t="n">
        <v>0.20393</v>
      </c>
      <c r="AK9" s="15" t="n">
        <v>-0.29402</v>
      </c>
      <c r="AL9" s="15" t="n">
        <v>0.12804</v>
      </c>
      <c r="AM9" s="15" t="n">
        <v>-0.23866</v>
      </c>
      <c r="AN9" s="15" t="n">
        <v>-0.35718</v>
      </c>
      <c r="AO9" s="15" t="n">
        <v>-0.45254</v>
      </c>
      <c r="AP9" s="15" t="n">
        <v>-0.056492</v>
      </c>
      <c r="AQ9" s="15" t="n">
        <v>0.11048</v>
      </c>
      <c r="AR9" s="15" t="n">
        <v>-1.3352</v>
      </c>
      <c r="AS9" s="15" t="n">
        <v>0.066692</v>
      </c>
      <c r="AT9" s="15" t="n">
        <v>0.36738</v>
      </c>
      <c r="AU9" s="15" t="n">
        <v>-0.14631</v>
      </c>
      <c r="AV9" s="15" t="n">
        <v>-0.30721</v>
      </c>
      <c r="AW9" s="15" t="n">
        <v>0.1073</v>
      </c>
      <c r="AX9" s="15" t="n">
        <v>0.396</v>
      </c>
      <c r="AY9" s="15" t="n">
        <v>0.089584</v>
      </c>
      <c r="AZ9" s="15" t="n">
        <v>-0.48161</v>
      </c>
      <c r="BA9" s="15" t="n">
        <v>-0.053925</v>
      </c>
      <c r="BB9" s="15" t="n">
        <v>0.12647</v>
      </c>
      <c r="BC9" s="15" t="n">
        <v>-0.3093</v>
      </c>
      <c r="BD9" s="15" t="n">
        <v>-0.19711</v>
      </c>
      <c r="BE9" s="15" t="n">
        <v>1.2096</v>
      </c>
      <c r="BF9" s="15" t="n">
        <v>1.3269</v>
      </c>
      <c r="BG9" s="15" t="n">
        <v>-1.3543</v>
      </c>
      <c r="BH9" s="15" t="n">
        <v>0.6518</v>
      </c>
      <c r="BI9" s="15" t="n">
        <v>-0.19616</v>
      </c>
      <c r="BJ9" s="15" t="n">
        <v>0.82636</v>
      </c>
      <c r="BK9" s="15" t="n">
        <v>0.052784</v>
      </c>
      <c r="BL9" s="15" t="n">
        <v>-0.59523</v>
      </c>
      <c r="BM9" s="15" t="n">
        <v>0.21393</v>
      </c>
      <c r="BN9" s="15" t="n">
        <v>-0.35276</v>
      </c>
      <c r="BO9" s="15" t="n">
        <v>-0.44886</v>
      </c>
      <c r="BP9" s="15" t="n">
        <v>0.79438</v>
      </c>
      <c r="BQ9" s="15" t="n">
        <v>-0.046817</v>
      </c>
      <c r="BR9" s="15" t="n">
        <v>-0.11141</v>
      </c>
      <c r="BS9" s="15" t="n">
        <v>-0.19855</v>
      </c>
      <c r="BT9" s="15" t="n">
        <v>0.064595</v>
      </c>
      <c r="BU9" s="15" t="n">
        <v>-0.1332</v>
      </c>
      <c r="BV9" s="15" t="n">
        <v>0.55874</v>
      </c>
      <c r="BW9" s="15" t="n">
        <v>0.25807</v>
      </c>
      <c r="BX9" s="15" t="n">
        <v>-0.72467</v>
      </c>
      <c r="BY9" s="15" t="n">
        <v>-0.43303</v>
      </c>
      <c r="BZ9" s="15" t="n">
        <v>0.46371</v>
      </c>
      <c r="CA9" s="15" t="n">
        <v>-0.057641</v>
      </c>
      <c r="CB9" s="15" t="n">
        <v>-0.49447</v>
      </c>
      <c r="CC9" s="15" t="n">
        <v>-0.1775</v>
      </c>
      <c r="CD9" s="15" t="n">
        <v>-0.53058</v>
      </c>
      <c r="CE9" s="15" t="n">
        <v>0.30308</v>
      </c>
      <c r="CF9" s="15" t="n">
        <v>0.86124</v>
      </c>
      <c r="CG9" s="15" t="n">
        <v>-0.36734</v>
      </c>
      <c r="CH9" s="15" t="n">
        <v>0.11124</v>
      </c>
      <c r="CI9" s="15" t="n">
        <v>0.2897</v>
      </c>
      <c r="CJ9" s="15" t="n">
        <v>-1.5317</v>
      </c>
      <c r="CK9" s="15" t="n">
        <v>-0.53935</v>
      </c>
      <c r="CL9" s="15" t="n">
        <v>-0.97646</v>
      </c>
      <c r="CM9" s="15" t="n">
        <v>-0.17613</v>
      </c>
      <c r="CN9" s="15" t="n">
        <v>-0.53918</v>
      </c>
      <c r="CO9" s="15" t="n">
        <v>-0.79721</v>
      </c>
      <c r="CP9" s="15" t="n">
        <v>-0.094952</v>
      </c>
      <c r="CQ9" s="15" t="n">
        <v>0.36037</v>
      </c>
      <c r="CR9" s="15" t="n">
        <v>-0.12744</v>
      </c>
      <c r="CS9" s="15" t="n">
        <v>-0.30829</v>
      </c>
      <c r="CT9" s="15" t="n">
        <v>0.11184</v>
      </c>
      <c r="CU9" s="15" t="n">
        <v>0.69167</v>
      </c>
      <c r="CV9" s="15" t="n">
        <v>-0.15503</v>
      </c>
      <c r="CW9" s="15" t="n">
        <v>-0.40538</v>
      </c>
      <c r="CX9" s="15" t="n">
        <v>1.2264</v>
      </c>
      <c r="CY9" s="15" t="n">
        <v>0.73299</v>
      </c>
    </row>
    <row r="10" customFormat="false" ht="15" hidden="false" customHeight="false" outlineLevel="0" collapsed="false">
      <c r="A10" s="4" t="s">
        <v>67</v>
      </c>
      <c r="B10" s="2" t="n">
        <f aca="false">COUNTIF('1.3 TF-IDF coseno'!$M$10:$M$123,A10)</f>
        <v>4</v>
      </c>
      <c r="C10" s="2" t="n">
        <f aca="false">COUNTIF('1.3 TF-IDF coseno'!$N$10:$N$102,A10)</f>
        <v>0</v>
      </c>
      <c r="D10" s="15" t="n">
        <v>0.24193</v>
      </c>
      <c r="E10" s="15" t="n">
        <v>0.67849</v>
      </c>
      <c r="F10" s="15" t="n">
        <v>0.26217</v>
      </c>
      <c r="G10" s="15" t="n">
        <v>0.67969</v>
      </c>
      <c r="H10" s="15" t="n">
        <v>-0.12476</v>
      </c>
      <c r="I10" s="15" t="n">
        <v>-1.1939</v>
      </c>
      <c r="J10" s="15" t="n">
        <v>-1.2223</v>
      </c>
      <c r="K10" s="15" t="n">
        <v>-0.14684</v>
      </c>
      <c r="L10" s="15" t="n">
        <v>-0.68103</v>
      </c>
      <c r="M10" s="15" t="n">
        <v>0.5827</v>
      </c>
      <c r="N10" s="15" t="n">
        <v>-0.19876</v>
      </c>
      <c r="O10" s="15" t="n">
        <v>0.18772</v>
      </c>
      <c r="P10" s="15" t="n">
        <v>-0.073993</v>
      </c>
      <c r="Q10" s="15" t="n">
        <v>-0.061173</v>
      </c>
      <c r="R10" s="15" t="n">
        <v>0.39389</v>
      </c>
      <c r="S10" s="15" t="n">
        <v>-0.86332</v>
      </c>
      <c r="T10" s="15" t="n">
        <v>-1.0615</v>
      </c>
      <c r="U10" s="15" t="n">
        <v>-0.29955</v>
      </c>
      <c r="V10" s="15" t="n">
        <v>0.19892</v>
      </c>
      <c r="W10" s="15" t="n">
        <v>0.32182</v>
      </c>
      <c r="X10" s="15" t="n">
        <v>0.31248</v>
      </c>
      <c r="Y10" s="15" t="n">
        <v>-0.33117</v>
      </c>
      <c r="Z10" s="15" t="n">
        <v>0.018449</v>
      </c>
      <c r="AA10" s="15" t="n">
        <v>0.43362</v>
      </c>
      <c r="AB10" s="15" t="n">
        <v>-0.0095435</v>
      </c>
      <c r="AC10" s="15" t="n">
        <v>-0.48336</v>
      </c>
      <c r="AD10" s="15" t="n">
        <v>0.29628</v>
      </c>
      <c r="AE10" s="15" t="n">
        <v>-1.1735</v>
      </c>
      <c r="AF10" s="15" t="n">
        <v>-0.36948</v>
      </c>
      <c r="AG10" s="15" t="n">
        <v>0.26621</v>
      </c>
      <c r="AH10" s="15" t="n">
        <v>0.35377</v>
      </c>
      <c r="AI10" s="15" t="n">
        <v>0.01175</v>
      </c>
      <c r="AJ10" s="15" t="n">
        <v>-0.7351</v>
      </c>
      <c r="AK10" s="15" t="n">
        <v>-0.033878</v>
      </c>
      <c r="AL10" s="15" t="n">
        <v>0.34104</v>
      </c>
      <c r="AM10" s="15" t="n">
        <v>0.4893</v>
      </c>
      <c r="AN10" s="15" t="n">
        <v>-0.02093</v>
      </c>
      <c r="AO10" s="15" t="n">
        <v>0.10017</v>
      </c>
      <c r="AP10" s="15" t="n">
        <v>-0.41263</v>
      </c>
      <c r="AQ10" s="15" t="n">
        <v>0.18515</v>
      </c>
      <c r="AR10" s="15" t="n">
        <v>-0.071737</v>
      </c>
      <c r="AS10" s="15" t="n">
        <v>-0.71521</v>
      </c>
      <c r="AT10" s="15" t="n">
        <v>-0.92832</v>
      </c>
      <c r="AU10" s="15" t="n">
        <v>-0.46705</v>
      </c>
      <c r="AV10" s="15" t="n">
        <v>0.22142</v>
      </c>
      <c r="AW10" s="15" t="n">
        <v>-0.029034</v>
      </c>
      <c r="AX10" s="15" t="n">
        <v>0.30506</v>
      </c>
      <c r="AY10" s="15" t="n">
        <v>0.092585</v>
      </c>
      <c r="AZ10" s="15" t="n">
        <v>-0.03231</v>
      </c>
      <c r="BA10" s="15" t="n">
        <v>-1.6898</v>
      </c>
      <c r="BB10" s="15" t="n">
        <v>0.074744</v>
      </c>
      <c r="BC10" s="15" t="n">
        <v>-0.58399</v>
      </c>
      <c r="BD10" s="15" t="n">
        <v>-0.0028272</v>
      </c>
      <c r="BE10" s="15" t="n">
        <v>0.91195</v>
      </c>
      <c r="BF10" s="15" t="n">
        <v>-0.37544</v>
      </c>
      <c r="BG10" s="15" t="n">
        <v>-1.9169</v>
      </c>
      <c r="BH10" s="15" t="n">
        <v>0.27534</v>
      </c>
      <c r="BI10" s="15" t="n">
        <v>-0.45311</v>
      </c>
      <c r="BJ10" s="15" t="n">
        <v>2.6775</v>
      </c>
      <c r="BK10" s="15" t="n">
        <v>-0.098016</v>
      </c>
      <c r="BL10" s="15" t="n">
        <v>0.060141</v>
      </c>
      <c r="BM10" s="15" t="n">
        <v>0.12636</v>
      </c>
      <c r="BN10" s="15" t="n">
        <v>-0.57272</v>
      </c>
      <c r="BO10" s="15" t="n">
        <v>0.43858</v>
      </c>
      <c r="BP10" s="15" t="n">
        <v>-0.3243</v>
      </c>
      <c r="BQ10" s="15" t="n">
        <v>0.01339</v>
      </c>
      <c r="BR10" s="15" t="n">
        <v>-0.072263</v>
      </c>
      <c r="BS10" s="15" t="n">
        <v>-0.36007</v>
      </c>
      <c r="BT10" s="15" t="n">
        <v>1.2853</v>
      </c>
      <c r="BU10" s="15" t="n">
        <v>0.033994</v>
      </c>
      <c r="BV10" s="15" t="n">
        <v>-0.26115</v>
      </c>
      <c r="BW10" s="15" t="n">
        <v>-0.14249</v>
      </c>
      <c r="BX10" s="15" t="n">
        <v>0.10828</v>
      </c>
      <c r="BY10" s="15" t="n">
        <v>0.07259</v>
      </c>
      <c r="BZ10" s="15" t="n">
        <v>-0.024545</v>
      </c>
      <c r="CA10" s="15" t="n">
        <v>0.16152</v>
      </c>
      <c r="CB10" s="15" t="n">
        <v>-0.28274</v>
      </c>
      <c r="CC10" s="15" t="n">
        <v>-0.56382</v>
      </c>
      <c r="CD10" s="15" t="n">
        <v>-0.4711</v>
      </c>
      <c r="CE10" s="15" t="n">
        <v>-0.50271</v>
      </c>
      <c r="CF10" s="15" t="n">
        <v>0.22998</v>
      </c>
      <c r="CG10" s="15" t="n">
        <v>0.32401</v>
      </c>
      <c r="CH10" s="15" t="n">
        <v>-1.1461</v>
      </c>
      <c r="CI10" s="15" t="n">
        <v>-0.79601</v>
      </c>
      <c r="CJ10" s="15" t="n">
        <v>-1.1176</v>
      </c>
      <c r="CK10" s="15" t="n">
        <v>-0.74892</v>
      </c>
      <c r="CL10" s="15" t="n">
        <v>0.20702</v>
      </c>
      <c r="CM10" s="15" t="n">
        <v>-0.38873</v>
      </c>
      <c r="CN10" s="15" t="n">
        <v>0.26406</v>
      </c>
      <c r="CO10" s="15" t="n">
        <v>-0.19047</v>
      </c>
      <c r="CP10" s="15" t="n">
        <v>-0.41098</v>
      </c>
      <c r="CQ10" s="15" t="n">
        <v>0.017099</v>
      </c>
      <c r="CR10" s="15" t="n">
        <v>-0.70308</v>
      </c>
      <c r="CS10" s="15" t="n">
        <v>0.158</v>
      </c>
      <c r="CT10" s="15" t="n">
        <v>-1.0358</v>
      </c>
      <c r="CU10" s="15" t="n">
        <v>0.031633</v>
      </c>
      <c r="CV10" s="15" t="n">
        <v>0.22823</v>
      </c>
      <c r="CW10" s="15" t="n">
        <v>-0.26289</v>
      </c>
      <c r="CX10" s="15" t="n">
        <v>0.88606</v>
      </c>
      <c r="CY10" s="15" t="n">
        <v>-0.64922</v>
      </c>
    </row>
    <row r="11" customFormat="false" ht="15" hidden="false" customHeight="false" outlineLevel="0" collapsed="false">
      <c r="A11" s="4" t="s">
        <v>92</v>
      </c>
      <c r="B11" s="2" t="n">
        <f aca="false">COUNTIF('1.3 TF-IDF coseno'!$M$10:$M$123,A11)</f>
        <v>4</v>
      </c>
      <c r="C11" s="2" t="n">
        <f aca="false">COUNTIF('1.3 TF-IDF coseno'!$N$10:$N$102,A11)</f>
        <v>2</v>
      </c>
      <c r="D11" s="15" t="n">
        <v>0.29576</v>
      </c>
      <c r="E11" s="15" t="n">
        <v>0.76822</v>
      </c>
      <c r="F11" s="15" t="n">
        <v>-0.64301</v>
      </c>
      <c r="G11" s="15" t="n">
        <v>0.3542</v>
      </c>
      <c r="H11" s="15" t="n">
        <v>0.4718</v>
      </c>
      <c r="I11" s="15" t="n">
        <v>-0.1886</v>
      </c>
      <c r="J11" s="15" t="n">
        <v>-0.4511</v>
      </c>
      <c r="K11" s="15" t="n">
        <v>0.4861</v>
      </c>
      <c r="L11" s="15" t="n">
        <v>0.037184</v>
      </c>
      <c r="M11" s="15" t="n">
        <v>0.89778</v>
      </c>
      <c r="N11" s="15" t="n">
        <v>-0.4344</v>
      </c>
      <c r="O11" s="15" t="n">
        <v>-0.6782</v>
      </c>
      <c r="P11" s="15" t="n">
        <v>-0.52404</v>
      </c>
      <c r="Q11" s="15" t="n">
        <v>0.67126</v>
      </c>
      <c r="R11" s="15" t="n">
        <v>0.051964</v>
      </c>
      <c r="S11" s="15" t="n">
        <v>-0.84691</v>
      </c>
      <c r="T11" s="15" t="n">
        <v>0.45369</v>
      </c>
      <c r="U11" s="15" t="n">
        <v>0.038235</v>
      </c>
      <c r="V11" s="15" t="n">
        <v>-1.1173</v>
      </c>
      <c r="W11" s="15" t="n">
        <v>0.61603</v>
      </c>
      <c r="X11" s="15" t="n">
        <v>-1.1429</v>
      </c>
      <c r="Y11" s="15" t="n">
        <v>0.040068</v>
      </c>
      <c r="Z11" s="15" t="n">
        <v>0.68673</v>
      </c>
      <c r="AA11" s="15" t="n">
        <v>-0.099044</v>
      </c>
      <c r="AB11" s="15" t="n">
        <v>-0.82311</v>
      </c>
      <c r="AC11" s="15" t="n">
        <v>-0.46081</v>
      </c>
      <c r="AD11" s="15" t="n">
        <v>0.21694</v>
      </c>
      <c r="AE11" s="15" t="n">
        <v>-0.91177</v>
      </c>
      <c r="AF11" s="15" t="n">
        <v>-1.0395</v>
      </c>
      <c r="AG11" s="15" t="n">
        <v>0.1033</v>
      </c>
      <c r="AH11" s="15" t="n">
        <v>-0.74415</v>
      </c>
      <c r="AI11" s="15" t="n">
        <v>0.96167</v>
      </c>
      <c r="AJ11" s="15" t="n">
        <v>0.063783</v>
      </c>
      <c r="AK11" s="15" t="n">
        <v>0.038383</v>
      </c>
      <c r="AL11" s="15" t="n">
        <v>-0.63326</v>
      </c>
      <c r="AM11" s="15" t="n">
        <v>0.072576</v>
      </c>
      <c r="AN11" s="15" t="n">
        <v>-0.96552</v>
      </c>
      <c r="AO11" s="15" t="n">
        <v>0.80286</v>
      </c>
      <c r="AP11" s="15" t="n">
        <v>-0.97659</v>
      </c>
      <c r="AQ11" s="15" t="n">
        <v>0.53129</v>
      </c>
      <c r="AR11" s="15" t="n">
        <v>-0.60987</v>
      </c>
      <c r="AS11" s="15" t="n">
        <v>-0.13728</v>
      </c>
      <c r="AT11" s="15" t="n">
        <v>-0.32801</v>
      </c>
      <c r="AU11" s="15" t="n">
        <v>-0.09886</v>
      </c>
      <c r="AV11" s="15" t="n">
        <v>-0.095179</v>
      </c>
      <c r="AW11" s="15" t="n">
        <v>-0.34709</v>
      </c>
      <c r="AX11" s="15" t="n">
        <v>0.32289</v>
      </c>
      <c r="AY11" s="15" t="n">
        <v>0.29248</v>
      </c>
      <c r="AZ11" s="15" t="n">
        <v>-0.20091</v>
      </c>
      <c r="BA11" s="15" t="n">
        <v>-0.48917</v>
      </c>
      <c r="BB11" s="15" t="n">
        <v>-0.071877</v>
      </c>
      <c r="BC11" s="15" t="n">
        <v>-0.29989</v>
      </c>
      <c r="BD11" s="15" t="n">
        <v>-0.56343</v>
      </c>
      <c r="BE11" s="15" t="n">
        <v>0.78851</v>
      </c>
      <c r="BF11" s="15" t="n">
        <v>0.15249</v>
      </c>
      <c r="BG11" s="15" t="n">
        <v>-1.8269</v>
      </c>
      <c r="BH11" s="15" t="n">
        <v>0.91582</v>
      </c>
      <c r="BI11" s="15" t="n">
        <v>-0.39346</v>
      </c>
      <c r="BJ11" s="15" t="n">
        <v>2.0874</v>
      </c>
      <c r="BK11" s="15" t="n">
        <v>0.020593</v>
      </c>
      <c r="BL11" s="15" t="n">
        <v>0.28569</v>
      </c>
      <c r="BM11" s="15" t="n">
        <v>-0.41762</v>
      </c>
      <c r="BN11" s="15" t="n">
        <v>-0.0403</v>
      </c>
      <c r="BO11" s="15" t="n">
        <v>-0.5069</v>
      </c>
      <c r="BP11" s="15" t="n">
        <v>0.57702</v>
      </c>
      <c r="BQ11" s="15" t="n">
        <v>0.26037</v>
      </c>
      <c r="BR11" s="15" t="n">
        <v>-0.0097665</v>
      </c>
      <c r="BS11" s="15" t="n">
        <v>0.18719</v>
      </c>
      <c r="BT11" s="15" t="n">
        <v>1.4409</v>
      </c>
      <c r="BU11" s="15" t="n">
        <v>0.48926</v>
      </c>
      <c r="BV11" s="15" t="n">
        <v>0.46</v>
      </c>
      <c r="BW11" s="15" t="n">
        <v>-0.097184</v>
      </c>
      <c r="BX11" s="15" t="n">
        <v>0.061867</v>
      </c>
      <c r="BY11" s="15" t="n">
        <v>-0.37088</v>
      </c>
      <c r="BZ11" s="15" t="n">
        <v>-0.25459</v>
      </c>
      <c r="CA11" s="15" t="n">
        <v>0.43804</v>
      </c>
      <c r="CB11" s="15" t="n">
        <v>-0.61944</v>
      </c>
      <c r="CC11" s="15" t="n">
        <v>0.40353</v>
      </c>
      <c r="CD11" s="15" t="n">
        <v>-0.86386</v>
      </c>
      <c r="CE11" s="15" t="n">
        <v>-1.201</v>
      </c>
      <c r="CF11" s="15" t="n">
        <v>-0.42141</v>
      </c>
      <c r="CG11" s="15" t="n">
        <v>0.50534</v>
      </c>
      <c r="CH11" s="15" t="n">
        <v>0.091196</v>
      </c>
      <c r="CI11" s="15" t="n">
        <v>-0.65938</v>
      </c>
      <c r="CJ11" s="15" t="n">
        <v>-1.731</v>
      </c>
      <c r="CK11" s="15" t="n">
        <v>0.50761</v>
      </c>
      <c r="CL11" s="15" t="n">
        <v>-0.38395</v>
      </c>
      <c r="CM11" s="15" t="n">
        <v>-0.40393</v>
      </c>
      <c r="CN11" s="15" t="n">
        <v>-0.08251</v>
      </c>
      <c r="CO11" s="15" t="n">
        <v>-0.58137</v>
      </c>
      <c r="CP11" s="15" t="n">
        <v>0.37132</v>
      </c>
      <c r="CQ11" s="15" t="n">
        <v>-0.76512</v>
      </c>
      <c r="CR11" s="15" t="n">
        <v>-0.070605</v>
      </c>
      <c r="CS11" s="15" t="n">
        <v>0.64349</v>
      </c>
      <c r="CT11" s="15" t="n">
        <v>-0.60163</v>
      </c>
      <c r="CU11" s="15" t="n">
        <v>0.14938</v>
      </c>
      <c r="CV11" s="15" t="n">
        <v>0.28977</v>
      </c>
      <c r="CW11" s="15" t="n">
        <v>-0.62661</v>
      </c>
      <c r="CX11" s="15" t="n">
        <v>0.5522</v>
      </c>
      <c r="CY11" s="15" t="n">
        <v>-0.068743</v>
      </c>
    </row>
    <row r="12" customFormat="false" ht="15" hidden="false" customHeight="false" outlineLevel="0" collapsed="false">
      <c r="A12" s="4" t="s">
        <v>149</v>
      </c>
      <c r="B12" s="2" t="n">
        <f aca="false">COUNTIF('1.3 TF-IDF coseno'!$M$10:$M$123,A12)</f>
        <v>1</v>
      </c>
      <c r="C12" s="2" t="n">
        <f aca="false">COUNTIF('1.3 TF-IDF coseno'!$N$10:$N$102,A12)</f>
        <v>0</v>
      </c>
      <c r="D12" s="15" t="n">
        <v>0.073762</v>
      </c>
      <c r="E12" s="15" t="n">
        <v>0.32863</v>
      </c>
      <c r="F12" s="15" t="n">
        <v>0.010592</v>
      </c>
      <c r="G12" s="15" t="n">
        <v>0.2834</v>
      </c>
      <c r="H12" s="15" t="n">
        <v>-0.10044</v>
      </c>
      <c r="I12" s="15" t="n">
        <v>-0.61907</v>
      </c>
      <c r="J12" s="15" t="n">
        <v>-0.76746</v>
      </c>
      <c r="K12" s="15" t="n">
        <v>0.11927</v>
      </c>
      <c r="L12" s="15" t="n">
        <v>0.18218</v>
      </c>
      <c r="M12" s="15" t="n">
        <v>0.78544</v>
      </c>
      <c r="N12" s="15" t="n">
        <v>0.14651</v>
      </c>
      <c r="O12" s="15" t="n">
        <v>0.025413</v>
      </c>
      <c r="P12" s="15" t="n">
        <v>0.35077</v>
      </c>
      <c r="Q12" s="15" t="n">
        <v>-0.22578</v>
      </c>
      <c r="R12" s="15" t="n">
        <v>0.46994</v>
      </c>
      <c r="S12" s="15" t="n">
        <v>-0.84285</v>
      </c>
      <c r="T12" s="15" t="n">
        <v>0.46661</v>
      </c>
      <c r="U12" s="15" t="n">
        <v>0.49999</v>
      </c>
      <c r="V12" s="15" t="n">
        <v>0.068142</v>
      </c>
      <c r="W12" s="15" t="n">
        <v>-0.2657</v>
      </c>
      <c r="X12" s="15" t="n">
        <v>-0.23393</v>
      </c>
      <c r="Y12" s="15" t="n">
        <v>-0.35209</v>
      </c>
      <c r="Z12" s="15" t="n">
        <v>0.47979</v>
      </c>
      <c r="AA12" s="15" t="n">
        <v>0.24575</v>
      </c>
      <c r="AB12" s="15" t="n">
        <v>-0.057719</v>
      </c>
      <c r="AC12" s="15" t="n">
        <v>-1.1909</v>
      </c>
      <c r="AD12" s="15" t="n">
        <v>0.2117</v>
      </c>
      <c r="AE12" s="15" t="n">
        <v>-0.95552</v>
      </c>
      <c r="AF12" s="15" t="n">
        <v>-0.58426</v>
      </c>
      <c r="AG12" s="15" t="n">
        <v>0.56775</v>
      </c>
      <c r="AH12" s="15" t="n">
        <v>0.41577</v>
      </c>
      <c r="AI12" s="15" t="n">
        <v>0.80948</v>
      </c>
      <c r="AJ12" s="15" t="n">
        <v>-0.21897</v>
      </c>
      <c r="AK12" s="15" t="n">
        <v>-0.64616</v>
      </c>
      <c r="AL12" s="15" t="n">
        <v>-0.23008</v>
      </c>
      <c r="AM12" s="15" t="n">
        <v>0.38661</v>
      </c>
      <c r="AN12" s="15" t="n">
        <v>0.43897</v>
      </c>
      <c r="AO12" s="15" t="n">
        <v>-0.8437</v>
      </c>
      <c r="AP12" s="15" t="n">
        <v>-0.41319</v>
      </c>
      <c r="AQ12" s="15" t="n">
        <v>-0.044477</v>
      </c>
      <c r="AR12" s="15" t="n">
        <v>0.14951</v>
      </c>
      <c r="AS12" s="15" t="n">
        <v>-0.47787</v>
      </c>
      <c r="AT12" s="15" t="n">
        <v>0.1795</v>
      </c>
      <c r="AU12" s="15" t="n">
        <v>0.35893</v>
      </c>
      <c r="AV12" s="15" t="n">
        <v>0.4274</v>
      </c>
      <c r="AW12" s="15" t="n">
        <v>0.50824</v>
      </c>
      <c r="AX12" s="15" t="n">
        <v>-0.28022</v>
      </c>
      <c r="AY12" s="15" t="n">
        <v>0.010362</v>
      </c>
      <c r="AZ12" s="15" t="n">
        <v>-0.38428</v>
      </c>
      <c r="BA12" s="15" t="n">
        <v>-0.38558</v>
      </c>
      <c r="BB12" s="15" t="n">
        <v>0.22059</v>
      </c>
      <c r="BC12" s="15" t="n">
        <v>0.37914</v>
      </c>
      <c r="BD12" s="15" t="n">
        <v>-0.068147</v>
      </c>
      <c r="BE12" s="15" t="n">
        <v>0.29043</v>
      </c>
      <c r="BF12" s="15" t="n">
        <v>0.3378</v>
      </c>
      <c r="BG12" s="15" t="n">
        <v>-1.6657</v>
      </c>
      <c r="BH12" s="15" t="n">
        <v>0.49844</v>
      </c>
      <c r="BI12" s="15" t="n">
        <v>-0.70097</v>
      </c>
      <c r="BJ12" s="15" t="n">
        <v>1.8162</v>
      </c>
      <c r="BK12" s="15" t="n">
        <v>0.10784</v>
      </c>
      <c r="BL12" s="15" t="n">
        <v>-0.3033</v>
      </c>
      <c r="BM12" s="15" t="n">
        <v>0.13195</v>
      </c>
      <c r="BN12" s="15" t="n">
        <v>0.19096</v>
      </c>
      <c r="BO12" s="15" t="n">
        <v>0.38976</v>
      </c>
      <c r="BP12" s="15" t="n">
        <v>0.58666</v>
      </c>
      <c r="BQ12" s="15" t="n">
        <v>0.57633</v>
      </c>
      <c r="BR12" s="15" t="n">
        <v>-0.2449</v>
      </c>
      <c r="BS12" s="15" t="n">
        <v>0.077876</v>
      </c>
      <c r="BT12" s="15" t="n">
        <v>0.26966</v>
      </c>
      <c r="BU12" s="15" t="n">
        <v>-0.54794</v>
      </c>
      <c r="BV12" s="15" t="n">
        <v>0.6725</v>
      </c>
      <c r="BW12" s="15" t="n">
        <v>0.30101</v>
      </c>
      <c r="BX12" s="15" t="n">
        <v>0.35807</v>
      </c>
      <c r="BY12" s="15" t="n">
        <v>-0.46903</v>
      </c>
      <c r="BZ12" s="15" t="n">
        <v>0.65306</v>
      </c>
      <c r="CA12" s="15" t="n">
        <v>-0.40899</v>
      </c>
      <c r="CB12" s="15" t="n">
        <v>-0.018725</v>
      </c>
      <c r="CC12" s="15" t="n">
        <v>0.068953</v>
      </c>
      <c r="CD12" s="15" t="n">
        <v>-1.0777</v>
      </c>
      <c r="CE12" s="15" t="n">
        <v>0.13018</v>
      </c>
      <c r="CF12" s="15" t="n">
        <v>0.71381</v>
      </c>
      <c r="CG12" s="15" t="n">
        <v>-0.26825</v>
      </c>
      <c r="CH12" s="15" t="n">
        <v>0.070788</v>
      </c>
      <c r="CI12" s="15" t="n">
        <v>0.53845</v>
      </c>
      <c r="CJ12" s="15" t="n">
        <v>-1.4113</v>
      </c>
      <c r="CK12" s="15" t="n">
        <v>1.0172</v>
      </c>
      <c r="CL12" s="15" t="n">
        <v>-0.079068</v>
      </c>
      <c r="CM12" s="15" t="n">
        <v>-0.22278</v>
      </c>
      <c r="CN12" s="15" t="n">
        <v>-0.017293</v>
      </c>
      <c r="CO12" s="15" t="n">
        <v>0.65826</v>
      </c>
      <c r="CP12" s="15" t="n">
        <v>-0.60836</v>
      </c>
      <c r="CQ12" s="15" t="n">
        <v>0.066255</v>
      </c>
      <c r="CR12" s="15" t="n">
        <v>-0.40972</v>
      </c>
      <c r="CS12" s="15" t="n">
        <v>-0.58786</v>
      </c>
      <c r="CT12" s="15" t="n">
        <v>-0.44147</v>
      </c>
      <c r="CU12" s="15" t="n">
        <v>-0.19963</v>
      </c>
      <c r="CV12" s="15" t="n">
        <v>-0.14276</v>
      </c>
      <c r="CW12" s="15" t="n">
        <v>-0.15333</v>
      </c>
      <c r="CX12" s="15" t="n">
        <v>1.0243</v>
      </c>
      <c r="CY12" s="15" t="n">
        <v>0.47624</v>
      </c>
    </row>
    <row r="13" customFormat="false" ht="15" hidden="false" customHeight="false" outlineLevel="0" collapsed="false">
      <c r="A13" s="4" t="s">
        <v>150</v>
      </c>
      <c r="B13" s="2" t="n">
        <f aca="false">COUNTIF('1.3 TF-IDF coseno'!$M$10:$M$123,A13)</f>
        <v>1</v>
      </c>
      <c r="C13" s="2" t="n">
        <f aca="false">COUNTIF('1.3 TF-IDF coseno'!$N$10:$N$102,A13)</f>
        <v>0</v>
      </c>
      <c r="D13" s="15" t="n">
        <v>0.28503</v>
      </c>
      <c r="E13" s="15" t="n">
        <v>0.80416</v>
      </c>
      <c r="F13" s="15" t="n">
        <v>-0.19562</v>
      </c>
      <c r="G13" s="15" t="n">
        <v>0.71979</v>
      </c>
      <c r="H13" s="15" t="n">
        <v>1.1669</v>
      </c>
      <c r="I13" s="15" t="n">
        <v>0.50556</v>
      </c>
      <c r="J13" s="15" t="n">
        <v>0.24695</v>
      </c>
      <c r="K13" s="15" t="n">
        <v>-1.1224</v>
      </c>
      <c r="L13" s="15" t="n">
        <v>-0.40798</v>
      </c>
      <c r="M13" s="15" t="n">
        <v>0.377</v>
      </c>
      <c r="N13" s="15" t="n">
        <v>-0.78227</v>
      </c>
      <c r="O13" s="15" t="n">
        <v>-0.20613</v>
      </c>
      <c r="P13" s="15" t="n">
        <v>-0.31861</v>
      </c>
      <c r="Q13" s="15" t="n">
        <v>0.82327</v>
      </c>
      <c r="R13" s="15" t="n">
        <v>-0.63337</v>
      </c>
      <c r="S13" s="15" t="n">
        <v>0.28112</v>
      </c>
      <c r="T13" s="15" t="n">
        <v>0.40703</v>
      </c>
      <c r="U13" s="15" t="n">
        <v>-0.20191</v>
      </c>
      <c r="V13" s="15" t="n">
        <v>0.0086258</v>
      </c>
      <c r="W13" s="15" t="n">
        <v>0.5585</v>
      </c>
      <c r="X13" s="15" t="n">
        <v>-0.51683</v>
      </c>
      <c r="Y13" s="15" t="n">
        <v>-0.16477</v>
      </c>
      <c r="Z13" s="15" t="n">
        <v>0.49673</v>
      </c>
      <c r="AA13" s="15" t="n">
        <v>-0.21243</v>
      </c>
      <c r="AB13" s="15" t="n">
        <v>0.0025228</v>
      </c>
      <c r="AC13" s="15" t="n">
        <v>-0.63552</v>
      </c>
      <c r="AD13" s="15" t="n">
        <v>0.22567</v>
      </c>
      <c r="AE13" s="15" t="n">
        <v>-0.75243</v>
      </c>
      <c r="AF13" s="15" t="n">
        <v>0.18837</v>
      </c>
      <c r="AG13" s="15" t="n">
        <v>-0.20035</v>
      </c>
      <c r="AH13" s="15" t="n">
        <v>-0.87598</v>
      </c>
      <c r="AI13" s="15" t="n">
        <v>0.072468</v>
      </c>
      <c r="AJ13" s="15" t="n">
        <v>-0.84329</v>
      </c>
      <c r="AK13" s="15" t="n">
        <v>-0.198</v>
      </c>
      <c r="AL13" s="15" t="n">
        <v>-0.3244</v>
      </c>
      <c r="AM13" s="15" t="n">
        <v>-0.018427</v>
      </c>
      <c r="AN13" s="15" t="n">
        <v>-0.63865</v>
      </c>
      <c r="AO13" s="15" t="n">
        <v>0.57961</v>
      </c>
      <c r="AP13" s="15" t="n">
        <v>-1.2131</v>
      </c>
      <c r="AQ13" s="15" t="n">
        <v>0.050426</v>
      </c>
      <c r="AR13" s="15" t="n">
        <v>-0.98854</v>
      </c>
      <c r="AS13" s="15" t="n">
        <v>0.27221</v>
      </c>
      <c r="AT13" s="15" t="n">
        <v>-0.97066</v>
      </c>
      <c r="AU13" s="15" t="n">
        <v>-0.28447</v>
      </c>
      <c r="AV13" s="15" t="n">
        <v>0.11899</v>
      </c>
      <c r="AW13" s="15" t="n">
        <v>-0.96506</v>
      </c>
      <c r="AX13" s="15" t="n">
        <v>0.64593</v>
      </c>
      <c r="AY13" s="15" t="n">
        <v>-0.275</v>
      </c>
      <c r="AZ13" s="15" t="n">
        <v>-0.091021</v>
      </c>
      <c r="BA13" s="15" t="n">
        <v>0.37778</v>
      </c>
      <c r="BB13" s="15" t="n">
        <v>0.8973</v>
      </c>
      <c r="BC13" s="15" t="n">
        <v>0.53188</v>
      </c>
      <c r="BD13" s="15" t="n">
        <v>0.63449</v>
      </c>
      <c r="BE13" s="15" t="n">
        <v>0.34218</v>
      </c>
      <c r="BF13" s="15" t="n">
        <v>-0.49693</v>
      </c>
      <c r="BG13" s="15" t="n">
        <v>-1.0754</v>
      </c>
      <c r="BH13" s="15" t="n">
        <v>-0.41038</v>
      </c>
      <c r="BI13" s="15" t="n">
        <v>0.10435</v>
      </c>
      <c r="BJ13" s="15" t="n">
        <v>0.95883</v>
      </c>
      <c r="BK13" s="15" t="n">
        <v>0.17484</v>
      </c>
      <c r="BL13" s="15" t="n">
        <v>0.067505</v>
      </c>
      <c r="BM13" s="15" t="n">
        <v>1.4263</v>
      </c>
      <c r="BN13" s="15" t="n">
        <v>-0.43348</v>
      </c>
      <c r="BO13" s="15" t="n">
        <v>-0.53848</v>
      </c>
      <c r="BP13" s="15" t="n">
        <v>0.88093</v>
      </c>
      <c r="BQ13" s="15" t="n">
        <v>0.013147</v>
      </c>
      <c r="BR13" s="15" t="n">
        <v>0.64924</v>
      </c>
      <c r="BS13" s="15" t="n">
        <v>0.081101</v>
      </c>
      <c r="BT13" s="15" t="n">
        <v>0.83849</v>
      </c>
      <c r="BU13" s="15" t="n">
        <v>0.088919</v>
      </c>
      <c r="BV13" s="15" t="n">
        <v>0.099251</v>
      </c>
      <c r="BW13" s="15" t="n">
        <v>0.73782</v>
      </c>
      <c r="BX13" s="15" t="n">
        <v>0.7403</v>
      </c>
      <c r="BY13" s="15" t="n">
        <v>0.17657</v>
      </c>
      <c r="BZ13" s="15" t="n">
        <v>-1.0219</v>
      </c>
      <c r="CA13" s="15" t="n">
        <v>0.40102</v>
      </c>
      <c r="CB13" s="15" t="n">
        <v>-0.20379</v>
      </c>
      <c r="CC13" s="15" t="n">
        <v>0.15329</v>
      </c>
      <c r="CD13" s="15" t="n">
        <v>-0.90012</v>
      </c>
      <c r="CE13" s="15" t="n">
        <v>-0.65746</v>
      </c>
      <c r="CF13" s="15" t="n">
        <v>-0.8946</v>
      </c>
      <c r="CG13" s="15" t="n">
        <v>-0.023217</v>
      </c>
      <c r="CH13" s="15" t="n">
        <v>-0.29988</v>
      </c>
      <c r="CI13" s="15" t="n">
        <v>-0.3083</v>
      </c>
      <c r="CJ13" s="15" t="n">
        <v>-1.2622</v>
      </c>
      <c r="CK13" s="15" t="n">
        <v>0.41332</v>
      </c>
      <c r="CL13" s="15" t="n">
        <v>-0.74572</v>
      </c>
      <c r="CM13" s="15" t="n">
        <v>-1.2287</v>
      </c>
      <c r="CN13" s="15" t="n">
        <v>0.16423</v>
      </c>
      <c r="CO13" s="15" t="n">
        <v>-0.43918</v>
      </c>
      <c r="CP13" s="15" t="n">
        <v>0.19205</v>
      </c>
      <c r="CQ13" s="15" t="n">
        <v>-0.68811</v>
      </c>
      <c r="CR13" s="15" t="n">
        <v>0.32792</v>
      </c>
      <c r="CS13" s="15" t="n">
        <v>0.47319</v>
      </c>
      <c r="CT13" s="15" t="n">
        <v>-0.087294</v>
      </c>
      <c r="CU13" s="15" t="n">
        <v>0.3314</v>
      </c>
      <c r="CV13" s="15" t="n">
        <v>-0.27924</v>
      </c>
      <c r="CW13" s="15" t="n">
        <v>-0.7853</v>
      </c>
      <c r="CX13" s="15" t="n">
        <v>0.33028</v>
      </c>
      <c r="CY13" s="15" t="n">
        <v>0.69559</v>
      </c>
    </row>
    <row r="14" customFormat="false" ht="15" hidden="false" customHeight="false" outlineLevel="0" collapsed="false">
      <c r="A14" s="4" t="s">
        <v>151</v>
      </c>
      <c r="B14" s="2" t="n">
        <f aca="false">COUNTIF('1.3 TF-IDF coseno'!$M$10:$M$123,A14)</f>
        <v>1</v>
      </c>
      <c r="C14" s="2" t="n">
        <f aca="false">COUNTIF('1.3 TF-IDF coseno'!$N$10:$N$102,A14)</f>
        <v>0</v>
      </c>
      <c r="D14" s="15" t="n">
        <v>-0.72778</v>
      </c>
      <c r="E14" s="15" t="n">
        <v>0.0014966</v>
      </c>
      <c r="F14" s="15" t="n">
        <v>-0.26363</v>
      </c>
      <c r="G14" s="15" t="n">
        <v>0.29744</v>
      </c>
      <c r="H14" s="15" t="n">
        <v>-0.45792</v>
      </c>
      <c r="I14" s="15" t="n">
        <v>0.67171</v>
      </c>
      <c r="J14" s="15" t="n">
        <v>-0.1795</v>
      </c>
      <c r="K14" s="15" t="n">
        <v>0.13456</v>
      </c>
      <c r="L14" s="15" t="n">
        <v>0.51117</v>
      </c>
      <c r="M14" s="15" t="n">
        <v>0.10595</v>
      </c>
      <c r="N14" s="15" t="n">
        <v>0.37352</v>
      </c>
      <c r="O14" s="15" t="n">
        <v>0.22011</v>
      </c>
      <c r="P14" s="15" t="n">
        <v>1.2038</v>
      </c>
      <c r="Q14" s="15" t="n">
        <v>0.18638</v>
      </c>
      <c r="R14" s="15" t="n">
        <v>-0.53893</v>
      </c>
      <c r="S14" s="15" t="n">
        <v>-0.81158</v>
      </c>
      <c r="T14" s="15" t="n">
        <v>0.31678</v>
      </c>
      <c r="U14" s="15" t="n">
        <v>0.79218</v>
      </c>
      <c r="V14" s="15" t="n">
        <v>-0.82943</v>
      </c>
      <c r="W14" s="15" t="n">
        <v>-0.94989</v>
      </c>
      <c r="X14" s="15" t="n">
        <v>-0.40572</v>
      </c>
      <c r="Y14" s="15" t="n">
        <v>-0.63596</v>
      </c>
      <c r="Z14" s="15" t="n">
        <v>0.036332</v>
      </c>
      <c r="AA14" s="15" t="n">
        <v>-0.71016</v>
      </c>
      <c r="AB14" s="15" t="n">
        <v>-0.7612</v>
      </c>
      <c r="AC14" s="15" t="n">
        <v>-0.29572</v>
      </c>
      <c r="AD14" s="15" t="n">
        <v>-1.0716</v>
      </c>
      <c r="AE14" s="15" t="n">
        <v>-0.17809</v>
      </c>
      <c r="AF14" s="15" t="n">
        <v>-0.10064</v>
      </c>
      <c r="AG14" s="15" t="n">
        <v>0.29243</v>
      </c>
      <c r="AH14" s="15" t="n">
        <v>0.28197</v>
      </c>
      <c r="AI14" s="15" t="n">
        <v>0.48215</v>
      </c>
      <c r="AJ14" s="15" t="n">
        <v>0.019815</v>
      </c>
      <c r="AK14" s="15" t="n">
        <v>0.33322</v>
      </c>
      <c r="AL14" s="15" t="n">
        <v>0.63177</v>
      </c>
      <c r="AM14" s="15" t="n">
        <v>-0.029153</v>
      </c>
      <c r="AN14" s="15" t="n">
        <v>-0.1967</v>
      </c>
      <c r="AO14" s="15" t="n">
        <v>-0.30371</v>
      </c>
      <c r="AP14" s="15" t="n">
        <v>-0.22438</v>
      </c>
      <c r="AQ14" s="15" t="n">
        <v>-0.41432</v>
      </c>
      <c r="AR14" s="15" t="n">
        <v>0.076334</v>
      </c>
      <c r="AS14" s="15" t="n">
        <v>-0.43999</v>
      </c>
      <c r="AT14" s="15" t="n">
        <v>-0.18223</v>
      </c>
      <c r="AU14" s="15" t="n">
        <v>-0.39151</v>
      </c>
      <c r="AV14" s="15" t="n">
        <v>-0.49884</v>
      </c>
      <c r="AW14" s="15" t="n">
        <v>0.049789</v>
      </c>
      <c r="AX14" s="15" t="n">
        <v>-0.076897</v>
      </c>
      <c r="AY14" s="15" t="n">
        <v>-0.46406</v>
      </c>
      <c r="AZ14" s="15" t="n">
        <v>-0.5476</v>
      </c>
      <c r="BA14" s="15" t="n">
        <v>-1.4495</v>
      </c>
      <c r="BB14" s="15" t="n">
        <v>0.086827</v>
      </c>
      <c r="BC14" s="15" t="n">
        <v>-0.15255</v>
      </c>
      <c r="BD14" s="15" t="n">
        <v>0.31607</v>
      </c>
      <c r="BE14" s="15" t="n">
        <v>0.98073</v>
      </c>
      <c r="BF14" s="15" t="n">
        <v>-0.25933</v>
      </c>
      <c r="BG14" s="15" t="n">
        <v>-0.74564</v>
      </c>
      <c r="BH14" s="15" t="n">
        <v>0.1022</v>
      </c>
      <c r="BI14" s="15" t="n">
        <v>-0.044618</v>
      </c>
      <c r="BJ14" s="15" t="n">
        <v>1.3078</v>
      </c>
      <c r="BK14" s="15" t="n">
        <v>-0.16488</v>
      </c>
      <c r="BL14" s="15" t="n">
        <v>-0.04739</v>
      </c>
      <c r="BM14" s="15" t="n">
        <v>0.64905</v>
      </c>
      <c r="BN14" s="15" t="n">
        <v>-0.26571</v>
      </c>
      <c r="BO14" s="15" t="n">
        <v>-0.075779</v>
      </c>
      <c r="BP14" s="15" t="n">
        <v>0.56556</v>
      </c>
      <c r="BQ14" s="15" t="n">
        <v>-0.13114</v>
      </c>
      <c r="BR14" s="15" t="n">
        <v>0.14195</v>
      </c>
      <c r="BS14" s="15" t="n">
        <v>0.39849</v>
      </c>
      <c r="BT14" s="15" t="n">
        <v>0.13668</v>
      </c>
      <c r="BU14" s="15" t="n">
        <v>-0.11201</v>
      </c>
      <c r="BV14" s="15" t="n">
        <v>-0.020214</v>
      </c>
      <c r="BW14" s="15" t="n">
        <v>0.13884</v>
      </c>
      <c r="BX14" s="15" t="n">
        <v>0.7741</v>
      </c>
      <c r="BY14" s="15" t="n">
        <v>0.1426</v>
      </c>
      <c r="BZ14" s="15" t="n">
        <v>0.93711</v>
      </c>
      <c r="CA14" s="15" t="n">
        <v>-0.065979</v>
      </c>
      <c r="CB14" s="15" t="n">
        <v>-0.62063</v>
      </c>
      <c r="CC14" s="15" t="n">
        <v>-0.16809</v>
      </c>
      <c r="CD14" s="15" t="n">
        <v>-0.2235</v>
      </c>
      <c r="CE14" s="15" t="n">
        <v>-0.02518</v>
      </c>
      <c r="CF14" s="15" t="n">
        <v>0.46952</v>
      </c>
      <c r="CG14" s="15" t="n">
        <v>0.20774</v>
      </c>
      <c r="CH14" s="15" t="n">
        <v>-0.88015</v>
      </c>
      <c r="CI14" s="15" t="n">
        <v>0.82518</v>
      </c>
      <c r="CJ14" s="15" t="n">
        <v>-1.3919</v>
      </c>
      <c r="CK14" s="15" t="n">
        <v>-0.12509</v>
      </c>
      <c r="CL14" s="15" t="n">
        <v>0.36848</v>
      </c>
      <c r="CM14" s="15" t="n">
        <v>0.53325</v>
      </c>
      <c r="CN14" s="15" t="n">
        <v>-1.1022</v>
      </c>
      <c r="CO14" s="15" t="n">
        <v>0.050293</v>
      </c>
      <c r="CP14" s="15" t="n">
        <v>-0.69632</v>
      </c>
      <c r="CQ14" s="15" t="n">
        <v>-0.27261</v>
      </c>
      <c r="CR14" s="15" t="n">
        <v>-0.27611</v>
      </c>
      <c r="CS14" s="15" t="n">
        <v>-0.51208</v>
      </c>
      <c r="CT14" s="15" t="n">
        <v>0.60401</v>
      </c>
      <c r="CU14" s="15" t="n">
        <v>0.44316</v>
      </c>
      <c r="CV14" s="15" t="n">
        <v>0.14461</v>
      </c>
      <c r="CW14" s="15" t="n">
        <v>-0.33565</v>
      </c>
      <c r="CX14" s="15" t="n">
        <v>0.081419</v>
      </c>
      <c r="CY14" s="15" t="n">
        <v>-0.311</v>
      </c>
    </row>
    <row r="15" customFormat="false" ht="15" hidden="false" customHeight="false" outlineLevel="0" collapsed="false">
      <c r="A15" s="4" t="s">
        <v>152</v>
      </c>
      <c r="B15" s="2" t="n">
        <f aca="false">COUNTIF('1.3 TF-IDF coseno'!$M$10:$M$123,A15)</f>
        <v>1</v>
      </c>
      <c r="C15" s="2" t="n">
        <f aca="false">COUNTIF('1.3 TF-IDF coseno'!$N$10:$N$102,A15)</f>
        <v>0</v>
      </c>
      <c r="D15" s="15" t="n">
        <v>-0.065392</v>
      </c>
      <c r="E15" s="15" t="n">
        <v>-0.35683</v>
      </c>
      <c r="F15" s="15" t="n">
        <v>-0.37739</v>
      </c>
      <c r="G15" s="15" t="n">
        <v>0.3183</v>
      </c>
      <c r="H15" s="15" t="n">
        <v>0.025487</v>
      </c>
      <c r="I15" s="15" t="n">
        <v>0.22394</v>
      </c>
      <c r="J15" s="15" t="n">
        <v>0.28991</v>
      </c>
      <c r="K15" s="15" t="n">
        <v>0.36375</v>
      </c>
      <c r="L15" s="15" t="n">
        <v>0.20796</v>
      </c>
      <c r="M15" s="15" t="n">
        <v>0.22876</v>
      </c>
      <c r="N15" s="15" t="n">
        <v>0.30949</v>
      </c>
      <c r="O15" s="15" t="n">
        <v>0.64224</v>
      </c>
      <c r="P15" s="15" t="n">
        <v>0.69943</v>
      </c>
      <c r="Q15" s="15" t="n">
        <v>0.2816</v>
      </c>
      <c r="R15" s="15" t="n">
        <v>-0.32673</v>
      </c>
      <c r="S15" s="15" t="n">
        <v>-0.012818</v>
      </c>
      <c r="T15" s="15" t="n">
        <v>0.076488</v>
      </c>
      <c r="U15" s="15" t="n">
        <v>0.099755</v>
      </c>
      <c r="V15" s="15" t="n">
        <v>-1.1594</v>
      </c>
      <c r="W15" s="15" t="n">
        <v>0.29107</v>
      </c>
      <c r="X15" s="15" t="n">
        <v>-0.069093</v>
      </c>
      <c r="Y15" s="15" t="n">
        <v>-0.23513</v>
      </c>
      <c r="Z15" s="15" t="n">
        <v>-0.034342</v>
      </c>
      <c r="AA15" s="15" t="n">
        <v>-0.3061</v>
      </c>
      <c r="AB15" s="15" t="n">
        <v>-0.94728</v>
      </c>
      <c r="AC15" s="15" t="n">
        <v>-0.62386</v>
      </c>
      <c r="AD15" s="15" t="n">
        <v>0.47035</v>
      </c>
      <c r="AE15" s="15" t="n">
        <v>0.13447</v>
      </c>
      <c r="AF15" s="15" t="n">
        <v>-0.42196</v>
      </c>
      <c r="AG15" s="15" t="n">
        <v>0.44321</v>
      </c>
      <c r="AH15" s="15" t="n">
        <v>0.60193</v>
      </c>
      <c r="AI15" s="15" t="n">
        <v>0.05944</v>
      </c>
      <c r="AJ15" s="15" t="n">
        <v>-0.41473</v>
      </c>
      <c r="AK15" s="15" t="n">
        <v>0.42768</v>
      </c>
      <c r="AL15" s="15" t="n">
        <v>-0.15831</v>
      </c>
      <c r="AM15" s="15" t="n">
        <v>-0.23716</v>
      </c>
      <c r="AN15" s="15" t="n">
        <v>-0.46589</v>
      </c>
      <c r="AO15" s="15" t="n">
        <v>-0.30085</v>
      </c>
      <c r="AP15" s="15" t="n">
        <v>0.14407</v>
      </c>
      <c r="AQ15" s="15" t="n">
        <v>0.28863</v>
      </c>
      <c r="AR15" s="15" t="n">
        <v>-0.70053</v>
      </c>
      <c r="AS15" s="15" t="n">
        <v>-0.45912</v>
      </c>
      <c r="AT15" s="15" t="n">
        <v>-0.097348</v>
      </c>
      <c r="AU15" s="15" t="n">
        <v>-0.31647</v>
      </c>
      <c r="AV15" s="15" t="n">
        <v>0.016463</v>
      </c>
      <c r="AW15" s="15" t="n">
        <v>0.49265</v>
      </c>
      <c r="AX15" s="15" t="n">
        <v>0.3536</v>
      </c>
      <c r="AY15" s="15" t="n">
        <v>-0.31547</v>
      </c>
      <c r="AZ15" s="15" t="n">
        <v>0.031276</v>
      </c>
      <c r="BA15" s="15" t="n">
        <v>-0.84855</v>
      </c>
      <c r="BB15" s="15" t="n">
        <v>0.90403</v>
      </c>
      <c r="BC15" s="15" t="n">
        <v>-0.2559</v>
      </c>
      <c r="BD15" s="15" t="n">
        <v>-0.12413</v>
      </c>
      <c r="BE15" s="15" t="n">
        <v>0.72594</v>
      </c>
      <c r="BF15" s="15" t="n">
        <v>-0.59232</v>
      </c>
      <c r="BG15" s="15" t="n">
        <v>-0.14474</v>
      </c>
      <c r="BH15" s="15" t="n">
        <v>-0.14202</v>
      </c>
      <c r="BI15" s="15" t="n">
        <v>0.25859</v>
      </c>
      <c r="BJ15" s="15" t="n">
        <v>0.74949</v>
      </c>
      <c r="BK15" s="15" t="n">
        <v>0.47661</v>
      </c>
      <c r="BL15" s="15" t="n">
        <v>-0.50522</v>
      </c>
      <c r="BM15" s="15" t="n">
        <v>0.41435</v>
      </c>
      <c r="BN15" s="15" t="n">
        <v>-0.054405</v>
      </c>
      <c r="BO15" s="15" t="n">
        <v>-0.02283</v>
      </c>
      <c r="BP15" s="15" t="n">
        <v>1.0169</v>
      </c>
      <c r="BQ15" s="15" t="n">
        <v>-0.60738</v>
      </c>
      <c r="BR15" s="15" t="n">
        <v>0.21154</v>
      </c>
      <c r="BS15" s="15" t="n">
        <v>0.6183</v>
      </c>
      <c r="BT15" s="15" t="n">
        <v>0.45419</v>
      </c>
      <c r="BU15" s="15" t="n">
        <v>0.909</v>
      </c>
      <c r="BV15" s="15" t="n">
        <v>0.16449</v>
      </c>
      <c r="BW15" s="15" t="n">
        <v>-0.13627</v>
      </c>
      <c r="BX15" s="15" t="n">
        <v>-0.049526</v>
      </c>
      <c r="BY15" s="15" t="n">
        <v>0.47615</v>
      </c>
      <c r="BZ15" s="15" t="n">
        <v>-0.091446</v>
      </c>
      <c r="CA15" s="15" t="n">
        <v>-0.45692</v>
      </c>
      <c r="CB15" s="15" t="n">
        <v>0.23278</v>
      </c>
      <c r="CC15" s="15" t="n">
        <v>-0.42196</v>
      </c>
      <c r="CD15" s="15" t="n">
        <v>-1.3264</v>
      </c>
      <c r="CE15" s="15" t="n">
        <v>0.38805</v>
      </c>
      <c r="CF15" s="15" t="n">
        <v>0.53977</v>
      </c>
      <c r="CG15" s="15" t="n">
        <v>0.39247</v>
      </c>
      <c r="CH15" s="15" t="n">
        <v>0.15028</v>
      </c>
      <c r="CI15" s="15" t="n">
        <v>0.39075</v>
      </c>
      <c r="CJ15" s="15" t="n">
        <v>-0.80428</v>
      </c>
      <c r="CK15" s="15" t="n">
        <v>-0.32212</v>
      </c>
      <c r="CL15" s="15" t="n">
        <v>0.10052</v>
      </c>
      <c r="CM15" s="15" t="n">
        <v>0.45731</v>
      </c>
      <c r="CN15" s="15" t="n">
        <v>-0.83618</v>
      </c>
      <c r="CO15" s="15" t="n">
        <v>-0.40472</v>
      </c>
      <c r="CP15" s="15" t="n">
        <v>-0.51531</v>
      </c>
      <c r="CQ15" s="15" t="n">
        <v>-0.48251</v>
      </c>
      <c r="CR15" s="15" t="n">
        <v>-0.56534</v>
      </c>
      <c r="CS15" s="15" t="n">
        <v>0.0082466</v>
      </c>
      <c r="CT15" s="15" t="n">
        <v>0.93947</v>
      </c>
      <c r="CU15" s="15" t="n">
        <v>0.89816</v>
      </c>
      <c r="CV15" s="15" t="n">
        <v>-0.60541</v>
      </c>
      <c r="CW15" s="15" t="n">
        <v>-0.32857</v>
      </c>
      <c r="CX15" s="15" t="n">
        <v>0.16589</v>
      </c>
      <c r="CY15" s="15" t="n">
        <v>-0.77954</v>
      </c>
    </row>
    <row r="16" customFormat="false" ht="15" hidden="false" customHeight="false" outlineLevel="0" collapsed="false">
      <c r="A16" s="4" t="s">
        <v>153</v>
      </c>
      <c r="B16" s="2" t="n">
        <f aca="false">COUNTIF('1.3 TF-IDF coseno'!$M$10:$M$123,A16)</f>
        <v>1</v>
      </c>
      <c r="C16" s="2" t="n">
        <f aca="false">COUNTIF('1.3 TF-IDF coseno'!$N$10:$N$102,A16)</f>
        <v>0</v>
      </c>
      <c r="D16" s="15" t="n">
        <v>-0.12241</v>
      </c>
      <c r="E16" s="15" t="n">
        <v>0.64795</v>
      </c>
      <c r="F16" s="15" t="n">
        <v>0.43668</v>
      </c>
      <c r="G16" s="15" t="n">
        <v>0.011368</v>
      </c>
      <c r="H16" s="15" t="n">
        <v>0.50016</v>
      </c>
      <c r="I16" s="15" t="n">
        <v>-1.7566</v>
      </c>
      <c r="J16" s="15" t="n">
        <v>-0.11602</v>
      </c>
      <c r="K16" s="15" t="n">
        <v>-0.6066</v>
      </c>
      <c r="L16" s="15" t="n">
        <v>0.4503</v>
      </c>
      <c r="M16" s="15" t="n">
        <v>0.5398</v>
      </c>
      <c r="N16" s="15" t="n">
        <v>0.1874</v>
      </c>
      <c r="O16" s="15" t="n">
        <v>-0.84542</v>
      </c>
      <c r="P16" s="15" t="n">
        <v>-0.092969</v>
      </c>
      <c r="Q16" s="15" t="n">
        <v>-0.31566</v>
      </c>
      <c r="R16" s="15" t="n">
        <v>0.11042</v>
      </c>
      <c r="S16" s="15" t="n">
        <v>-0.47435</v>
      </c>
      <c r="T16" s="15" t="n">
        <v>0.7741</v>
      </c>
      <c r="U16" s="15" t="n">
        <v>0.31396</v>
      </c>
      <c r="V16" s="15" t="n">
        <v>-0.11717</v>
      </c>
      <c r="W16" s="15" t="n">
        <v>-0.13313</v>
      </c>
      <c r="X16" s="15" t="n">
        <v>-0.70702</v>
      </c>
      <c r="Y16" s="15" t="n">
        <v>-0.60281</v>
      </c>
      <c r="Z16" s="15" t="n">
        <v>0.65207</v>
      </c>
      <c r="AA16" s="15" t="n">
        <v>0.18216</v>
      </c>
      <c r="AB16" s="15" t="n">
        <v>0.21873</v>
      </c>
      <c r="AC16" s="15" t="n">
        <v>0.29776</v>
      </c>
      <c r="AD16" s="15" t="n">
        <v>0.55822</v>
      </c>
      <c r="AE16" s="15" t="n">
        <v>0.15692</v>
      </c>
      <c r="AF16" s="15" t="n">
        <v>-0.71419</v>
      </c>
      <c r="AG16" s="15" t="n">
        <v>0.34676</v>
      </c>
      <c r="AH16" s="15" t="n">
        <v>-0.88056</v>
      </c>
      <c r="AI16" s="15" t="n">
        <v>1.2271</v>
      </c>
      <c r="AJ16" s="15" t="n">
        <v>-1.1038</v>
      </c>
      <c r="AK16" s="15" t="n">
        <v>0.077266</v>
      </c>
      <c r="AL16" s="15" t="n">
        <v>0.13609</v>
      </c>
      <c r="AM16" s="15" t="n">
        <v>-0.37551</v>
      </c>
      <c r="AN16" s="15" t="n">
        <v>-0.55034</v>
      </c>
      <c r="AO16" s="15" t="n">
        <v>-0.20421</v>
      </c>
      <c r="AP16" s="15" t="n">
        <v>-0.24678</v>
      </c>
      <c r="AQ16" s="15" t="n">
        <v>-0.37198</v>
      </c>
      <c r="AR16" s="15" t="n">
        <v>-0.39151</v>
      </c>
      <c r="AS16" s="15" t="n">
        <v>-0.7625</v>
      </c>
      <c r="AT16" s="15" t="n">
        <v>-0.79822</v>
      </c>
      <c r="AU16" s="15" t="n">
        <v>-0.32582</v>
      </c>
      <c r="AV16" s="15" t="n">
        <v>-0.79754</v>
      </c>
      <c r="AW16" s="15" t="n">
        <v>-0.61215</v>
      </c>
      <c r="AX16" s="15" t="n">
        <v>0.5155</v>
      </c>
      <c r="AY16" s="15" t="n">
        <v>0.94283</v>
      </c>
      <c r="AZ16" s="15" t="n">
        <v>0.19897</v>
      </c>
      <c r="BA16" s="15" t="n">
        <v>-0.54619</v>
      </c>
      <c r="BB16" s="15" t="n">
        <v>-0.0045733</v>
      </c>
      <c r="BC16" s="15" t="n">
        <v>0.09343</v>
      </c>
      <c r="BD16" s="15" t="n">
        <v>-0.082556</v>
      </c>
      <c r="BE16" s="15" t="n">
        <v>0.71745</v>
      </c>
      <c r="BF16" s="15" t="n">
        <v>0.35637</v>
      </c>
      <c r="BG16" s="15" t="n">
        <v>-1.7272</v>
      </c>
      <c r="BH16" s="15" t="n">
        <v>-0.32136</v>
      </c>
      <c r="BI16" s="15" t="n">
        <v>0.21428</v>
      </c>
      <c r="BJ16" s="15" t="n">
        <v>2.1984</v>
      </c>
      <c r="BK16" s="15" t="n">
        <v>-0.31475</v>
      </c>
      <c r="BL16" s="15" t="n">
        <v>-0.13576</v>
      </c>
      <c r="BM16" s="15" t="n">
        <v>0.29911</v>
      </c>
      <c r="BN16" s="15" t="n">
        <v>-0.15316</v>
      </c>
      <c r="BO16" s="15" t="n">
        <v>0.42718</v>
      </c>
      <c r="BP16" s="15" t="n">
        <v>-0.23339</v>
      </c>
      <c r="BQ16" s="15" t="n">
        <v>0.31844</v>
      </c>
      <c r="BR16" s="15" t="n">
        <v>0.52753</v>
      </c>
      <c r="BS16" s="15" t="n">
        <v>0.037693</v>
      </c>
      <c r="BT16" s="15" t="n">
        <v>0.9048</v>
      </c>
      <c r="BU16" s="15" t="n">
        <v>0.81874</v>
      </c>
      <c r="BV16" s="15" t="n">
        <v>0.27461</v>
      </c>
      <c r="BW16" s="15" t="n">
        <v>0.26394</v>
      </c>
      <c r="BX16" s="15" t="n">
        <v>-0.13823</v>
      </c>
      <c r="BY16" s="15" t="n">
        <v>-0.4553</v>
      </c>
      <c r="BZ16" s="15" t="n">
        <v>-0.56588</v>
      </c>
      <c r="CA16" s="15" t="n">
        <v>-0.43715</v>
      </c>
      <c r="CB16" s="15" t="n">
        <v>0.39307</v>
      </c>
      <c r="CC16" s="15" t="n">
        <v>-0.15391</v>
      </c>
      <c r="CD16" s="15" t="n">
        <v>-0.65672</v>
      </c>
      <c r="CE16" s="15" t="n">
        <v>-0.30455</v>
      </c>
      <c r="CF16" s="15" t="n">
        <v>1.3799</v>
      </c>
      <c r="CG16" s="15" t="n">
        <v>0.092602</v>
      </c>
      <c r="CH16" s="15" t="n">
        <v>-0.52282</v>
      </c>
      <c r="CI16" s="15" t="n">
        <v>-0.047887</v>
      </c>
      <c r="CJ16" s="15" t="n">
        <v>-1.8976</v>
      </c>
      <c r="CK16" s="15" t="n">
        <v>0.73656</v>
      </c>
      <c r="CL16" s="15" t="n">
        <v>0.84234</v>
      </c>
      <c r="CM16" s="15" t="n">
        <v>-0.66351</v>
      </c>
      <c r="CN16" s="15" t="n">
        <v>-0.070919</v>
      </c>
      <c r="CO16" s="15" t="n">
        <v>-0.42469</v>
      </c>
      <c r="CP16" s="15" t="n">
        <v>0.50692</v>
      </c>
      <c r="CQ16" s="15" t="n">
        <v>-0.0061325</v>
      </c>
      <c r="CR16" s="15" t="n">
        <v>0.11424</v>
      </c>
      <c r="CS16" s="15" t="n">
        <v>0.03485</v>
      </c>
      <c r="CT16" s="15" t="n">
        <v>-0.20473</v>
      </c>
      <c r="CU16" s="15" t="n">
        <v>0.26622</v>
      </c>
      <c r="CV16" s="15" t="n">
        <v>0.034906</v>
      </c>
      <c r="CW16" s="15" t="n">
        <v>-0.72184</v>
      </c>
      <c r="CX16" s="15" t="n">
        <v>1.068</v>
      </c>
      <c r="CY16" s="15" t="n">
        <v>0.30766</v>
      </c>
    </row>
    <row r="17" customFormat="false" ht="15" hidden="false" customHeight="false" outlineLevel="0" collapsed="false">
      <c r="A17" s="4" t="s">
        <v>154</v>
      </c>
      <c r="B17" s="2" t="n">
        <f aca="false">COUNTIF('1.3 TF-IDF coseno'!$M$10:$M$123,A17)</f>
        <v>1</v>
      </c>
      <c r="C17" s="2" t="n">
        <f aca="false">COUNTIF('1.3 TF-IDF coseno'!$N$10:$N$102,A17)</f>
        <v>0</v>
      </c>
      <c r="D17" s="15" t="n">
        <v>-0.45979</v>
      </c>
      <c r="E17" s="15" t="n">
        <v>0.23672</v>
      </c>
      <c r="F17" s="15" t="n">
        <v>0.25809</v>
      </c>
      <c r="G17" s="15" t="n">
        <v>0.11469</v>
      </c>
      <c r="H17" s="15" t="n">
        <v>-0.59638</v>
      </c>
      <c r="I17" s="15" t="n">
        <v>-0.98749</v>
      </c>
      <c r="J17" s="15" t="n">
        <v>-0.33618</v>
      </c>
      <c r="K17" s="15" t="n">
        <v>-0.43426</v>
      </c>
      <c r="L17" s="15" t="n">
        <v>0.010626</v>
      </c>
      <c r="M17" s="15" t="n">
        <v>-0.0038046</v>
      </c>
      <c r="N17" s="15" t="n">
        <v>-0.19098</v>
      </c>
      <c r="O17" s="15" t="n">
        <v>-0.023084</v>
      </c>
      <c r="P17" s="15" t="n">
        <v>0.12459</v>
      </c>
      <c r="Q17" s="15" t="n">
        <v>-0.62822</v>
      </c>
      <c r="R17" s="15" t="n">
        <v>0.36987</v>
      </c>
      <c r="S17" s="15" t="n">
        <v>-0.020986</v>
      </c>
      <c r="T17" s="15" t="n">
        <v>-0.32828</v>
      </c>
      <c r="U17" s="15" t="n">
        <v>0.4655</v>
      </c>
      <c r="V17" s="15" t="n">
        <v>0.030348</v>
      </c>
      <c r="W17" s="15" t="n">
        <v>0.16968</v>
      </c>
      <c r="X17" s="15" t="n">
        <v>0.030032</v>
      </c>
      <c r="Y17" s="15" t="n">
        <v>-0.28502</v>
      </c>
      <c r="Z17" s="15" t="n">
        <v>-0.30284</v>
      </c>
      <c r="AA17" s="15" t="n">
        <v>0.11444</v>
      </c>
      <c r="AB17" s="15" t="n">
        <v>-0.15823</v>
      </c>
      <c r="AC17" s="15" t="n">
        <v>0.31006</v>
      </c>
      <c r="AD17" s="15" t="n">
        <v>-0.046429</v>
      </c>
      <c r="AE17" s="15" t="n">
        <v>-0.046499</v>
      </c>
      <c r="AF17" s="15" t="n">
        <v>-0.40334</v>
      </c>
      <c r="AG17" s="15" t="n">
        <v>0.081744</v>
      </c>
      <c r="AH17" s="15" t="n">
        <v>0.031221</v>
      </c>
      <c r="AI17" s="15" t="n">
        <v>0.12131</v>
      </c>
      <c r="AJ17" s="15" t="n">
        <v>-0.057991</v>
      </c>
      <c r="AK17" s="15" t="n">
        <v>0.33885</v>
      </c>
      <c r="AL17" s="15" t="n">
        <v>-0.59232</v>
      </c>
      <c r="AM17" s="15" t="n">
        <v>-0.8231</v>
      </c>
      <c r="AN17" s="15" t="n">
        <v>0.53053</v>
      </c>
      <c r="AO17" s="15" t="n">
        <v>0.70738</v>
      </c>
      <c r="AP17" s="15" t="n">
        <v>-0.76127</v>
      </c>
      <c r="AQ17" s="15" t="n">
        <v>0.10582</v>
      </c>
      <c r="AR17" s="15" t="n">
        <v>-0.90172</v>
      </c>
      <c r="AS17" s="15" t="n">
        <v>-0.57568</v>
      </c>
      <c r="AT17" s="15" t="n">
        <v>-0.061495</v>
      </c>
      <c r="AU17" s="15" t="n">
        <v>0.26569</v>
      </c>
      <c r="AV17" s="15" t="n">
        <v>0.28084</v>
      </c>
      <c r="AW17" s="15" t="n">
        <v>0.45919</v>
      </c>
      <c r="AX17" s="15" t="n">
        <v>0.69826</v>
      </c>
      <c r="AY17" s="15" t="n">
        <v>-0.13623</v>
      </c>
      <c r="AZ17" s="15" t="n">
        <v>-0.62929</v>
      </c>
      <c r="BA17" s="15" t="n">
        <v>-1.0352</v>
      </c>
      <c r="BB17" s="15" t="n">
        <v>0.35758</v>
      </c>
      <c r="BC17" s="15" t="n">
        <v>0.28699</v>
      </c>
      <c r="BD17" s="15" t="n">
        <v>-0.20054</v>
      </c>
      <c r="BE17" s="15" t="n">
        <v>0.50652</v>
      </c>
      <c r="BF17" s="15" t="n">
        <v>0.33803</v>
      </c>
      <c r="BG17" s="15" t="n">
        <v>-2.1622</v>
      </c>
      <c r="BH17" s="15" t="n">
        <v>0.40857</v>
      </c>
      <c r="BI17" s="15" t="n">
        <v>-0.44238</v>
      </c>
      <c r="BJ17" s="15" t="n">
        <v>1.7458</v>
      </c>
      <c r="BK17" s="15" t="n">
        <v>0.33978</v>
      </c>
      <c r="BL17" s="15" t="n">
        <v>-0.35024</v>
      </c>
      <c r="BM17" s="15" t="n">
        <v>1.1444</v>
      </c>
      <c r="BN17" s="15" t="n">
        <v>-0.52022</v>
      </c>
      <c r="BO17" s="15" t="n">
        <v>0.20514</v>
      </c>
      <c r="BP17" s="15" t="n">
        <v>0.81816</v>
      </c>
      <c r="BQ17" s="15" t="n">
        <v>-0.036994</v>
      </c>
      <c r="BR17" s="15" t="n">
        <v>-0.24361</v>
      </c>
      <c r="BS17" s="15" t="n">
        <v>-0.51663</v>
      </c>
      <c r="BT17" s="15" t="n">
        <v>0.45195</v>
      </c>
      <c r="BU17" s="15" t="n">
        <v>-0.54042</v>
      </c>
      <c r="BV17" s="15" t="n">
        <v>0.57509</v>
      </c>
      <c r="BW17" s="15" t="n">
        <v>0.10391</v>
      </c>
      <c r="BX17" s="15" t="n">
        <v>0.41344</v>
      </c>
      <c r="BY17" s="15" t="n">
        <v>0.14503</v>
      </c>
      <c r="BZ17" s="15" t="n">
        <v>0.28043</v>
      </c>
      <c r="CA17" s="15" t="n">
        <v>-0.4664</v>
      </c>
      <c r="CB17" s="15" t="n">
        <v>0.40125</v>
      </c>
      <c r="CC17" s="15" t="n">
        <v>-0.40696</v>
      </c>
      <c r="CD17" s="15" t="n">
        <v>-0.5573</v>
      </c>
      <c r="CE17" s="15" t="n">
        <v>0.43855</v>
      </c>
      <c r="CF17" s="15" t="n">
        <v>0.29619</v>
      </c>
      <c r="CG17" s="15" t="n">
        <v>-0.094231</v>
      </c>
      <c r="CH17" s="15" t="n">
        <v>-0.21588</v>
      </c>
      <c r="CI17" s="15" t="n">
        <v>-0.27616</v>
      </c>
      <c r="CJ17" s="15" t="n">
        <v>-1.1057</v>
      </c>
      <c r="CK17" s="15" t="n">
        <v>-0.82437</v>
      </c>
      <c r="CL17" s="15" t="n">
        <v>-0.31074</v>
      </c>
      <c r="CM17" s="15" t="n">
        <v>-0.46635</v>
      </c>
      <c r="CN17" s="15" t="n">
        <v>-0.54294</v>
      </c>
      <c r="CO17" s="15" t="n">
        <v>-0.84744</v>
      </c>
      <c r="CP17" s="15" t="n">
        <v>0.10368</v>
      </c>
      <c r="CQ17" s="15" t="n">
        <v>0.20521</v>
      </c>
      <c r="CR17" s="15" t="n">
        <v>-0.43356</v>
      </c>
      <c r="CS17" s="15" t="n">
        <v>-0.21233</v>
      </c>
      <c r="CT17" s="15" t="n">
        <v>0.13645</v>
      </c>
      <c r="CU17" s="15" t="n">
        <v>0.57852</v>
      </c>
      <c r="CV17" s="15" t="n">
        <v>0.17618</v>
      </c>
      <c r="CW17" s="15" t="n">
        <v>-0.11595</v>
      </c>
      <c r="CX17" s="15" t="n">
        <v>0.91162</v>
      </c>
      <c r="CY17" s="15" t="n">
        <v>-0.15265</v>
      </c>
    </row>
    <row r="18" customFormat="false" ht="15" hidden="false" customHeight="false" outlineLevel="0" collapsed="false">
      <c r="A18" s="4" t="s">
        <v>89</v>
      </c>
      <c r="B18" s="2" t="n">
        <f aca="false">COUNTIF('1.3 TF-IDF coseno'!$M$10:$M$123,A18)</f>
        <v>8</v>
      </c>
      <c r="C18" s="2" t="n">
        <f aca="false">COUNTIF('1.3 TF-IDF coseno'!$N$10:$N$102,A18)</f>
        <v>3</v>
      </c>
      <c r="D18" s="15" t="n">
        <v>-0.80843</v>
      </c>
      <c r="E18" s="15" t="n">
        <v>0.17148</v>
      </c>
      <c r="F18" s="15" t="n">
        <v>0.63888</v>
      </c>
      <c r="G18" s="15" t="n">
        <v>0.11195</v>
      </c>
      <c r="H18" s="15" t="n">
        <v>-0.85615</v>
      </c>
      <c r="I18" s="15" t="n">
        <v>-0.83481</v>
      </c>
      <c r="J18" s="15" t="n">
        <v>0.076735</v>
      </c>
      <c r="K18" s="15" t="n">
        <v>0.2902</v>
      </c>
      <c r="L18" s="15" t="n">
        <v>-0.42183</v>
      </c>
      <c r="M18" s="15" t="n">
        <v>0.76609</v>
      </c>
      <c r="N18" s="15" t="n">
        <v>-0.14646</v>
      </c>
      <c r="O18" s="15" t="n">
        <v>-0.35979</v>
      </c>
      <c r="P18" s="15" t="n">
        <v>0.13201</v>
      </c>
      <c r="Q18" s="15" t="n">
        <v>-0.45774</v>
      </c>
      <c r="R18" s="15" t="n">
        <v>0.25724</v>
      </c>
      <c r="S18" s="15" t="n">
        <v>0.58752</v>
      </c>
      <c r="T18" s="15" t="n">
        <v>0.28357</v>
      </c>
      <c r="U18" s="15" t="n">
        <v>-0.19654</v>
      </c>
      <c r="V18" s="15" t="n">
        <v>-0.11967</v>
      </c>
      <c r="W18" s="15" t="n">
        <v>0.13927</v>
      </c>
      <c r="X18" s="15" t="n">
        <v>-0.59293</v>
      </c>
      <c r="Y18" s="15" t="n">
        <v>-0.6988</v>
      </c>
      <c r="Z18" s="15" t="n">
        <v>-0.28386</v>
      </c>
      <c r="AA18" s="15" t="n">
        <v>0.14634</v>
      </c>
      <c r="AB18" s="15" t="n">
        <v>-1.0642</v>
      </c>
      <c r="AC18" s="15" t="n">
        <v>-0.13103</v>
      </c>
      <c r="AD18" s="15" t="n">
        <v>-0.20632</v>
      </c>
      <c r="AE18" s="15" t="n">
        <v>0.39963</v>
      </c>
      <c r="AF18" s="15" t="n">
        <v>-1.1405</v>
      </c>
      <c r="AG18" s="15" t="n">
        <v>-0.078759</v>
      </c>
      <c r="AH18" s="15" t="n">
        <v>-0.1184</v>
      </c>
      <c r="AI18" s="15" t="n">
        <v>-0.38532</v>
      </c>
      <c r="AJ18" s="15" t="n">
        <v>-0.51621</v>
      </c>
      <c r="AK18" s="15" t="n">
        <v>0.3268</v>
      </c>
      <c r="AL18" s="15" t="n">
        <v>-0.15883</v>
      </c>
      <c r="AM18" s="15" t="n">
        <v>0.25521</v>
      </c>
      <c r="AN18" s="15" t="n">
        <v>-0.47718</v>
      </c>
      <c r="AO18" s="15" t="n">
        <v>0.38846</v>
      </c>
      <c r="AP18" s="15" t="n">
        <v>-0.17628</v>
      </c>
      <c r="AQ18" s="15" t="n">
        <v>-0.24867</v>
      </c>
      <c r="AR18" s="15" t="n">
        <v>-0.98834</v>
      </c>
      <c r="AS18" s="15" t="n">
        <v>0.1529</v>
      </c>
      <c r="AT18" s="15" t="n">
        <v>0.14119</v>
      </c>
      <c r="AU18" s="15" t="n">
        <v>0.27447</v>
      </c>
      <c r="AV18" s="15" t="n">
        <v>-0.14551</v>
      </c>
      <c r="AW18" s="15" t="n">
        <v>-0.07928</v>
      </c>
      <c r="AX18" s="15" t="n">
        <v>0.068695</v>
      </c>
      <c r="AY18" s="15" t="n">
        <v>-0.43685</v>
      </c>
      <c r="AZ18" s="15" t="n">
        <v>-0.66722</v>
      </c>
      <c r="BA18" s="15" t="n">
        <v>-0.99854</v>
      </c>
      <c r="BB18" s="15" t="n">
        <v>0.81413</v>
      </c>
      <c r="BC18" s="15" t="n">
        <v>-0.31062</v>
      </c>
      <c r="BD18" s="15" t="n">
        <v>-0.0017318</v>
      </c>
      <c r="BE18" s="15" t="n">
        <v>0.76607</v>
      </c>
      <c r="BF18" s="15" t="n">
        <v>-0.0046054</v>
      </c>
      <c r="BG18" s="15" t="n">
        <v>-1.5557</v>
      </c>
      <c r="BH18" s="15" t="n">
        <v>0.95659</v>
      </c>
      <c r="BI18" s="15" t="n">
        <v>-0.94248</v>
      </c>
      <c r="BJ18" s="15" t="n">
        <v>1.1213</v>
      </c>
      <c r="BK18" s="15" t="n">
        <v>-0.14049</v>
      </c>
      <c r="BL18" s="15" t="n">
        <v>0.3591</v>
      </c>
      <c r="BM18" s="15" t="n">
        <v>0.26197</v>
      </c>
      <c r="BN18" s="15" t="n">
        <v>-0.017611</v>
      </c>
      <c r="BO18" s="15" t="n">
        <v>-0.30982</v>
      </c>
      <c r="BP18" s="15" t="n">
        <v>0.33716</v>
      </c>
      <c r="BQ18" s="15" t="n">
        <v>-0.25809</v>
      </c>
      <c r="BR18" s="15" t="n">
        <v>-0.76561</v>
      </c>
      <c r="BS18" s="15" t="n">
        <v>0.097882</v>
      </c>
      <c r="BT18" s="15" t="n">
        <v>0.26433</v>
      </c>
      <c r="BU18" s="15" t="n">
        <v>0.039168</v>
      </c>
      <c r="BV18" s="15" t="n">
        <v>0.41923</v>
      </c>
      <c r="BW18" s="15" t="n">
        <v>0.81226</v>
      </c>
      <c r="BX18" s="15" t="n">
        <v>0.32733</v>
      </c>
      <c r="BY18" s="15" t="n">
        <v>-0.60161</v>
      </c>
      <c r="BZ18" s="15" t="n">
        <v>0.07289</v>
      </c>
      <c r="CA18" s="15" t="n">
        <v>0.17703</v>
      </c>
      <c r="CB18" s="15" t="n">
        <v>-0.24483</v>
      </c>
      <c r="CC18" s="15" t="n">
        <v>0.25341</v>
      </c>
      <c r="CD18" s="15" t="n">
        <v>-0.75885</v>
      </c>
      <c r="CE18" s="15" t="n">
        <v>-1.046</v>
      </c>
      <c r="CF18" s="15" t="n">
        <v>0.72534</v>
      </c>
      <c r="CG18" s="15" t="n">
        <v>0.65464</v>
      </c>
      <c r="CH18" s="15" t="n">
        <v>-0.49629</v>
      </c>
      <c r="CI18" s="15" t="n">
        <v>-0.14078</v>
      </c>
      <c r="CJ18" s="15" t="n">
        <v>-1.1639</v>
      </c>
      <c r="CK18" s="15" t="n">
        <v>0.077251</v>
      </c>
      <c r="CL18" s="15" t="n">
        <v>0.20839</v>
      </c>
      <c r="CM18" s="15" t="n">
        <v>-0.42394</v>
      </c>
      <c r="CN18" s="15" t="n">
        <v>-0.11341</v>
      </c>
      <c r="CO18" s="15" t="n">
        <v>-0.29424</v>
      </c>
      <c r="CP18" s="15" t="n">
        <v>-0.083493</v>
      </c>
      <c r="CQ18" s="15" t="n">
        <v>-0.26626</v>
      </c>
      <c r="CR18" s="15" t="n">
        <v>-0.15304</v>
      </c>
      <c r="CS18" s="15" t="n">
        <v>0.3392</v>
      </c>
      <c r="CT18" s="15" t="n">
        <v>0.46912</v>
      </c>
      <c r="CU18" s="15" t="n">
        <v>1.2608</v>
      </c>
      <c r="CV18" s="15" t="n">
        <v>0.31309</v>
      </c>
      <c r="CW18" s="15" t="n">
        <v>-0.081913</v>
      </c>
      <c r="CX18" s="15" t="n">
        <v>-0.027569</v>
      </c>
      <c r="CY18" s="15" t="n">
        <v>0.28365</v>
      </c>
    </row>
    <row r="19" customFormat="false" ht="15" hidden="false" customHeight="false" outlineLevel="0" collapsed="false">
      <c r="A19" s="4" t="s">
        <v>155</v>
      </c>
      <c r="B19" s="2" t="n">
        <f aca="false">COUNTIF('1.3 TF-IDF coseno'!$M$10:$M$123,A19)</f>
        <v>2</v>
      </c>
      <c r="C19" s="2" t="n">
        <f aca="false">COUNTIF('1.3 TF-IDF coseno'!$N$10:$N$102,A19)</f>
        <v>0</v>
      </c>
      <c r="D19" s="15" t="n">
        <v>-0.3431</v>
      </c>
      <c r="E19" s="15" t="n">
        <v>0.21602</v>
      </c>
      <c r="F19" s="15" t="n">
        <v>-0.28927</v>
      </c>
      <c r="G19" s="15" t="n">
        <v>-0.3241</v>
      </c>
      <c r="H19" s="15" t="n">
        <v>-0.34907</v>
      </c>
      <c r="I19" s="15" t="n">
        <v>0.1722</v>
      </c>
      <c r="J19" s="15" t="n">
        <v>-0.2584</v>
      </c>
      <c r="K19" s="15" t="n">
        <v>0.50305</v>
      </c>
      <c r="L19" s="15" t="n">
        <v>-0.53991</v>
      </c>
      <c r="M19" s="15" t="n">
        <v>0.28679</v>
      </c>
      <c r="N19" s="15" t="n">
        <v>0.096969</v>
      </c>
      <c r="O19" s="15" t="n">
        <v>0.27194</v>
      </c>
      <c r="P19" s="15" t="n">
        <v>-0.41996</v>
      </c>
      <c r="Q19" s="15" t="n">
        <v>-0.55758</v>
      </c>
      <c r="R19" s="15" t="n">
        <v>0.41047</v>
      </c>
      <c r="S19" s="15" t="n">
        <v>0.73692</v>
      </c>
      <c r="T19" s="15" t="n">
        <v>-0.72237</v>
      </c>
      <c r="U19" s="15" t="n">
        <v>0.16319</v>
      </c>
      <c r="V19" s="15" t="n">
        <v>0.56363</v>
      </c>
      <c r="W19" s="15" t="n">
        <v>-0.38957</v>
      </c>
      <c r="X19" s="15" t="n">
        <v>-0.63036</v>
      </c>
      <c r="Y19" s="15" t="n">
        <v>0.72951</v>
      </c>
      <c r="Z19" s="15" t="n">
        <v>0.70288</v>
      </c>
      <c r="AA19" s="15" t="n">
        <v>0.21266</v>
      </c>
      <c r="AB19" s="15" t="n">
        <v>-0.099757</v>
      </c>
      <c r="AC19" s="15" t="n">
        <v>-0.57573</v>
      </c>
      <c r="AD19" s="15" t="n">
        <v>0.56431</v>
      </c>
      <c r="AE19" s="15" t="n">
        <v>0.67312</v>
      </c>
      <c r="AF19" s="15" t="n">
        <v>-0.94707</v>
      </c>
      <c r="AG19" s="15" t="n">
        <v>-0.51408</v>
      </c>
      <c r="AH19" s="15" t="n">
        <v>-0.68925</v>
      </c>
      <c r="AI19" s="15" t="n">
        <v>-0.25966</v>
      </c>
      <c r="AJ19" s="15" t="n">
        <v>-0.58712</v>
      </c>
      <c r="AK19" s="15" t="n">
        <v>-0.33585</v>
      </c>
      <c r="AL19" s="15" t="n">
        <v>-0.061386</v>
      </c>
      <c r="AM19" s="15" t="n">
        <v>-0.37082</v>
      </c>
      <c r="AN19" s="15" t="n">
        <v>-0.094413</v>
      </c>
      <c r="AO19" s="15" t="n">
        <v>-0.91282</v>
      </c>
      <c r="AP19" s="15" t="n">
        <v>0.40818</v>
      </c>
      <c r="AQ19" s="15" t="n">
        <v>0.25363</v>
      </c>
      <c r="AR19" s="15" t="n">
        <v>-0.11117</v>
      </c>
      <c r="AS19" s="15" t="n">
        <v>1.0586</v>
      </c>
      <c r="AT19" s="15" t="n">
        <v>0.20286</v>
      </c>
      <c r="AU19" s="15" t="n">
        <v>-0.038096</v>
      </c>
      <c r="AV19" s="15" t="n">
        <v>-0.1754</v>
      </c>
      <c r="AW19" s="15" t="n">
        <v>0.73222</v>
      </c>
      <c r="AX19" s="15" t="n">
        <v>-0.29955</v>
      </c>
      <c r="AY19" s="15" t="n">
        <v>0.21116</v>
      </c>
      <c r="AZ19" s="15" t="n">
        <v>-0.62792</v>
      </c>
      <c r="BA19" s="15" t="n">
        <v>0.62078</v>
      </c>
      <c r="BB19" s="15" t="n">
        <v>-0.20103</v>
      </c>
      <c r="BC19" s="15" t="n">
        <v>-0.15652</v>
      </c>
      <c r="BD19" s="15" t="n">
        <v>-0.15484</v>
      </c>
      <c r="BE19" s="15" t="n">
        <v>0.4288</v>
      </c>
      <c r="BF19" s="15" t="n">
        <v>-0.92259</v>
      </c>
      <c r="BG19" s="15" t="n">
        <v>0.16865</v>
      </c>
      <c r="BH19" s="15" t="n">
        <v>0.38101</v>
      </c>
      <c r="BI19" s="15" t="n">
        <v>-0.1522</v>
      </c>
      <c r="BJ19" s="15" t="n">
        <v>-0.011969</v>
      </c>
      <c r="BK19" s="15" t="n">
        <v>-0.081843</v>
      </c>
      <c r="BL19" s="15" t="n">
        <v>-0.047517</v>
      </c>
      <c r="BM19" s="15" t="n">
        <v>0.20798</v>
      </c>
      <c r="BN19" s="15" t="n">
        <v>-0.0055318</v>
      </c>
      <c r="BO19" s="15" t="n">
        <v>-0.15998</v>
      </c>
      <c r="BP19" s="15" t="n">
        <v>0.84151</v>
      </c>
      <c r="BQ19" s="15" t="n">
        <v>0.71143</v>
      </c>
      <c r="BR19" s="15" t="n">
        <v>-0.28974</v>
      </c>
      <c r="BS19" s="15" t="n">
        <v>-0.49085</v>
      </c>
      <c r="BT19" s="15" t="n">
        <v>0.22338</v>
      </c>
      <c r="BU19" s="15" t="n">
        <v>-0.034168</v>
      </c>
      <c r="BV19" s="15" t="n">
        <v>0.11164</v>
      </c>
      <c r="BW19" s="15" t="n">
        <v>-0.21608</v>
      </c>
      <c r="BX19" s="15" t="n">
        <v>0.24751</v>
      </c>
      <c r="BY19" s="15" t="n">
        <v>-0.53417</v>
      </c>
      <c r="BZ19" s="15" t="n">
        <v>-1.4137</v>
      </c>
      <c r="CA19" s="15" t="n">
        <v>0.1754</v>
      </c>
      <c r="CB19" s="15" t="n">
        <v>0.065073</v>
      </c>
      <c r="CC19" s="15" t="n">
        <v>-0.40337</v>
      </c>
      <c r="CD19" s="15" t="n">
        <v>0.60808</v>
      </c>
      <c r="CE19" s="15" t="n">
        <v>-0.75694</v>
      </c>
      <c r="CF19" s="15" t="n">
        <v>-0.66376</v>
      </c>
      <c r="CG19" s="15" t="n">
        <v>-0.18636</v>
      </c>
      <c r="CH19" s="15" t="n">
        <v>-0.38047</v>
      </c>
      <c r="CI19" s="15" t="n">
        <v>0.36347</v>
      </c>
      <c r="CJ19" s="15" t="n">
        <v>-0.51135</v>
      </c>
      <c r="CK19" s="15" t="n">
        <v>0.016398</v>
      </c>
      <c r="CL19" s="15" t="n">
        <v>0.70635</v>
      </c>
      <c r="CM19" s="15" t="n">
        <v>-0.64085</v>
      </c>
      <c r="CN19" s="15" t="n">
        <v>-0.39037</v>
      </c>
      <c r="CO19" s="15" t="n">
        <v>-0.31022</v>
      </c>
      <c r="CP19" s="15" t="n">
        <v>-0.87002</v>
      </c>
      <c r="CQ19" s="15" t="n">
        <v>-0.080266</v>
      </c>
      <c r="CR19" s="15" t="n">
        <v>0.60731</v>
      </c>
      <c r="CS19" s="15" t="n">
        <v>-0.55219</v>
      </c>
      <c r="CT19" s="15" t="n">
        <v>0.94234</v>
      </c>
      <c r="CU19" s="15" t="n">
        <v>0.33686</v>
      </c>
      <c r="CV19" s="15" t="n">
        <v>0.20059</v>
      </c>
      <c r="CW19" s="15" t="n">
        <v>0.65285</v>
      </c>
      <c r="CX19" s="15" t="n">
        <v>-0.37117</v>
      </c>
      <c r="CY19" s="15" t="n">
        <v>0.53968</v>
      </c>
    </row>
    <row r="20" customFormat="false" ht="15" hidden="false" customHeight="false" outlineLevel="0" collapsed="false">
      <c r="A20" s="4" t="s">
        <v>156</v>
      </c>
      <c r="B20" s="2" t="n">
        <f aca="false">COUNTIF('1.3 TF-IDF coseno'!$M$10:$M$123,A20)</f>
        <v>4</v>
      </c>
      <c r="C20" s="2" t="n">
        <f aca="false">COUNTIF('1.3 TF-IDF coseno'!$N$10:$N$102,A20)</f>
        <v>0</v>
      </c>
      <c r="D20" s="15" t="n">
        <v>-0.74902</v>
      </c>
      <c r="E20" s="15" t="n">
        <v>-0.19963</v>
      </c>
      <c r="F20" s="15" t="n">
        <v>0.24901</v>
      </c>
      <c r="G20" s="15" t="n">
        <v>-0.21163</v>
      </c>
      <c r="H20" s="15" t="n">
        <v>0.023433</v>
      </c>
      <c r="I20" s="15" t="n">
        <v>-0.29667</v>
      </c>
      <c r="J20" s="15" t="n">
        <v>-0.31131</v>
      </c>
      <c r="K20" s="15" t="n">
        <v>0.74259</v>
      </c>
      <c r="L20" s="15" t="n">
        <v>-0.64084</v>
      </c>
      <c r="M20" s="15" t="n">
        <v>0.082949</v>
      </c>
      <c r="N20" s="15" t="n">
        <v>0.052766</v>
      </c>
      <c r="O20" s="15" t="n">
        <v>-0.33506</v>
      </c>
      <c r="P20" s="15" t="n">
        <v>-0.12109</v>
      </c>
      <c r="Q20" s="15" t="n">
        <v>-0.25002</v>
      </c>
      <c r="R20" s="15" t="n">
        <v>-0.61579</v>
      </c>
      <c r="S20" s="15" t="n">
        <v>0.546</v>
      </c>
      <c r="T20" s="15" t="n">
        <v>0.57028</v>
      </c>
      <c r="U20" s="15" t="n">
        <v>-0.22713</v>
      </c>
      <c r="V20" s="15" t="n">
        <v>-0.29317</v>
      </c>
      <c r="W20" s="15" t="n">
        <v>0.42611</v>
      </c>
      <c r="X20" s="15" t="n">
        <v>-0.22973</v>
      </c>
      <c r="Y20" s="15" t="n">
        <v>-0.63871</v>
      </c>
      <c r="Z20" s="15" t="n">
        <v>-0.47146</v>
      </c>
      <c r="AA20" s="15" t="n">
        <v>-0.09222</v>
      </c>
      <c r="AB20" s="15" t="n">
        <v>-0.012705</v>
      </c>
      <c r="AC20" s="15" t="n">
        <v>0.0075006</v>
      </c>
      <c r="AD20" s="15" t="n">
        <v>0.38021</v>
      </c>
      <c r="AE20" s="15" t="n">
        <v>-0.17427</v>
      </c>
      <c r="AF20" s="15" t="n">
        <v>-0.24003</v>
      </c>
      <c r="AG20" s="15" t="n">
        <v>0.36412</v>
      </c>
      <c r="AH20" s="15" t="n">
        <v>0.087609</v>
      </c>
      <c r="AI20" s="15" t="n">
        <v>-0.041817</v>
      </c>
      <c r="AJ20" s="15" t="n">
        <v>-0.40603</v>
      </c>
      <c r="AK20" s="15" t="n">
        <v>0.31393</v>
      </c>
      <c r="AL20" s="15" t="n">
        <v>-0.55662</v>
      </c>
      <c r="AM20" s="15" t="n">
        <v>0.29162</v>
      </c>
      <c r="AN20" s="15" t="n">
        <v>-0.14289</v>
      </c>
      <c r="AO20" s="15" t="n">
        <v>-0.35198</v>
      </c>
      <c r="AP20" s="15" t="n">
        <v>-0.63943</v>
      </c>
      <c r="AQ20" s="15" t="n">
        <v>-0.26373</v>
      </c>
      <c r="AR20" s="15" t="n">
        <v>-1.0715</v>
      </c>
      <c r="AS20" s="15" t="n">
        <v>-0.090857</v>
      </c>
      <c r="AT20" s="15" t="n">
        <v>-0.38895</v>
      </c>
      <c r="AU20" s="15" t="n">
        <v>-0.095704</v>
      </c>
      <c r="AV20" s="15" t="n">
        <v>-0.10449</v>
      </c>
      <c r="AW20" s="15" t="n">
        <v>-0.62444</v>
      </c>
      <c r="AX20" s="15" t="n">
        <v>-0.64039</v>
      </c>
      <c r="AY20" s="15" t="n">
        <v>-0.87943</v>
      </c>
      <c r="AZ20" s="15" t="n">
        <v>0.25939</v>
      </c>
      <c r="BA20" s="15" t="n">
        <v>-0.41305</v>
      </c>
      <c r="BB20" s="15" t="n">
        <v>1.0258</v>
      </c>
      <c r="BC20" s="15" t="n">
        <v>0.066012</v>
      </c>
      <c r="BD20" s="15" t="n">
        <v>-0.32692</v>
      </c>
      <c r="BE20" s="15" t="n">
        <v>0.49985</v>
      </c>
      <c r="BF20" s="15" t="n">
        <v>-0.60751</v>
      </c>
      <c r="BG20" s="15" t="n">
        <v>-1.9896</v>
      </c>
      <c r="BH20" s="15" t="n">
        <v>0.54578</v>
      </c>
      <c r="BI20" s="15" t="n">
        <v>-0.47628</v>
      </c>
      <c r="BJ20" s="15" t="n">
        <v>2.0261</v>
      </c>
      <c r="BK20" s="15" t="n">
        <v>0.23267</v>
      </c>
      <c r="BL20" s="15" t="n">
        <v>-0.50945</v>
      </c>
      <c r="BM20" s="15" t="n">
        <v>0.26966</v>
      </c>
      <c r="BN20" s="15" t="n">
        <v>-0.47172</v>
      </c>
      <c r="BO20" s="15" t="n">
        <v>-0.36755</v>
      </c>
      <c r="BP20" s="15" t="n">
        <v>1.1959</v>
      </c>
      <c r="BQ20" s="15" t="n">
        <v>-0.5535</v>
      </c>
      <c r="BR20" s="15" t="n">
        <v>-0.48223</v>
      </c>
      <c r="BS20" s="15" t="n">
        <v>0.87021</v>
      </c>
      <c r="BT20" s="15" t="n">
        <v>-0.10092</v>
      </c>
      <c r="BU20" s="15" t="n">
        <v>0.46075</v>
      </c>
      <c r="BV20" s="15" t="n">
        <v>0.36807</v>
      </c>
      <c r="BW20" s="15" t="n">
        <v>0.80044</v>
      </c>
      <c r="BX20" s="15" t="n">
        <v>0.0027195</v>
      </c>
      <c r="BY20" s="15" t="n">
        <v>-0.090728</v>
      </c>
      <c r="BZ20" s="15" t="n">
        <v>-0.76744</v>
      </c>
      <c r="CA20" s="15" t="n">
        <v>-0.22201</v>
      </c>
      <c r="CB20" s="15" t="n">
        <v>-0.53359</v>
      </c>
      <c r="CC20" s="15" t="n">
        <v>0.10124</v>
      </c>
      <c r="CD20" s="15" t="n">
        <v>-0.88629</v>
      </c>
      <c r="CE20" s="15" t="n">
        <v>-0.90454</v>
      </c>
      <c r="CF20" s="15" t="n">
        <v>0.27774</v>
      </c>
      <c r="CG20" s="15" t="n">
        <v>0.075269</v>
      </c>
      <c r="CH20" s="15" t="n">
        <v>0.18349</v>
      </c>
      <c r="CI20" s="15" t="n">
        <v>0.19304</v>
      </c>
      <c r="CJ20" s="15" t="n">
        <v>-1.3848</v>
      </c>
      <c r="CK20" s="15" t="n">
        <v>-0.17998</v>
      </c>
      <c r="CL20" s="15" t="n">
        <v>0.43841</v>
      </c>
      <c r="CM20" s="15" t="n">
        <v>-0.85623</v>
      </c>
      <c r="CN20" s="15" t="n">
        <v>-0.26698</v>
      </c>
      <c r="CO20" s="15" t="n">
        <v>-0.15759</v>
      </c>
      <c r="CP20" s="15" t="n">
        <v>-0.14485</v>
      </c>
      <c r="CQ20" s="15" t="n">
        <v>-0.47498</v>
      </c>
      <c r="CR20" s="15" t="n">
        <v>-0.68999</v>
      </c>
      <c r="CS20" s="15" t="n">
        <v>-0.28598</v>
      </c>
      <c r="CT20" s="15" t="n">
        <v>0.67061</v>
      </c>
      <c r="CU20" s="15" t="n">
        <v>1.0484</v>
      </c>
      <c r="CV20" s="15" t="n">
        <v>0.50007</v>
      </c>
      <c r="CW20" s="15" t="n">
        <v>-0.32662</v>
      </c>
      <c r="CX20" s="15" t="n">
        <v>0.31207</v>
      </c>
      <c r="CY20" s="15" t="n">
        <v>0.58199</v>
      </c>
    </row>
    <row r="21" customFormat="false" ht="15" hidden="false" customHeight="false" outlineLevel="0" collapsed="false">
      <c r="A21" s="4" t="s">
        <v>157</v>
      </c>
      <c r="B21" s="2" t="n">
        <f aca="false">COUNTIF('1.3 TF-IDF coseno'!$M$10:$M$123,A21)</f>
        <v>1</v>
      </c>
      <c r="C21" s="2" t="n">
        <f aca="false">COUNTIF('1.3 TF-IDF coseno'!$N$10:$N$102,A21)</f>
        <v>0</v>
      </c>
      <c r="D21" s="15" t="n">
        <v>0.37204</v>
      </c>
      <c r="E21" s="15" t="n">
        <v>-0.34461</v>
      </c>
      <c r="F21" s="15" t="n">
        <v>-0.2933</v>
      </c>
      <c r="G21" s="15" t="n">
        <v>-0.074828</v>
      </c>
      <c r="H21" s="15" t="n">
        <v>0.006355</v>
      </c>
      <c r="I21" s="15" t="n">
        <v>0.073233</v>
      </c>
      <c r="J21" s="15" t="n">
        <v>0.18162</v>
      </c>
      <c r="K21" s="15" t="n">
        <v>0.48748</v>
      </c>
      <c r="L21" s="15" t="n">
        <v>-0.59588</v>
      </c>
      <c r="M21" s="15" t="n">
        <v>-0.07879</v>
      </c>
      <c r="N21" s="15" t="n">
        <v>0.41813</v>
      </c>
      <c r="O21" s="15" t="n">
        <v>0.2783</v>
      </c>
      <c r="P21" s="15" t="n">
        <v>-0.064686</v>
      </c>
      <c r="Q21" s="15" t="n">
        <v>0.39414</v>
      </c>
      <c r="R21" s="15" t="n">
        <v>0.12458</v>
      </c>
      <c r="S21" s="15" t="n">
        <v>-0.19754</v>
      </c>
      <c r="T21" s="15" t="n">
        <v>0.081626</v>
      </c>
      <c r="U21" s="15" t="n">
        <v>0.24704</v>
      </c>
      <c r="V21" s="15" t="n">
        <v>-0.47981</v>
      </c>
      <c r="W21" s="15" t="n">
        <v>-0.15825</v>
      </c>
      <c r="X21" s="15" t="n">
        <v>1.1863</v>
      </c>
      <c r="Y21" s="15" t="n">
        <v>-0.11287</v>
      </c>
      <c r="Z21" s="15" t="n">
        <v>0.40052</v>
      </c>
      <c r="AA21" s="15" t="n">
        <v>0.21474</v>
      </c>
      <c r="AB21" s="15" t="n">
        <v>-0.14538</v>
      </c>
      <c r="AC21" s="15" t="n">
        <v>-0.5065</v>
      </c>
      <c r="AD21" s="15" t="n">
        <v>-0.46493</v>
      </c>
      <c r="AE21" s="15" t="n">
        <v>-0.096516</v>
      </c>
      <c r="AF21" s="15" t="n">
        <v>0.32725</v>
      </c>
      <c r="AG21" s="15" t="n">
        <v>-0.48246</v>
      </c>
      <c r="AH21" s="15" t="n">
        <v>-0.14512</v>
      </c>
      <c r="AI21" s="15" t="n">
        <v>0.5628</v>
      </c>
      <c r="AJ21" s="15" t="n">
        <v>-0.0021192</v>
      </c>
      <c r="AK21" s="15" t="n">
        <v>0.13677</v>
      </c>
      <c r="AL21" s="15" t="n">
        <v>-0.50256</v>
      </c>
      <c r="AM21" s="15" t="n">
        <v>-0.3125</v>
      </c>
      <c r="AN21" s="15" t="n">
        <v>-0.34967</v>
      </c>
      <c r="AO21" s="15" t="n">
        <v>0.78849</v>
      </c>
      <c r="AP21" s="15" t="n">
        <v>-0.36061</v>
      </c>
      <c r="AQ21" s="15" t="n">
        <v>0.20193</v>
      </c>
      <c r="AR21" s="15" t="n">
        <v>-0.75335</v>
      </c>
      <c r="AS21" s="15" t="n">
        <v>-0.32116</v>
      </c>
      <c r="AT21" s="15" t="n">
        <v>0.68214</v>
      </c>
      <c r="AU21" s="15" t="n">
        <v>-0.44715</v>
      </c>
      <c r="AV21" s="15" t="n">
        <v>0.035</v>
      </c>
      <c r="AW21" s="15" t="n">
        <v>-0.054333</v>
      </c>
      <c r="AX21" s="15" t="n">
        <v>0.080687</v>
      </c>
      <c r="AY21" s="15" t="n">
        <v>-0.24576</v>
      </c>
      <c r="AZ21" s="15" t="n">
        <v>0.81051</v>
      </c>
      <c r="BA21" s="15" t="n">
        <v>-0.58676</v>
      </c>
      <c r="BB21" s="15" t="n">
        <v>-0.21839</v>
      </c>
      <c r="BC21" s="15" t="n">
        <v>0.023273</v>
      </c>
      <c r="BD21" s="15" t="n">
        <v>-0.11143</v>
      </c>
      <c r="BE21" s="15" t="n">
        <v>1.377</v>
      </c>
      <c r="BF21" s="15" t="n">
        <v>-0.25087</v>
      </c>
      <c r="BG21" s="15" t="n">
        <v>-2.7768</v>
      </c>
      <c r="BH21" s="15" t="n">
        <v>-0.61519</v>
      </c>
      <c r="BI21" s="15" t="n">
        <v>-0.024199</v>
      </c>
      <c r="BJ21" s="15" t="n">
        <v>1.1349</v>
      </c>
      <c r="BK21" s="15" t="n">
        <v>0.56768</v>
      </c>
      <c r="BL21" s="15" t="n">
        <v>-0.009572</v>
      </c>
      <c r="BM21" s="15" t="n">
        <v>0.76185</v>
      </c>
      <c r="BN21" s="15" t="n">
        <v>-0.013215</v>
      </c>
      <c r="BO21" s="15" t="n">
        <v>0.28555</v>
      </c>
      <c r="BP21" s="15" t="n">
        <v>0.4271</v>
      </c>
      <c r="BQ21" s="15" t="n">
        <v>-0.25556</v>
      </c>
      <c r="BR21" s="15" t="n">
        <v>0.044353</v>
      </c>
      <c r="BS21" s="15" t="n">
        <v>0.04771</v>
      </c>
      <c r="BT21" s="15" t="n">
        <v>-0.14676</v>
      </c>
      <c r="BU21" s="15" t="n">
        <v>0.50228</v>
      </c>
      <c r="BV21" s="15" t="n">
        <v>-0.32068</v>
      </c>
      <c r="BW21" s="15" t="n">
        <v>-0.27536</v>
      </c>
      <c r="BX21" s="15" t="n">
        <v>-0.25659</v>
      </c>
      <c r="BY21" s="15" t="n">
        <v>-0.12043</v>
      </c>
      <c r="BZ21" s="15" t="n">
        <v>-0.24239</v>
      </c>
      <c r="CA21" s="15" t="n">
        <v>0.19879</v>
      </c>
      <c r="CB21" s="15" t="n">
        <v>-0.60883</v>
      </c>
      <c r="CC21" s="15" t="n">
        <v>0.11947</v>
      </c>
      <c r="CD21" s="15" t="n">
        <v>-0.77936</v>
      </c>
      <c r="CE21" s="15" t="n">
        <v>-0.11569</v>
      </c>
      <c r="CF21" s="15" t="n">
        <v>0.75355</v>
      </c>
      <c r="CG21" s="15" t="n">
        <v>-0.17431</v>
      </c>
      <c r="CH21" s="15" t="n">
        <v>-0.30778</v>
      </c>
      <c r="CI21" s="15" t="n">
        <v>-0.062997</v>
      </c>
      <c r="CJ21" s="15" t="n">
        <v>-1.079</v>
      </c>
      <c r="CK21" s="15" t="n">
        <v>-0.35338</v>
      </c>
      <c r="CL21" s="15" t="n">
        <v>0.25513</v>
      </c>
      <c r="CM21" s="15" t="n">
        <v>-0.12093</v>
      </c>
      <c r="CN21" s="15" t="n">
        <v>-0.1976</v>
      </c>
      <c r="CO21" s="15" t="n">
        <v>-0.4054</v>
      </c>
      <c r="CP21" s="15" t="n">
        <v>0.028015</v>
      </c>
      <c r="CQ21" s="15" t="n">
        <v>-0.63439</v>
      </c>
      <c r="CR21" s="15" t="n">
        <v>0.20151</v>
      </c>
      <c r="CS21" s="15" t="n">
        <v>0.41378</v>
      </c>
      <c r="CT21" s="15" t="n">
        <v>-0.64682</v>
      </c>
      <c r="CU21" s="15" t="n">
        <v>0.13308</v>
      </c>
      <c r="CV21" s="15" t="n">
        <v>-0.39072</v>
      </c>
      <c r="CW21" s="15" t="n">
        <v>0.23278</v>
      </c>
      <c r="CX21" s="15" t="n">
        <v>0.18269</v>
      </c>
      <c r="CY21" s="15" t="n">
        <v>0.2804</v>
      </c>
    </row>
    <row r="22" customFormat="false" ht="15" hidden="false" customHeight="false" outlineLevel="0" collapsed="false">
      <c r="A22" s="4" t="s">
        <v>158</v>
      </c>
      <c r="B22" s="2" t="n">
        <f aca="false">COUNTIF('1.3 TF-IDF coseno'!$M$10:$M$123,A22)</f>
        <v>1</v>
      </c>
      <c r="C22" s="2" t="n">
        <f aca="false">COUNTIF('1.3 TF-IDF coseno'!$N$10:$N$102,A22)</f>
        <v>0</v>
      </c>
      <c r="D22" s="15" t="n">
        <v>0.18053</v>
      </c>
      <c r="E22" s="15" t="n">
        <v>0.31075</v>
      </c>
      <c r="F22" s="15" t="n">
        <v>0.24728</v>
      </c>
      <c r="G22" s="15" t="n">
        <v>-0.40231</v>
      </c>
      <c r="H22" s="15" t="n">
        <v>0.054777</v>
      </c>
      <c r="I22" s="15" t="n">
        <v>-0.18709</v>
      </c>
      <c r="J22" s="15" t="n">
        <v>-0.034072</v>
      </c>
      <c r="K22" s="15" t="n">
        <v>-0.27284</v>
      </c>
      <c r="L22" s="15" t="n">
        <v>-0.33679</v>
      </c>
      <c r="M22" s="15" t="n">
        <v>-0.081939</v>
      </c>
      <c r="N22" s="15" t="n">
        <v>0.11103</v>
      </c>
      <c r="O22" s="15" t="n">
        <v>-0.33879</v>
      </c>
      <c r="P22" s="15" t="n">
        <v>-0.34198</v>
      </c>
      <c r="Q22" s="15" t="n">
        <v>-0.55652</v>
      </c>
      <c r="R22" s="15" t="n">
        <v>0.061599</v>
      </c>
      <c r="S22" s="15" t="n">
        <v>-0.46533</v>
      </c>
      <c r="T22" s="15" t="n">
        <v>-0.6225</v>
      </c>
      <c r="U22" s="15" t="n">
        <v>0.24107</v>
      </c>
      <c r="V22" s="15" t="n">
        <v>-0.90105</v>
      </c>
      <c r="W22" s="15" t="n">
        <v>-0.50312</v>
      </c>
      <c r="X22" s="15" t="n">
        <v>0.058017</v>
      </c>
      <c r="Y22" s="15" t="n">
        <v>0.62797</v>
      </c>
      <c r="Z22" s="15" t="n">
        <v>-0.65365</v>
      </c>
      <c r="AA22" s="15" t="n">
        <v>0.1049</v>
      </c>
      <c r="AB22" s="15" t="n">
        <v>0.26577</v>
      </c>
      <c r="AC22" s="15" t="n">
        <v>0.1141</v>
      </c>
      <c r="AD22" s="15" t="n">
        <v>-0.287</v>
      </c>
      <c r="AE22" s="15" t="n">
        <v>-0.77135</v>
      </c>
      <c r="AF22" s="15" t="n">
        <v>-0.016415</v>
      </c>
      <c r="AG22" s="15" t="n">
        <v>0.12766</v>
      </c>
      <c r="AH22" s="15" t="n">
        <v>-0.92222</v>
      </c>
      <c r="AI22" s="15" t="n">
        <v>0.78701</v>
      </c>
      <c r="AJ22" s="15" t="n">
        <v>-0.15839</v>
      </c>
      <c r="AK22" s="15" t="n">
        <v>0.057719</v>
      </c>
      <c r="AL22" s="15" t="n">
        <v>0.3238</v>
      </c>
      <c r="AM22" s="15" t="n">
        <v>-0.86148</v>
      </c>
      <c r="AN22" s="15" t="n">
        <v>0.34435</v>
      </c>
      <c r="AO22" s="15" t="n">
        <v>0.0074696</v>
      </c>
      <c r="AP22" s="15" t="n">
        <v>-0.37507</v>
      </c>
      <c r="AQ22" s="15" t="n">
        <v>0.088689</v>
      </c>
      <c r="AR22" s="15" t="n">
        <v>-0.14812</v>
      </c>
      <c r="AS22" s="15" t="n">
        <v>-0.03897</v>
      </c>
      <c r="AT22" s="15" t="n">
        <v>0.82784</v>
      </c>
      <c r="AU22" s="15" t="n">
        <v>-0.020706</v>
      </c>
      <c r="AV22" s="15" t="n">
        <v>-0.55795</v>
      </c>
      <c r="AW22" s="15" t="n">
        <v>0.25527</v>
      </c>
      <c r="AX22" s="15" t="n">
        <v>-0.60077</v>
      </c>
      <c r="AY22" s="15" t="n">
        <v>-0.0033262</v>
      </c>
      <c r="AZ22" s="15" t="n">
        <v>0.25833</v>
      </c>
      <c r="BA22" s="15" t="n">
        <v>-0.45268</v>
      </c>
      <c r="BB22" s="15" t="n">
        <v>0.60741</v>
      </c>
      <c r="BC22" s="15" t="n">
        <v>0.27258</v>
      </c>
      <c r="BD22" s="15" t="n">
        <v>-0.71414</v>
      </c>
      <c r="BE22" s="15" t="n">
        <v>1.1712</v>
      </c>
      <c r="BF22" s="15" t="n">
        <v>0.2681</v>
      </c>
      <c r="BG22" s="15" t="n">
        <v>-2.1914</v>
      </c>
      <c r="BH22" s="15" t="n">
        <v>-0.50019</v>
      </c>
      <c r="BI22" s="15" t="n">
        <v>-0.18577</v>
      </c>
      <c r="BJ22" s="15" t="n">
        <v>1.4071</v>
      </c>
      <c r="BK22" s="15" t="n">
        <v>0.42153</v>
      </c>
      <c r="BL22" s="15" t="n">
        <v>-0.58351</v>
      </c>
      <c r="BM22" s="15" t="n">
        <v>0.84542</v>
      </c>
      <c r="BN22" s="15" t="n">
        <v>-0.83556</v>
      </c>
      <c r="BO22" s="15" t="n">
        <v>0.61308</v>
      </c>
      <c r="BP22" s="15" t="n">
        <v>0.71066</v>
      </c>
      <c r="BQ22" s="15" t="n">
        <v>0.054705</v>
      </c>
      <c r="BR22" s="15" t="n">
        <v>-0.2872</v>
      </c>
      <c r="BS22" s="15" t="n">
        <v>1.0565</v>
      </c>
      <c r="BT22" s="15" t="n">
        <v>-0.54106</v>
      </c>
      <c r="BU22" s="15" t="n">
        <v>0.20108</v>
      </c>
      <c r="BV22" s="15" t="n">
        <v>0.81185</v>
      </c>
      <c r="BW22" s="15" t="n">
        <v>-0.31956</v>
      </c>
      <c r="BX22" s="15" t="n">
        <v>0.34597</v>
      </c>
      <c r="BY22" s="15" t="n">
        <v>-1.476</v>
      </c>
      <c r="BZ22" s="15" t="n">
        <v>0.4436</v>
      </c>
      <c r="CA22" s="15" t="n">
        <v>-0.19698</v>
      </c>
      <c r="CB22" s="15" t="n">
        <v>-0.47523</v>
      </c>
      <c r="CC22" s="15" t="n">
        <v>0.41173</v>
      </c>
      <c r="CD22" s="15" t="n">
        <v>0.10645</v>
      </c>
      <c r="CE22" s="15" t="n">
        <v>-0.54005</v>
      </c>
      <c r="CF22" s="15" t="n">
        <v>0.13962</v>
      </c>
      <c r="CG22" s="15" t="n">
        <v>0.52645</v>
      </c>
      <c r="CH22" s="15" t="n">
        <v>-0.60491</v>
      </c>
      <c r="CI22" s="15" t="n">
        <v>-0.094504</v>
      </c>
      <c r="CJ22" s="15" t="n">
        <v>-0.57404</v>
      </c>
      <c r="CK22" s="15" t="n">
        <v>-0.45465</v>
      </c>
      <c r="CL22" s="15" t="n">
        <v>0.53644</v>
      </c>
      <c r="CM22" s="15" t="n">
        <v>0.18436</v>
      </c>
      <c r="CN22" s="15" t="n">
        <v>-0.29029</v>
      </c>
      <c r="CO22" s="15" t="n">
        <v>-1.0781</v>
      </c>
      <c r="CP22" s="15" t="n">
        <v>-0.84652</v>
      </c>
      <c r="CQ22" s="15" t="n">
        <v>0.078928</v>
      </c>
      <c r="CR22" s="15" t="n">
        <v>-0.9253</v>
      </c>
      <c r="CS22" s="15" t="n">
        <v>0.20022</v>
      </c>
      <c r="CT22" s="15" t="n">
        <v>-0.33732</v>
      </c>
      <c r="CU22" s="15" t="n">
        <v>-0.042519</v>
      </c>
      <c r="CV22" s="15" t="n">
        <v>0.066319</v>
      </c>
      <c r="CW22" s="15" t="n">
        <v>-0.22447</v>
      </c>
      <c r="CX22" s="15" t="n">
        <v>0.56801</v>
      </c>
      <c r="CY22" s="15" t="n">
        <v>-0.019438</v>
      </c>
    </row>
    <row r="23" customFormat="false" ht="15" hidden="false" customHeight="false" outlineLevel="0" collapsed="false">
      <c r="A23" s="4" t="s">
        <v>159</v>
      </c>
      <c r="B23" s="2" t="n">
        <f aca="false">COUNTIF('1.3 TF-IDF coseno'!$M$10:$M$123,A23)</f>
        <v>1</v>
      </c>
      <c r="C23" s="2" t="n">
        <f aca="false">COUNTIF('1.3 TF-IDF coseno'!$N$10:$N$102,A23)</f>
        <v>0</v>
      </c>
      <c r="D23" s="15" t="n">
        <v>0.56354</v>
      </c>
      <c r="E23" s="15" t="n">
        <v>0.28124</v>
      </c>
      <c r="F23" s="15" t="n">
        <v>0.62225</v>
      </c>
      <c r="G23" s="15" t="n">
        <v>0.2077</v>
      </c>
      <c r="H23" s="15" t="n">
        <v>-0.47417</v>
      </c>
      <c r="I23" s="15" t="n">
        <v>0.36176</v>
      </c>
      <c r="J23" s="15" t="n">
        <v>-0.048386</v>
      </c>
      <c r="K23" s="15" t="n">
        <v>-0.48922</v>
      </c>
      <c r="L23" s="15" t="n">
        <v>0.12211</v>
      </c>
      <c r="M23" s="15" t="n">
        <v>-0.14773</v>
      </c>
      <c r="N23" s="15" t="n">
        <v>0.088065</v>
      </c>
      <c r="O23" s="15" t="n">
        <v>-0.23035</v>
      </c>
      <c r="P23" s="15" t="n">
        <v>0.11732</v>
      </c>
      <c r="Q23" s="15" t="n">
        <v>-0.31598</v>
      </c>
      <c r="R23" s="15" t="n">
        <v>0.30643</v>
      </c>
      <c r="S23" s="15" t="n">
        <v>-0.24794</v>
      </c>
      <c r="T23" s="15" t="n">
        <v>-0.77372</v>
      </c>
      <c r="U23" s="15" t="n">
        <v>0.76221</v>
      </c>
      <c r="V23" s="15" t="n">
        <v>-0.032008</v>
      </c>
      <c r="W23" s="15" t="n">
        <v>0.11041</v>
      </c>
      <c r="X23" s="15" t="n">
        <v>-0.20413</v>
      </c>
      <c r="Y23" s="15" t="n">
        <v>0.66338</v>
      </c>
      <c r="Z23" s="15" t="n">
        <v>-0.258</v>
      </c>
      <c r="AA23" s="15" t="n">
        <v>-0.71565</v>
      </c>
      <c r="AB23" s="15" t="n">
        <v>-0.46003</v>
      </c>
      <c r="AC23" s="15" t="n">
        <v>0.38387</v>
      </c>
      <c r="AD23" s="15" t="n">
        <v>-0.22964</v>
      </c>
      <c r="AE23" s="15" t="n">
        <v>-0.52269</v>
      </c>
      <c r="AF23" s="15" t="n">
        <v>0.09019</v>
      </c>
      <c r="AG23" s="15" t="n">
        <v>0.29087</v>
      </c>
      <c r="AH23" s="15" t="n">
        <v>-0.44287</v>
      </c>
      <c r="AI23" s="15" t="n">
        <v>0.72999</v>
      </c>
      <c r="AJ23" s="15" t="n">
        <v>-0.19825</v>
      </c>
      <c r="AK23" s="15" t="n">
        <v>-0.69126</v>
      </c>
      <c r="AL23" s="15" t="n">
        <v>0.049273</v>
      </c>
      <c r="AM23" s="15" t="n">
        <v>-0.33255</v>
      </c>
      <c r="AN23" s="15" t="n">
        <v>-0.65373</v>
      </c>
      <c r="AO23" s="15" t="n">
        <v>0.092645</v>
      </c>
      <c r="AP23" s="15" t="n">
        <v>0.38097</v>
      </c>
      <c r="AQ23" s="15" t="n">
        <v>-0.56602</v>
      </c>
      <c r="AR23" s="15" t="n">
        <v>-0.60458</v>
      </c>
      <c r="AS23" s="15" t="n">
        <v>-0.047766</v>
      </c>
      <c r="AT23" s="15" t="n">
        <v>0.30822</v>
      </c>
      <c r="AU23" s="15" t="n">
        <v>-0.27744</v>
      </c>
      <c r="AV23" s="15" t="n">
        <v>-0.95822</v>
      </c>
      <c r="AW23" s="15" t="n">
        <v>-0.25589</v>
      </c>
      <c r="AX23" s="15" t="n">
        <v>0.15243</v>
      </c>
      <c r="AY23" s="15" t="n">
        <v>-0.15315</v>
      </c>
      <c r="AZ23" s="15" t="n">
        <v>-0.50613</v>
      </c>
      <c r="BA23" s="15" t="n">
        <v>-0.93109</v>
      </c>
      <c r="BB23" s="15" t="n">
        <v>0.33819</v>
      </c>
      <c r="BC23" s="15" t="n">
        <v>-0.12964</v>
      </c>
      <c r="BD23" s="15" t="n">
        <v>-0.050287</v>
      </c>
      <c r="BE23" s="15" t="n">
        <v>1.068</v>
      </c>
      <c r="BF23" s="15" t="n">
        <v>-0.27405</v>
      </c>
      <c r="BG23" s="15" t="n">
        <v>-1.9195</v>
      </c>
      <c r="BH23" s="15" t="n">
        <v>0.80784</v>
      </c>
      <c r="BI23" s="15" t="n">
        <v>0.3849</v>
      </c>
      <c r="BJ23" s="15" t="n">
        <v>0.93041</v>
      </c>
      <c r="BK23" s="15" t="n">
        <v>0.41733</v>
      </c>
      <c r="BL23" s="15" t="n">
        <v>0.18636</v>
      </c>
      <c r="BM23" s="15" t="n">
        <v>1.0939</v>
      </c>
      <c r="BN23" s="15" t="n">
        <v>-0.24291</v>
      </c>
      <c r="BO23" s="15" t="n">
        <v>-0.041453</v>
      </c>
      <c r="BP23" s="15" t="n">
        <v>0.6367</v>
      </c>
      <c r="BQ23" s="15" t="n">
        <v>0.33688</v>
      </c>
      <c r="BR23" s="15" t="n">
        <v>0.40605</v>
      </c>
      <c r="BS23" s="15" t="n">
        <v>0.11814</v>
      </c>
      <c r="BT23" s="15" t="n">
        <v>-0.43338</v>
      </c>
      <c r="BU23" s="15" t="n">
        <v>0.068241</v>
      </c>
      <c r="BV23" s="15" t="n">
        <v>0.0079967</v>
      </c>
      <c r="BW23" s="15" t="n">
        <v>0.13385</v>
      </c>
      <c r="BX23" s="15" t="n">
        <v>-0.093831</v>
      </c>
      <c r="BY23" s="15" t="n">
        <v>-0.76702</v>
      </c>
      <c r="BZ23" s="15" t="n">
        <v>-0.52072</v>
      </c>
      <c r="CA23" s="15" t="n">
        <v>0.18727</v>
      </c>
      <c r="CB23" s="15" t="n">
        <v>0.21533</v>
      </c>
      <c r="CC23" s="15" t="n">
        <v>0.021666</v>
      </c>
      <c r="CD23" s="15" t="n">
        <v>-0.3578</v>
      </c>
      <c r="CE23" s="15" t="n">
        <v>-0.18879</v>
      </c>
      <c r="CF23" s="15" t="n">
        <v>-0.14054</v>
      </c>
      <c r="CG23" s="15" t="n">
        <v>0.32094</v>
      </c>
      <c r="CH23" s="15" t="n">
        <v>-0.82692</v>
      </c>
      <c r="CI23" s="15" t="n">
        <v>-0.020106</v>
      </c>
      <c r="CJ23" s="15" t="n">
        <v>-1.1874</v>
      </c>
      <c r="CK23" s="15" t="n">
        <v>0.095652</v>
      </c>
      <c r="CL23" s="15" t="n">
        <v>-0.63261</v>
      </c>
      <c r="CM23" s="15" t="n">
        <v>-0.39997</v>
      </c>
      <c r="CN23" s="15" t="n">
        <v>-0.92952</v>
      </c>
      <c r="CO23" s="15" t="n">
        <v>-0.52145</v>
      </c>
      <c r="CP23" s="15" t="n">
        <v>-0.14887</v>
      </c>
      <c r="CQ23" s="15" t="n">
        <v>-0.26273</v>
      </c>
      <c r="CR23" s="15" t="n">
        <v>0.30626</v>
      </c>
      <c r="CS23" s="15" t="n">
        <v>-0.11086</v>
      </c>
      <c r="CT23" s="15" t="n">
        <v>-0.19987</v>
      </c>
      <c r="CU23" s="15" t="n">
        <v>-0.26878</v>
      </c>
      <c r="CV23" s="15" t="n">
        <v>-0.010388</v>
      </c>
      <c r="CW23" s="15" t="n">
        <v>-0.48292</v>
      </c>
      <c r="CX23" s="15" t="n">
        <v>0.30593</v>
      </c>
      <c r="CY23" s="15" t="n">
        <v>0.63143</v>
      </c>
    </row>
    <row r="24" customFormat="false" ht="15" hidden="false" customHeight="false" outlineLevel="0" collapsed="false">
      <c r="A24" s="4" t="s">
        <v>160</v>
      </c>
      <c r="B24" s="2" t="n">
        <f aca="false">COUNTIF('1.3 TF-IDF coseno'!$M$10:$M$123,A24)</f>
        <v>1</v>
      </c>
      <c r="C24" s="2" t="n">
        <f aca="false">COUNTIF('1.3 TF-IDF coseno'!$N$10:$N$102,A24)</f>
        <v>0</v>
      </c>
      <c r="D24" s="15" t="n">
        <v>0.099456</v>
      </c>
      <c r="E24" s="15" t="n">
        <v>0.39108</v>
      </c>
      <c r="F24" s="15" t="n">
        <v>0.27878</v>
      </c>
      <c r="G24" s="15" t="n">
        <v>0.67116</v>
      </c>
      <c r="H24" s="15" t="n">
        <v>-0.16165</v>
      </c>
      <c r="I24" s="15" t="n">
        <v>-0.0034433</v>
      </c>
      <c r="J24" s="15" t="n">
        <v>0.13483</v>
      </c>
      <c r="K24" s="15" t="n">
        <v>-0.45678</v>
      </c>
      <c r="L24" s="15" t="n">
        <v>-0.40417</v>
      </c>
      <c r="M24" s="15" t="n">
        <v>0.60335</v>
      </c>
      <c r="N24" s="15" t="n">
        <v>-0.25792</v>
      </c>
      <c r="O24" s="15" t="n">
        <v>-0.11683</v>
      </c>
      <c r="P24" s="15" t="n">
        <v>0.20648</v>
      </c>
      <c r="Q24" s="15" t="n">
        <v>-0.46799</v>
      </c>
      <c r="R24" s="15" t="n">
        <v>0.47921</v>
      </c>
      <c r="S24" s="15" t="n">
        <v>0.16313</v>
      </c>
      <c r="T24" s="15" t="n">
        <v>-0.40431</v>
      </c>
      <c r="U24" s="15" t="n">
        <v>-0.015871</v>
      </c>
      <c r="V24" s="15" t="n">
        <v>-0.18284</v>
      </c>
      <c r="W24" s="15" t="n">
        <v>-0.024932</v>
      </c>
      <c r="X24" s="15" t="n">
        <v>0.31363</v>
      </c>
      <c r="Y24" s="15" t="n">
        <v>0.039202</v>
      </c>
      <c r="Z24" s="15" t="n">
        <v>0.015852</v>
      </c>
      <c r="AA24" s="15" t="n">
        <v>-0.40803</v>
      </c>
      <c r="AB24" s="15" t="n">
        <v>-0.24991</v>
      </c>
      <c r="AC24" s="15" t="n">
        <v>0.48882</v>
      </c>
      <c r="AD24" s="15" t="n">
        <v>-0.21401</v>
      </c>
      <c r="AE24" s="15" t="n">
        <v>-0.43542</v>
      </c>
      <c r="AF24" s="15" t="n">
        <v>-0.49139</v>
      </c>
      <c r="AG24" s="15" t="n">
        <v>-0.30265</v>
      </c>
      <c r="AH24" s="15" t="n">
        <v>-0.5783</v>
      </c>
      <c r="AI24" s="15" t="n">
        <v>0.98377</v>
      </c>
      <c r="AJ24" s="15" t="n">
        <v>-0.066291</v>
      </c>
      <c r="AK24" s="15" t="n">
        <v>-0.077316</v>
      </c>
      <c r="AL24" s="15" t="n">
        <v>0.42482</v>
      </c>
      <c r="AM24" s="15" t="n">
        <v>0.45002</v>
      </c>
      <c r="AN24" s="15" t="n">
        <v>-0.35423</v>
      </c>
      <c r="AO24" s="15" t="n">
        <v>-0.062662</v>
      </c>
      <c r="AP24" s="15" t="n">
        <v>0.12326</v>
      </c>
      <c r="AQ24" s="15" t="n">
        <v>-0.14335</v>
      </c>
      <c r="AR24" s="15" t="n">
        <v>-0.75324</v>
      </c>
      <c r="AS24" s="15" t="n">
        <v>-0.43787</v>
      </c>
      <c r="AT24" s="15" t="n">
        <v>0.20789</v>
      </c>
      <c r="AU24" s="15" t="n">
        <v>0.59843</v>
      </c>
      <c r="AV24" s="15" t="n">
        <v>-0.83874</v>
      </c>
      <c r="AW24" s="15" t="n">
        <v>-0.21535</v>
      </c>
      <c r="AX24" s="15" t="n">
        <v>0.051594</v>
      </c>
      <c r="AY24" s="15" t="n">
        <v>-0.0744</v>
      </c>
      <c r="AZ24" s="15" t="n">
        <v>-0.23025</v>
      </c>
      <c r="BA24" s="15" t="n">
        <v>-0.36799</v>
      </c>
      <c r="BB24" s="15" t="n">
        <v>0.40185</v>
      </c>
      <c r="BC24" s="15" t="n">
        <v>0.21665</v>
      </c>
      <c r="BD24" s="15" t="n">
        <v>-0.13393</v>
      </c>
      <c r="BE24" s="15" t="n">
        <v>1.2386</v>
      </c>
      <c r="BF24" s="15" t="n">
        <v>0.092194</v>
      </c>
      <c r="BG24" s="15" t="n">
        <v>-2.2594</v>
      </c>
      <c r="BH24" s="15" t="n">
        <v>0.59668</v>
      </c>
      <c r="BI24" s="15" t="n">
        <v>-0.28143</v>
      </c>
      <c r="BJ24" s="15" t="n">
        <v>1.3988</v>
      </c>
      <c r="BK24" s="15" t="n">
        <v>0.18371</v>
      </c>
      <c r="BL24" s="15" t="n">
        <v>0.15101</v>
      </c>
      <c r="BM24" s="15" t="n">
        <v>0.20248</v>
      </c>
      <c r="BN24" s="15" t="n">
        <v>0.033598</v>
      </c>
      <c r="BO24" s="15" t="n">
        <v>0.12446</v>
      </c>
      <c r="BP24" s="15" t="n">
        <v>0.73772</v>
      </c>
      <c r="BQ24" s="15" t="n">
        <v>-0.29153</v>
      </c>
      <c r="BR24" s="15" t="n">
        <v>-0.45308</v>
      </c>
      <c r="BS24" s="15" t="n">
        <v>0.17397</v>
      </c>
      <c r="BT24" s="15" t="n">
        <v>-0.2581</v>
      </c>
      <c r="BU24" s="15" t="n">
        <v>-0.49339</v>
      </c>
      <c r="BV24" s="15" t="n">
        <v>-0.12461</v>
      </c>
      <c r="BW24" s="15" t="n">
        <v>-0.1259</v>
      </c>
      <c r="BX24" s="15" t="n">
        <v>0.00017945</v>
      </c>
      <c r="BY24" s="15" t="n">
        <v>-0.34795</v>
      </c>
      <c r="BZ24" s="15" t="n">
        <v>-0.28749</v>
      </c>
      <c r="CA24" s="15" t="n">
        <v>-0.62446</v>
      </c>
      <c r="CB24" s="15" t="n">
        <v>0.078543</v>
      </c>
      <c r="CC24" s="15" t="n">
        <v>0.23606</v>
      </c>
      <c r="CD24" s="15" t="n">
        <v>-0.25987</v>
      </c>
      <c r="CE24" s="15" t="n">
        <v>-0.39699</v>
      </c>
      <c r="CF24" s="15" t="n">
        <v>0.036278</v>
      </c>
      <c r="CG24" s="15" t="n">
        <v>0.35228</v>
      </c>
      <c r="CH24" s="15" t="n">
        <v>-0.65554</v>
      </c>
      <c r="CI24" s="15" t="n">
        <v>-0.33449</v>
      </c>
      <c r="CJ24" s="15" t="n">
        <v>-1.5615</v>
      </c>
      <c r="CK24" s="15" t="n">
        <v>0.42277</v>
      </c>
      <c r="CL24" s="15" t="n">
        <v>0.019273</v>
      </c>
      <c r="CM24" s="15" t="n">
        <v>-0.13418</v>
      </c>
      <c r="CN24" s="15" t="n">
        <v>-0.6517</v>
      </c>
      <c r="CO24" s="15" t="n">
        <v>-0.63469</v>
      </c>
      <c r="CP24" s="15" t="n">
        <v>0.043374</v>
      </c>
      <c r="CQ24" s="15" t="n">
        <v>-0.19082</v>
      </c>
      <c r="CR24" s="15" t="n">
        <v>-0.26505</v>
      </c>
      <c r="CS24" s="15" t="n">
        <v>0.073004</v>
      </c>
      <c r="CT24" s="15" t="n">
        <v>0.22079</v>
      </c>
      <c r="CU24" s="15" t="n">
        <v>0.39554</v>
      </c>
      <c r="CV24" s="15" t="n">
        <v>-0.37408</v>
      </c>
      <c r="CW24" s="15" t="n">
        <v>-0.51784</v>
      </c>
      <c r="CX24" s="15" t="n">
        <v>0.72075</v>
      </c>
      <c r="CY24" s="15" t="n">
        <v>0.93942</v>
      </c>
    </row>
    <row r="25" customFormat="false" ht="15" hidden="false" customHeight="false" outlineLevel="0" collapsed="false">
      <c r="A25" s="4" t="s">
        <v>161</v>
      </c>
      <c r="B25" s="2" t="n">
        <f aca="false">COUNTIF('1.3 TF-IDF coseno'!$M$10:$M$123,A25)</f>
        <v>1</v>
      </c>
      <c r="C25" s="2" t="n">
        <f aca="false">COUNTIF('1.3 TF-IDF coseno'!$N$10:$N$102,A25)</f>
        <v>0</v>
      </c>
      <c r="D25" s="15" t="n">
        <v>-0.21638</v>
      </c>
      <c r="E25" s="15" t="n">
        <v>-0.56077</v>
      </c>
      <c r="F25" s="15" t="n">
        <v>-0.31631</v>
      </c>
      <c r="G25" s="15" t="n">
        <v>0.47307</v>
      </c>
      <c r="H25" s="15" t="n">
        <v>-0.33634</v>
      </c>
      <c r="I25" s="15" t="n">
        <v>0.25026</v>
      </c>
      <c r="J25" s="15" t="n">
        <v>-0.59167</v>
      </c>
      <c r="K25" s="15" t="n">
        <v>0.46693</v>
      </c>
      <c r="L25" s="15" t="n">
        <v>0.54344</v>
      </c>
      <c r="M25" s="15" t="n">
        <v>-0.1578</v>
      </c>
      <c r="N25" s="15" t="n">
        <v>0.15358</v>
      </c>
      <c r="O25" s="15" t="n">
        <v>0.26645</v>
      </c>
      <c r="P25" s="15" t="n">
        <v>0.27204</v>
      </c>
      <c r="Q25" s="15" t="n">
        <v>0.1361</v>
      </c>
      <c r="R25" s="15" t="n">
        <v>-0.62257</v>
      </c>
      <c r="S25" s="15" t="n">
        <v>0.30105</v>
      </c>
      <c r="T25" s="15" t="n">
        <v>0.47433</v>
      </c>
      <c r="U25" s="15" t="n">
        <v>0.17366</v>
      </c>
      <c r="V25" s="15" t="n">
        <v>-1.14</v>
      </c>
      <c r="W25" s="15" t="n">
        <v>0.37957</v>
      </c>
      <c r="X25" s="15" t="n">
        <v>-0.25323</v>
      </c>
      <c r="Y25" s="15" t="n">
        <v>-0.78775</v>
      </c>
      <c r="Z25" s="15" t="n">
        <v>0.21122</v>
      </c>
      <c r="AA25" s="15" t="n">
        <v>-0.44517</v>
      </c>
      <c r="AB25" s="15" t="n">
        <v>-0.90188</v>
      </c>
      <c r="AC25" s="15" t="n">
        <v>-0.31595</v>
      </c>
      <c r="AD25" s="15" t="n">
        <v>0.10704</v>
      </c>
      <c r="AE25" s="15" t="n">
        <v>-0.010815</v>
      </c>
      <c r="AF25" s="15" t="n">
        <v>0.23015</v>
      </c>
      <c r="AG25" s="15" t="n">
        <v>0.23468</v>
      </c>
      <c r="AH25" s="15" t="n">
        <v>0.1078</v>
      </c>
      <c r="AI25" s="15" t="n">
        <v>-0.27189</v>
      </c>
      <c r="AJ25" s="15" t="n">
        <v>-0.47223</v>
      </c>
      <c r="AK25" s="15" t="n">
        <v>0.44047</v>
      </c>
      <c r="AL25" s="15" t="n">
        <v>-0.49134</v>
      </c>
      <c r="AM25" s="15" t="n">
        <v>-0.20869</v>
      </c>
      <c r="AN25" s="15" t="n">
        <v>-0.15378</v>
      </c>
      <c r="AO25" s="15" t="n">
        <v>-0.48344</v>
      </c>
      <c r="AP25" s="15" t="n">
        <v>0.37341</v>
      </c>
      <c r="AQ25" s="15" t="n">
        <v>0.051399</v>
      </c>
      <c r="AR25" s="15" t="n">
        <v>-0.93032</v>
      </c>
      <c r="AS25" s="15" t="n">
        <v>-0.055234</v>
      </c>
      <c r="AT25" s="15" t="n">
        <v>-0.1817</v>
      </c>
      <c r="AU25" s="15" t="n">
        <v>-0.76607</v>
      </c>
      <c r="AV25" s="15" t="n">
        <v>-0.48943</v>
      </c>
      <c r="AW25" s="15" t="n">
        <v>0.74731</v>
      </c>
      <c r="AX25" s="15" t="n">
        <v>-0.39006</v>
      </c>
      <c r="AY25" s="15" t="n">
        <v>-0.2173</v>
      </c>
      <c r="AZ25" s="15" t="n">
        <v>-0.11161</v>
      </c>
      <c r="BA25" s="15" t="n">
        <v>-0.78386</v>
      </c>
      <c r="BB25" s="15" t="n">
        <v>0.59983</v>
      </c>
      <c r="BC25" s="15" t="n">
        <v>0.14161</v>
      </c>
      <c r="BD25" s="15" t="n">
        <v>0.0076898</v>
      </c>
      <c r="BE25" s="15" t="n">
        <v>0.99427</v>
      </c>
      <c r="BF25" s="15" t="n">
        <v>-0.45295</v>
      </c>
      <c r="BG25" s="15" t="n">
        <v>-1.027</v>
      </c>
      <c r="BH25" s="15" t="n">
        <v>-0.05028</v>
      </c>
      <c r="BI25" s="15" t="n">
        <v>-0.20691</v>
      </c>
      <c r="BJ25" s="15" t="n">
        <v>1.5429</v>
      </c>
      <c r="BK25" s="15" t="n">
        <v>0.10613</v>
      </c>
      <c r="BL25" s="15" t="n">
        <v>-0.77484</v>
      </c>
      <c r="BM25" s="15" t="n">
        <v>0.074989</v>
      </c>
      <c r="BN25" s="15" t="n">
        <v>0.32313</v>
      </c>
      <c r="BO25" s="15" t="n">
        <v>-0.063019</v>
      </c>
      <c r="BP25" s="15" t="n">
        <v>1.2582</v>
      </c>
      <c r="BQ25" s="15" t="n">
        <v>-0.21659</v>
      </c>
      <c r="BR25" s="15" t="n">
        <v>0.00014866</v>
      </c>
      <c r="BS25" s="15" t="n">
        <v>0.77364</v>
      </c>
      <c r="BT25" s="15" t="n">
        <v>0.004871</v>
      </c>
      <c r="BU25" s="15" t="n">
        <v>0.66498</v>
      </c>
      <c r="BV25" s="15" t="n">
        <v>0.45767</v>
      </c>
      <c r="BW25" s="15" t="n">
        <v>-0.47692</v>
      </c>
      <c r="BX25" s="15" t="n">
        <v>-0.47352</v>
      </c>
      <c r="BY25" s="15" t="n">
        <v>-0.39875</v>
      </c>
      <c r="BZ25" s="15" t="n">
        <v>0.17291</v>
      </c>
      <c r="CA25" s="15" t="n">
        <v>-0.36673</v>
      </c>
      <c r="CB25" s="15" t="n">
        <v>-0.076692</v>
      </c>
      <c r="CC25" s="15" t="n">
        <v>-0.25736</v>
      </c>
      <c r="CD25" s="15" t="n">
        <v>-1.0038</v>
      </c>
      <c r="CE25" s="15" t="n">
        <v>0.33125</v>
      </c>
      <c r="CF25" s="15" t="n">
        <v>0.67217</v>
      </c>
      <c r="CG25" s="15" t="n">
        <v>0.6372</v>
      </c>
      <c r="CH25" s="15" t="n">
        <v>0.2676</v>
      </c>
      <c r="CI25" s="15" t="n">
        <v>-0.0071957</v>
      </c>
      <c r="CJ25" s="15" t="n">
        <v>-0.53522</v>
      </c>
      <c r="CK25" s="15" t="n">
        <v>-0.33103</v>
      </c>
      <c r="CL25" s="15" t="n">
        <v>0.33564</v>
      </c>
      <c r="CM25" s="15" t="n">
        <v>1.0464</v>
      </c>
      <c r="CN25" s="15" t="n">
        <v>-0.59111</v>
      </c>
      <c r="CO25" s="15" t="n">
        <v>-0.12812</v>
      </c>
      <c r="CP25" s="15" t="n">
        <v>-0.017724</v>
      </c>
      <c r="CQ25" s="15" t="n">
        <v>-0.024523</v>
      </c>
      <c r="CR25" s="15" t="n">
        <v>-0.61559</v>
      </c>
      <c r="CS25" s="15" t="n">
        <v>-0.45712</v>
      </c>
      <c r="CT25" s="15" t="n">
        <v>0.77023</v>
      </c>
      <c r="CU25" s="15" t="n">
        <v>0.47297</v>
      </c>
      <c r="CV25" s="15" t="n">
        <v>-0.86482</v>
      </c>
      <c r="CW25" s="15" t="n">
        <v>-0.24338</v>
      </c>
      <c r="CX25" s="15" t="n">
        <v>0.041244</v>
      </c>
      <c r="CY25" s="15" t="n">
        <v>-0.67671</v>
      </c>
    </row>
    <row r="26" customFormat="false" ht="15" hidden="false" customHeight="false" outlineLevel="0" collapsed="false">
      <c r="A26" s="4" t="s">
        <v>162</v>
      </c>
      <c r="B26" s="2" t="n">
        <f aca="false">COUNTIF('1.3 TF-IDF coseno'!$M$10:$M$123,A26)</f>
        <v>1</v>
      </c>
      <c r="C26" s="2" t="n">
        <f aca="false">COUNTIF('1.3 TF-IDF coseno'!$N$10:$N$102,A26)</f>
        <v>0</v>
      </c>
      <c r="D26" s="15" t="n">
        <v>-0.36054</v>
      </c>
      <c r="E26" s="15" t="n">
        <v>0.04057</v>
      </c>
      <c r="F26" s="15" t="n">
        <v>0.3002</v>
      </c>
      <c r="G26" s="15" t="n">
        <v>0.27054</v>
      </c>
      <c r="H26" s="15" t="n">
        <v>0.44973</v>
      </c>
      <c r="I26" s="15" t="n">
        <v>0.74569</v>
      </c>
      <c r="J26" s="15" t="n">
        <v>-0.332</v>
      </c>
      <c r="K26" s="15" t="n">
        <v>0.059013</v>
      </c>
      <c r="L26" s="15" t="n">
        <v>0.72222</v>
      </c>
      <c r="M26" s="15" t="n">
        <v>-0.080769</v>
      </c>
      <c r="N26" s="15" t="n">
        <v>-0.16658</v>
      </c>
      <c r="O26" s="15" t="n">
        <v>-0.25164</v>
      </c>
      <c r="P26" s="15" t="n">
        <v>-0.25483</v>
      </c>
      <c r="Q26" s="15" t="n">
        <v>0.14469</v>
      </c>
      <c r="R26" s="15" t="n">
        <v>0.061105</v>
      </c>
      <c r="S26" s="15" t="n">
        <v>0.37744</v>
      </c>
      <c r="T26" s="15" t="n">
        <v>0.24881</v>
      </c>
      <c r="U26" s="15" t="n">
        <v>0.70568</v>
      </c>
      <c r="V26" s="15" t="n">
        <v>0.6278</v>
      </c>
      <c r="W26" s="15" t="n">
        <v>0.10283</v>
      </c>
      <c r="X26" s="15" t="n">
        <v>-0.032517</v>
      </c>
      <c r="Y26" s="15" t="n">
        <v>-0.82701</v>
      </c>
      <c r="Z26" s="15" t="n">
        <v>0.13073</v>
      </c>
      <c r="AA26" s="15" t="n">
        <v>-0.017771</v>
      </c>
      <c r="AB26" s="15" t="n">
        <v>0.51954</v>
      </c>
      <c r="AC26" s="15" t="n">
        <v>0.32389</v>
      </c>
      <c r="AD26" s="15" t="n">
        <v>-0.27233</v>
      </c>
      <c r="AE26" s="15" t="n">
        <v>0.1313</v>
      </c>
      <c r="AF26" s="15" t="n">
        <v>-0.029257</v>
      </c>
      <c r="AG26" s="15" t="n">
        <v>-0.34167</v>
      </c>
      <c r="AH26" s="15" t="n">
        <v>-0.33613</v>
      </c>
      <c r="AI26" s="15" t="n">
        <v>0.87005</v>
      </c>
      <c r="AJ26" s="15" t="n">
        <v>-0.76455</v>
      </c>
      <c r="AK26" s="15" t="n">
        <v>-0.48643</v>
      </c>
      <c r="AL26" s="15" t="n">
        <v>-0.23104</v>
      </c>
      <c r="AM26" s="15" t="n">
        <v>-0.16253</v>
      </c>
      <c r="AN26" s="15" t="n">
        <v>-0.13359</v>
      </c>
      <c r="AO26" s="15" t="n">
        <v>-0.22059</v>
      </c>
      <c r="AP26" s="15" t="n">
        <v>-0.13789</v>
      </c>
      <c r="AQ26" s="15" t="n">
        <v>-0.48504</v>
      </c>
      <c r="AR26" s="15" t="n">
        <v>-0.27834</v>
      </c>
      <c r="AS26" s="15" t="n">
        <v>-0.26165</v>
      </c>
      <c r="AT26" s="15" t="n">
        <v>-0.073624</v>
      </c>
      <c r="AU26" s="15" t="n">
        <v>0.069228</v>
      </c>
      <c r="AV26" s="15" t="n">
        <v>-0.53793</v>
      </c>
      <c r="AW26" s="15" t="n">
        <v>0.82843</v>
      </c>
      <c r="AX26" s="15" t="n">
        <v>-0.38788</v>
      </c>
      <c r="AY26" s="15" t="n">
        <v>0.92227</v>
      </c>
      <c r="AZ26" s="15" t="n">
        <v>0.10256</v>
      </c>
      <c r="BA26" s="15" t="n">
        <v>0.55833</v>
      </c>
      <c r="BB26" s="15" t="n">
        <v>-0.42245</v>
      </c>
      <c r="BC26" s="15" t="n">
        <v>0.0083231</v>
      </c>
      <c r="BD26" s="15" t="n">
        <v>0.77684</v>
      </c>
      <c r="BE26" s="15" t="n">
        <v>0.70214</v>
      </c>
      <c r="BF26" s="15" t="n">
        <v>0.15286</v>
      </c>
      <c r="BG26" s="15" t="n">
        <v>-0.50096</v>
      </c>
      <c r="BH26" s="15" t="n">
        <v>0.035861</v>
      </c>
      <c r="BI26" s="15" t="n">
        <v>0.14366</v>
      </c>
      <c r="BJ26" s="15" t="n">
        <v>0.072216</v>
      </c>
      <c r="BK26" s="15" t="n">
        <v>-0.17618</v>
      </c>
      <c r="BL26" s="15" t="n">
        <v>0.42205</v>
      </c>
      <c r="BM26" s="15" t="n">
        <v>0.36017</v>
      </c>
      <c r="BN26" s="15" t="n">
        <v>0.40084</v>
      </c>
      <c r="BO26" s="15" t="n">
        <v>-0.059853</v>
      </c>
      <c r="BP26" s="15" t="n">
        <v>0.16578</v>
      </c>
      <c r="BQ26" s="15" t="n">
        <v>0.61391</v>
      </c>
      <c r="BR26" s="15" t="n">
        <v>0.2062</v>
      </c>
      <c r="BS26" s="15" t="n">
        <v>-0.47562</v>
      </c>
      <c r="BT26" s="15" t="n">
        <v>0.061131</v>
      </c>
      <c r="BU26" s="15" t="n">
        <v>0.24501</v>
      </c>
      <c r="BV26" s="15" t="n">
        <v>0.24953</v>
      </c>
      <c r="BW26" s="15" t="n">
        <v>-0.39521</v>
      </c>
      <c r="BX26" s="15" t="n">
        <v>0.072206</v>
      </c>
      <c r="BY26" s="15" t="n">
        <v>0.069847</v>
      </c>
      <c r="BZ26" s="15" t="n">
        <v>0.71971</v>
      </c>
      <c r="CA26" s="15" t="n">
        <v>-0.71031</v>
      </c>
      <c r="CB26" s="15" t="n">
        <v>-0.048168</v>
      </c>
      <c r="CC26" s="15" t="n">
        <v>-0.81719</v>
      </c>
      <c r="CD26" s="15" t="n">
        <v>0.069948</v>
      </c>
      <c r="CE26" s="15" t="n">
        <v>-0.16985</v>
      </c>
      <c r="CF26" s="15" t="n">
        <v>-0.35983</v>
      </c>
      <c r="CG26" s="15" t="n">
        <v>0.075176</v>
      </c>
      <c r="CH26" s="15" t="n">
        <v>-0.85311</v>
      </c>
      <c r="CI26" s="15" t="n">
        <v>0.40048</v>
      </c>
      <c r="CJ26" s="15" t="n">
        <v>-0.23717</v>
      </c>
      <c r="CK26" s="15" t="n">
        <v>0.25652</v>
      </c>
      <c r="CL26" s="15" t="n">
        <v>0.16282</v>
      </c>
      <c r="CM26" s="15" t="n">
        <v>-0.42374</v>
      </c>
      <c r="CN26" s="15" t="n">
        <v>0.076642</v>
      </c>
      <c r="CO26" s="15" t="n">
        <v>-0.40698</v>
      </c>
      <c r="CP26" s="15" t="n">
        <v>0.32193</v>
      </c>
      <c r="CQ26" s="15" t="n">
        <v>-0.05637</v>
      </c>
      <c r="CR26" s="15" t="n">
        <v>-0.013998</v>
      </c>
      <c r="CS26" s="15" t="n">
        <v>-0.26112</v>
      </c>
      <c r="CT26" s="15" t="n">
        <v>0.48106</v>
      </c>
      <c r="CU26" s="15" t="n">
        <v>-0.80952</v>
      </c>
      <c r="CV26" s="15" t="n">
        <v>0.19718</v>
      </c>
      <c r="CW26" s="15" t="n">
        <v>-0.23229</v>
      </c>
      <c r="CX26" s="15" t="n">
        <v>-0.58811</v>
      </c>
      <c r="CY26" s="15" t="n">
        <v>0.087629</v>
      </c>
    </row>
    <row r="27" customFormat="false" ht="15" hidden="false" customHeight="false" outlineLevel="0" collapsed="false">
      <c r="A27" s="4" t="s">
        <v>163</v>
      </c>
      <c r="B27" s="2" t="n">
        <f aca="false">COUNTIF('1.3 TF-IDF coseno'!$M$10:$M$123,A27)</f>
        <v>2</v>
      </c>
      <c r="C27" s="2" t="n">
        <f aca="false">COUNTIF('1.3 TF-IDF coseno'!$N$10:$N$102,A27)</f>
        <v>0</v>
      </c>
      <c r="D27" s="15" t="n">
        <v>-0.4713</v>
      </c>
      <c r="E27" s="15" t="n">
        <v>0.57094</v>
      </c>
      <c r="F27" s="15" t="n">
        <v>-0.50343</v>
      </c>
      <c r="G27" s="15" t="n">
        <v>-0.16902</v>
      </c>
      <c r="H27" s="15" t="n">
        <v>0.207</v>
      </c>
      <c r="I27" s="15" t="n">
        <v>0.20779</v>
      </c>
      <c r="J27" s="15" t="n">
        <v>0.087041</v>
      </c>
      <c r="K27" s="15" t="n">
        <v>0.049987</v>
      </c>
      <c r="L27" s="15" t="n">
        <v>-0.14483</v>
      </c>
      <c r="M27" s="15" t="n">
        <v>0.26928</v>
      </c>
      <c r="N27" s="15" t="n">
        <v>-0.19927</v>
      </c>
      <c r="O27" s="15" t="n">
        <v>-0.6827</v>
      </c>
      <c r="P27" s="15" t="n">
        <v>0.27491</v>
      </c>
      <c r="Q27" s="15" t="n">
        <v>0.82178</v>
      </c>
      <c r="R27" s="15" t="n">
        <v>0.31601</v>
      </c>
      <c r="S27" s="15" t="n">
        <v>-0.11952</v>
      </c>
      <c r="T27" s="15" t="n">
        <v>1.043</v>
      </c>
      <c r="U27" s="15" t="n">
        <v>0.24766</v>
      </c>
      <c r="V27" s="15" t="n">
        <v>-0.34924</v>
      </c>
      <c r="W27" s="15" t="n">
        <v>-0.30117</v>
      </c>
      <c r="X27" s="15" t="n">
        <v>0.40915</v>
      </c>
      <c r="Y27" s="15" t="n">
        <v>-0.34067</v>
      </c>
      <c r="Z27" s="15" t="n">
        <v>0.3716</v>
      </c>
      <c r="AA27" s="15" t="n">
        <v>0.093613</v>
      </c>
      <c r="AB27" s="15" t="n">
        <v>-0.13949</v>
      </c>
      <c r="AC27" s="15" t="n">
        <v>-0.5461</v>
      </c>
      <c r="AD27" s="15" t="n">
        <v>-0.3396</v>
      </c>
      <c r="AE27" s="15" t="n">
        <v>-0.2273</v>
      </c>
      <c r="AF27" s="15" t="n">
        <v>-0.05824</v>
      </c>
      <c r="AG27" s="15" t="n">
        <v>0.11287</v>
      </c>
      <c r="AH27" s="15" t="n">
        <v>0.15304</v>
      </c>
      <c r="AI27" s="15" t="n">
        <v>0.86929</v>
      </c>
      <c r="AJ27" s="15" t="n">
        <v>-0.97688</v>
      </c>
      <c r="AK27" s="15" t="n">
        <v>0.22133</v>
      </c>
      <c r="AL27" s="15" t="n">
        <v>0.6068</v>
      </c>
      <c r="AM27" s="15" t="n">
        <v>0.56773</v>
      </c>
      <c r="AN27" s="15" t="n">
        <v>0.0032481</v>
      </c>
      <c r="AO27" s="15" t="n">
        <v>0.19031</v>
      </c>
      <c r="AP27" s="15" t="n">
        <v>0.48249</v>
      </c>
      <c r="AQ27" s="15" t="n">
        <v>-0.10228</v>
      </c>
      <c r="AR27" s="15" t="n">
        <v>-0.14569</v>
      </c>
      <c r="AS27" s="15" t="n">
        <v>-0.36808</v>
      </c>
      <c r="AT27" s="15" t="n">
        <v>-0.25728</v>
      </c>
      <c r="AU27" s="15" t="n">
        <v>-0.15778</v>
      </c>
      <c r="AV27" s="15" t="n">
        <v>-0.091743</v>
      </c>
      <c r="AW27" s="15" t="n">
        <v>0.16179</v>
      </c>
      <c r="AX27" s="15" t="n">
        <v>0.2565</v>
      </c>
      <c r="AY27" s="15" t="n">
        <v>-0.57449</v>
      </c>
      <c r="AZ27" s="15" t="n">
        <v>-0.22681</v>
      </c>
      <c r="BA27" s="15" t="n">
        <v>-0.89427</v>
      </c>
      <c r="BB27" s="15" t="n">
        <v>-0.22239</v>
      </c>
      <c r="BC27" s="15" t="n">
        <v>0.52927</v>
      </c>
      <c r="BD27" s="15" t="n">
        <v>0.76028</v>
      </c>
      <c r="BE27" s="15" t="n">
        <v>1.3736</v>
      </c>
      <c r="BF27" s="15" t="n">
        <v>-0.17043</v>
      </c>
      <c r="BG27" s="15" t="n">
        <v>-2.0083</v>
      </c>
      <c r="BH27" s="15" t="n">
        <v>-0.51106</v>
      </c>
      <c r="BI27" s="15" t="n">
        <v>-0.26381</v>
      </c>
      <c r="BJ27" s="15" t="n">
        <v>1.5273</v>
      </c>
      <c r="BK27" s="15" t="n">
        <v>0.13254</v>
      </c>
      <c r="BL27" s="15" t="n">
        <v>-0.25583</v>
      </c>
      <c r="BM27" s="15" t="n">
        <v>0.92246</v>
      </c>
      <c r="BN27" s="15" t="n">
        <v>0.22393</v>
      </c>
      <c r="BO27" s="15" t="n">
        <v>0.90556</v>
      </c>
      <c r="BP27" s="15" t="n">
        <v>1.0088</v>
      </c>
      <c r="BQ27" s="15" t="n">
        <v>-0.16988</v>
      </c>
      <c r="BR27" s="15" t="n">
        <v>0.74343</v>
      </c>
      <c r="BS27" s="15" t="n">
        <v>-0.35974</v>
      </c>
      <c r="BT27" s="15" t="n">
        <v>-0.077833</v>
      </c>
      <c r="BU27" s="15" t="n">
        <v>-0.35517</v>
      </c>
      <c r="BV27" s="15" t="n">
        <v>-0.79085</v>
      </c>
      <c r="BW27" s="15" t="n">
        <v>-0.44397</v>
      </c>
      <c r="BX27" s="15" t="n">
        <v>0.47479</v>
      </c>
      <c r="BY27" s="15" t="n">
        <v>0.096046</v>
      </c>
      <c r="BZ27" s="15" t="n">
        <v>0.0029278</v>
      </c>
      <c r="CA27" s="15" t="n">
        <v>-0.30727</v>
      </c>
      <c r="CB27" s="15" t="n">
        <v>0.28722</v>
      </c>
      <c r="CC27" s="15" t="n">
        <v>0.51917</v>
      </c>
      <c r="CD27" s="15" t="n">
        <v>-0.94567</v>
      </c>
      <c r="CE27" s="15" t="n">
        <v>0.35826</v>
      </c>
      <c r="CF27" s="15" t="n">
        <v>0.82026</v>
      </c>
      <c r="CG27" s="15" t="n">
        <v>-0.57482</v>
      </c>
      <c r="CH27" s="15" t="n">
        <v>-1.0386</v>
      </c>
      <c r="CI27" s="15" t="n">
        <v>-0.14005</v>
      </c>
      <c r="CJ27" s="15" t="n">
        <v>-1.8042</v>
      </c>
      <c r="CK27" s="15" t="n">
        <v>0.51904</v>
      </c>
      <c r="CL27" s="15" t="n">
        <v>0.6171</v>
      </c>
      <c r="CM27" s="15" t="n">
        <v>-0.1785</v>
      </c>
      <c r="CN27" s="15" t="n">
        <v>-0.18061</v>
      </c>
      <c r="CO27" s="15" t="n">
        <v>0.057552</v>
      </c>
      <c r="CP27" s="15" t="n">
        <v>-0.49046</v>
      </c>
      <c r="CQ27" s="15" t="n">
        <v>-0.17216</v>
      </c>
      <c r="CR27" s="15" t="n">
        <v>0.086454</v>
      </c>
      <c r="CS27" s="15" t="n">
        <v>-0.073225</v>
      </c>
      <c r="CT27" s="15" t="n">
        <v>-0.021868</v>
      </c>
      <c r="CU27" s="15" t="n">
        <v>-0.60123</v>
      </c>
      <c r="CV27" s="15" t="n">
        <v>-0.72079</v>
      </c>
      <c r="CW27" s="15" t="n">
        <v>-0.55905</v>
      </c>
      <c r="CX27" s="15" t="n">
        <v>0.7363</v>
      </c>
      <c r="CY27" s="15" t="n">
        <v>-0.069655</v>
      </c>
    </row>
    <row r="28" customFormat="false" ht="15" hidden="false" customHeight="false" outlineLevel="0" collapsed="false">
      <c r="A28" s="4" t="s">
        <v>164</v>
      </c>
      <c r="B28" s="2" t="n">
        <f aca="false">COUNTIF('1.3 TF-IDF coseno'!$M$10:$M$123,A28)</f>
        <v>1</v>
      </c>
      <c r="C28" s="2" t="n">
        <f aca="false">COUNTIF('1.3 TF-IDF coseno'!$N$10:$N$102,A28)</f>
        <v>0</v>
      </c>
      <c r="D28" s="15" t="n">
        <v>0.34923</v>
      </c>
      <c r="E28" s="15" t="n">
        <v>0.14107</v>
      </c>
      <c r="F28" s="15" t="n">
        <v>-0.19204</v>
      </c>
      <c r="G28" s="15" t="n">
        <v>0.48018</v>
      </c>
      <c r="H28" s="15" t="n">
        <v>0.1061</v>
      </c>
      <c r="I28" s="15" t="n">
        <v>0.087123</v>
      </c>
      <c r="J28" s="15" t="n">
        <v>0.41425</v>
      </c>
      <c r="K28" s="15" t="n">
        <v>0.23387</v>
      </c>
      <c r="L28" s="15" t="n">
        <v>-0.015269</v>
      </c>
      <c r="M28" s="15" t="n">
        <v>0.55379</v>
      </c>
      <c r="N28" s="15" t="n">
        <v>0.046779</v>
      </c>
      <c r="O28" s="15" t="n">
        <v>0.2844</v>
      </c>
      <c r="P28" s="15" t="n">
        <v>-0.78299</v>
      </c>
      <c r="Q28" s="15" t="n">
        <v>-0.024864</v>
      </c>
      <c r="R28" s="15" t="n">
        <v>-0.66394</v>
      </c>
      <c r="S28" s="15" t="n">
        <v>0.43796</v>
      </c>
      <c r="T28" s="15" t="n">
        <v>-0.44308</v>
      </c>
      <c r="U28" s="15" t="n">
        <v>-0.30628</v>
      </c>
      <c r="V28" s="15" t="n">
        <v>0.22209</v>
      </c>
      <c r="W28" s="15" t="n">
        <v>-0.24066</v>
      </c>
      <c r="X28" s="15" t="n">
        <v>0.074429</v>
      </c>
      <c r="Y28" s="15" t="n">
        <v>-0.090135</v>
      </c>
      <c r="Z28" s="15" t="n">
        <v>-0.37512</v>
      </c>
      <c r="AA28" s="15" t="n">
        <v>-0.11144</v>
      </c>
      <c r="AB28" s="15" t="n">
        <v>-0.32717</v>
      </c>
      <c r="AC28" s="15" t="n">
        <v>0.51802</v>
      </c>
      <c r="AD28" s="15" t="n">
        <v>0.27344</v>
      </c>
      <c r="AE28" s="15" t="n">
        <v>0.15987</v>
      </c>
      <c r="AF28" s="15" t="n">
        <v>0.39258</v>
      </c>
      <c r="AG28" s="15" t="n">
        <v>0.43644</v>
      </c>
      <c r="AH28" s="15" t="n">
        <v>0.58469</v>
      </c>
      <c r="AI28" s="15" t="n">
        <v>-0.12835</v>
      </c>
      <c r="AJ28" s="15" t="n">
        <v>-0.34218</v>
      </c>
      <c r="AK28" s="15" t="n">
        <v>0.10333</v>
      </c>
      <c r="AL28" s="15" t="n">
        <v>-0.083568</v>
      </c>
      <c r="AM28" s="15" t="n">
        <v>-0.16958</v>
      </c>
      <c r="AN28" s="15" t="n">
        <v>0.47584</v>
      </c>
      <c r="AO28" s="15" t="n">
        <v>0.42841</v>
      </c>
      <c r="AP28" s="15" t="n">
        <v>0.40944</v>
      </c>
      <c r="AQ28" s="15" t="n">
        <v>-0.17698</v>
      </c>
      <c r="AR28" s="15" t="n">
        <v>0.7543</v>
      </c>
      <c r="AS28" s="15" t="n">
        <v>-0.11405</v>
      </c>
      <c r="AT28" s="15" t="n">
        <v>-0.66215</v>
      </c>
      <c r="AU28" s="15" t="n">
        <v>0.19527</v>
      </c>
      <c r="AV28" s="15" t="n">
        <v>-0.17682</v>
      </c>
      <c r="AW28" s="15" t="n">
        <v>0.4709</v>
      </c>
      <c r="AX28" s="15" t="n">
        <v>-0.47154</v>
      </c>
      <c r="AY28" s="15" t="n">
        <v>0.29308</v>
      </c>
      <c r="AZ28" s="15" t="n">
        <v>-0.25043</v>
      </c>
      <c r="BA28" s="15" t="n">
        <v>0.75099</v>
      </c>
      <c r="BB28" s="15" t="n">
        <v>0.14037</v>
      </c>
      <c r="BC28" s="15" t="n">
        <v>0.18767</v>
      </c>
      <c r="BD28" s="15" t="n">
        <v>-0.30825</v>
      </c>
      <c r="BE28" s="15" t="n">
        <v>-0.60584</v>
      </c>
      <c r="BF28" s="15" t="n">
        <v>-0.24067</v>
      </c>
      <c r="BG28" s="15" t="n">
        <v>0.40491</v>
      </c>
      <c r="BH28" s="15" t="n">
        <v>0.21453</v>
      </c>
      <c r="BI28" s="15" t="n">
        <v>0.58955</v>
      </c>
      <c r="BJ28" s="15" t="n">
        <v>-0.59747</v>
      </c>
      <c r="BK28" s="15" t="n">
        <v>-0.17126</v>
      </c>
      <c r="BL28" s="15" t="n">
        <v>-0.19028</v>
      </c>
      <c r="BM28" s="15" t="n">
        <v>-0.72194</v>
      </c>
      <c r="BN28" s="15" t="n">
        <v>-0.29478</v>
      </c>
      <c r="BO28" s="15" t="n">
        <v>-0.017081</v>
      </c>
      <c r="BP28" s="15" t="n">
        <v>0.16611</v>
      </c>
      <c r="BQ28" s="15" t="n">
        <v>-0.87146</v>
      </c>
      <c r="BR28" s="15" t="n">
        <v>-0.0097194</v>
      </c>
      <c r="BS28" s="15" t="n">
        <v>0.033469</v>
      </c>
      <c r="BT28" s="15" t="n">
        <v>0.16047</v>
      </c>
      <c r="BU28" s="15" t="n">
        <v>-0.45508</v>
      </c>
      <c r="BV28" s="15" t="n">
        <v>-0.066251</v>
      </c>
      <c r="BW28" s="15" t="n">
        <v>-0.075218</v>
      </c>
      <c r="BX28" s="15" t="n">
        <v>0.048256</v>
      </c>
      <c r="BY28" s="15" t="n">
        <v>-0.22648</v>
      </c>
      <c r="BZ28" s="15" t="n">
        <v>-0.026213</v>
      </c>
      <c r="CA28" s="15" t="n">
        <v>-0.29181</v>
      </c>
      <c r="CB28" s="15" t="n">
        <v>0.3887</v>
      </c>
      <c r="CC28" s="15" t="n">
        <v>-0.55998</v>
      </c>
      <c r="CD28" s="15" t="n">
        <v>-0.18953</v>
      </c>
      <c r="CE28" s="15" t="n">
        <v>0.0088325</v>
      </c>
      <c r="CF28" s="15" t="n">
        <v>0.88891</v>
      </c>
      <c r="CG28" s="15" t="n">
        <v>0.34219</v>
      </c>
      <c r="CH28" s="15" t="n">
        <v>-0.52281</v>
      </c>
      <c r="CI28" s="15" t="n">
        <v>0.21811</v>
      </c>
      <c r="CJ28" s="15" t="n">
        <v>0.70012</v>
      </c>
      <c r="CK28" s="15" t="n">
        <v>-0.33499</v>
      </c>
      <c r="CL28" s="15" t="n">
        <v>0.32603</v>
      </c>
      <c r="CM28" s="15" t="n">
        <v>-0.10279</v>
      </c>
      <c r="CN28" s="15" t="n">
        <v>-0.30336</v>
      </c>
      <c r="CO28" s="15" t="n">
        <v>-0.074662</v>
      </c>
      <c r="CP28" s="15" t="n">
        <v>-0.30145</v>
      </c>
      <c r="CQ28" s="15" t="n">
        <v>0.7585</v>
      </c>
      <c r="CR28" s="15" t="n">
        <v>-0.015748</v>
      </c>
      <c r="CS28" s="15" t="n">
        <v>-0.16288</v>
      </c>
      <c r="CT28" s="15" t="n">
        <v>0.058942</v>
      </c>
      <c r="CU28" s="15" t="n">
        <v>0.65417</v>
      </c>
      <c r="CV28" s="15" t="n">
        <v>-0.039247</v>
      </c>
      <c r="CW28" s="15" t="n">
        <v>0.067525</v>
      </c>
      <c r="CX28" s="15" t="n">
        <v>-0.10208</v>
      </c>
      <c r="CY28" s="15" t="n">
        <v>0.87416</v>
      </c>
    </row>
    <row r="29" customFormat="false" ht="15" hidden="false" customHeight="false" outlineLevel="0" collapsed="false">
      <c r="A29" s="4" t="s">
        <v>165</v>
      </c>
      <c r="B29" s="2" t="n">
        <f aca="false">COUNTIF('1.3 TF-IDF coseno'!$M$10:$M$123,A29)</f>
        <v>1</v>
      </c>
      <c r="C29" s="2" t="n">
        <f aca="false">COUNTIF('1.3 TF-IDF coseno'!$N$10:$N$102,A29)</f>
        <v>0</v>
      </c>
      <c r="D29" s="15" t="n">
        <v>0.41352</v>
      </c>
      <c r="E29" s="15" t="n">
        <v>0.30693</v>
      </c>
      <c r="F29" s="15" t="n">
        <v>0.073122</v>
      </c>
      <c r="G29" s="15" t="n">
        <v>0.27227</v>
      </c>
      <c r="H29" s="15" t="n">
        <v>0.48271</v>
      </c>
      <c r="I29" s="15" t="n">
        <v>-0.68806</v>
      </c>
      <c r="J29" s="15" t="n">
        <v>0.12891</v>
      </c>
      <c r="K29" s="15" t="n">
        <v>0.92238</v>
      </c>
      <c r="L29" s="15" t="n">
        <v>-0.08899</v>
      </c>
      <c r="M29" s="15" t="n">
        <v>0.054542</v>
      </c>
      <c r="N29" s="15" t="n">
        <v>-0.31391</v>
      </c>
      <c r="O29" s="15" t="n">
        <v>-0.052669</v>
      </c>
      <c r="P29" s="15" t="n">
        <v>0.20612</v>
      </c>
      <c r="Q29" s="15" t="n">
        <v>-0.24681</v>
      </c>
      <c r="R29" s="15" t="n">
        <v>0.91175</v>
      </c>
      <c r="S29" s="15" t="n">
        <v>-0.18063</v>
      </c>
      <c r="T29" s="15" t="n">
        <v>0.16103</v>
      </c>
      <c r="U29" s="15" t="n">
        <v>0.13327</v>
      </c>
      <c r="V29" s="15" t="n">
        <v>-0.16278</v>
      </c>
      <c r="W29" s="15" t="n">
        <v>-0.30287</v>
      </c>
      <c r="X29" s="15" t="n">
        <v>-0.42366</v>
      </c>
      <c r="Y29" s="15" t="n">
        <v>0.32493</v>
      </c>
      <c r="Z29" s="15" t="n">
        <v>-0.72763</v>
      </c>
      <c r="AA29" s="15" t="n">
        <v>0.0012467</v>
      </c>
      <c r="AB29" s="15" t="n">
        <v>0.51412</v>
      </c>
      <c r="AC29" s="15" t="n">
        <v>-0.016112</v>
      </c>
      <c r="AD29" s="15" t="n">
        <v>0.01629</v>
      </c>
      <c r="AE29" s="15" t="n">
        <v>-0.82415</v>
      </c>
      <c r="AF29" s="15" t="n">
        <v>-0.33983</v>
      </c>
      <c r="AG29" s="15" t="n">
        <v>-0.19317</v>
      </c>
      <c r="AH29" s="15" t="n">
        <v>-0.47639</v>
      </c>
      <c r="AI29" s="15" t="n">
        <v>0.66044</v>
      </c>
      <c r="AJ29" s="15" t="n">
        <v>0.13869</v>
      </c>
      <c r="AK29" s="15" t="n">
        <v>-0.17944</v>
      </c>
      <c r="AL29" s="15" t="n">
        <v>-0.15326</v>
      </c>
      <c r="AM29" s="15" t="n">
        <v>0.47207</v>
      </c>
      <c r="AN29" s="15" t="n">
        <v>-0.044093</v>
      </c>
      <c r="AO29" s="15" t="n">
        <v>-0.70951</v>
      </c>
      <c r="AP29" s="15" t="n">
        <v>-0.052873</v>
      </c>
      <c r="AQ29" s="15" t="n">
        <v>0.042264</v>
      </c>
      <c r="AR29" s="15" t="n">
        <v>0.28152</v>
      </c>
      <c r="AS29" s="15" t="n">
        <v>-0.17923</v>
      </c>
      <c r="AT29" s="15" t="n">
        <v>0.63149</v>
      </c>
      <c r="AU29" s="15" t="n">
        <v>-0.15796</v>
      </c>
      <c r="AV29" s="15" t="n">
        <v>0.19862</v>
      </c>
      <c r="AW29" s="15" t="n">
        <v>-0.075638</v>
      </c>
      <c r="AX29" s="15" t="n">
        <v>0.40296</v>
      </c>
      <c r="AY29" s="15" t="n">
        <v>-0.27798</v>
      </c>
      <c r="AZ29" s="15" t="n">
        <v>0.31816</v>
      </c>
      <c r="BA29" s="15" t="n">
        <v>0.49438</v>
      </c>
      <c r="BB29" s="15" t="n">
        <v>0.30397</v>
      </c>
      <c r="BC29" s="15" t="n">
        <v>0.040323</v>
      </c>
      <c r="BD29" s="15" t="n">
        <v>0.15655</v>
      </c>
      <c r="BE29" s="15" t="n">
        <v>0.26312</v>
      </c>
      <c r="BF29" s="15" t="n">
        <v>-0.060116</v>
      </c>
      <c r="BG29" s="15" t="n">
        <v>-1.7033</v>
      </c>
      <c r="BH29" s="15" t="n">
        <v>0.30068</v>
      </c>
      <c r="BI29" s="15" t="n">
        <v>-1.1518</v>
      </c>
      <c r="BJ29" s="15" t="n">
        <v>1.9096</v>
      </c>
      <c r="BK29" s="15" t="n">
        <v>0.4602</v>
      </c>
      <c r="BL29" s="15" t="n">
        <v>0.095899</v>
      </c>
      <c r="BM29" s="15" t="n">
        <v>-0.58387</v>
      </c>
      <c r="BN29" s="15" t="n">
        <v>-0.20597</v>
      </c>
      <c r="BO29" s="15" t="n">
        <v>-0.11194</v>
      </c>
      <c r="BP29" s="15" t="n">
        <v>0.99307</v>
      </c>
      <c r="BQ29" s="15" t="n">
        <v>0.23711</v>
      </c>
      <c r="BR29" s="15" t="n">
        <v>-0.20902</v>
      </c>
      <c r="BS29" s="15" t="n">
        <v>0.16904</v>
      </c>
      <c r="BT29" s="15" t="n">
        <v>-0.28646</v>
      </c>
      <c r="BU29" s="15" t="n">
        <v>-0.22526</v>
      </c>
      <c r="BV29" s="15" t="n">
        <v>-0.050057</v>
      </c>
      <c r="BW29" s="15" t="n">
        <v>0.1636</v>
      </c>
      <c r="BX29" s="15" t="n">
        <v>-0.17308</v>
      </c>
      <c r="BY29" s="15" t="n">
        <v>-0.79376</v>
      </c>
      <c r="BZ29" s="15" t="n">
        <v>0.097377</v>
      </c>
      <c r="CA29" s="15" t="n">
        <v>-0.40768</v>
      </c>
      <c r="CB29" s="15" t="n">
        <v>0.28867</v>
      </c>
      <c r="CC29" s="15" t="n">
        <v>1.0088</v>
      </c>
      <c r="CD29" s="15" t="n">
        <v>-0.76896</v>
      </c>
      <c r="CE29" s="15" t="n">
        <v>-0.7064</v>
      </c>
      <c r="CF29" s="15" t="n">
        <v>-0.1527</v>
      </c>
      <c r="CG29" s="15" t="n">
        <v>-0.60478</v>
      </c>
      <c r="CH29" s="15" t="n">
        <v>-0.25103</v>
      </c>
      <c r="CI29" s="15" t="n">
        <v>-0.48866</v>
      </c>
      <c r="CJ29" s="15" t="n">
        <v>-0.9419</v>
      </c>
      <c r="CK29" s="15" t="n">
        <v>1.1198</v>
      </c>
      <c r="CL29" s="15" t="n">
        <v>0.58646</v>
      </c>
      <c r="CM29" s="15" t="n">
        <v>-0.16761</v>
      </c>
      <c r="CN29" s="15" t="n">
        <v>0.39277</v>
      </c>
      <c r="CO29" s="15" t="n">
        <v>0.082081</v>
      </c>
      <c r="CP29" s="15" t="n">
        <v>-0.48544</v>
      </c>
      <c r="CQ29" s="15" t="n">
        <v>-0.039204</v>
      </c>
      <c r="CR29" s="15" t="n">
        <v>-0.60766</v>
      </c>
      <c r="CS29" s="15" t="n">
        <v>0.10404</v>
      </c>
      <c r="CT29" s="15" t="n">
        <v>0.11218</v>
      </c>
      <c r="CU29" s="15" t="n">
        <v>-0.33407</v>
      </c>
      <c r="CV29" s="15" t="n">
        <v>0.35049</v>
      </c>
      <c r="CW29" s="15" t="n">
        <v>0.43922</v>
      </c>
      <c r="CX29" s="15" t="n">
        <v>0.60183</v>
      </c>
      <c r="CY29" s="15" t="n">
        <v>-0.07287</v>
      </c>
    </row>
    <row r="30" customFormat="false" ht="15" hidden="false" customHeight="false" outlineLevel="0" collapsed="false">
      <c r="A30" s="4" t="s">
        <v>166</v>
      </c>
      <c r="B30" s="2" t="n">
        <f aca="false">COUNTIF('1.3 TF-IDF coseno'!$M$10:$M$123,A30)</f>
        <v>1</v>
      </c>
      <c r="C30" s="2" t="n">
        <f aca="false">COUNTIF('1.3 TF-IDF coseno'!$N$10:$N$102,A30)</f>
        <v>0</v>
      </c>
      <c r="D30" s="15" t="n">
        <v>-0.8798</v>
      </c>
      <c r="E30" s="15" t="n">
        <v>0.13604</v>
      </c>
      <c r="F30" s="15" t="n">
        <v>0.43975</v>
      </c>
      <c r="G30" s="15" t="n">
        <v>-0.30877</v>
      </c>
      <c r="H30" s="15" t="n">
        <v>0.50379</v>
      </c>
      <c r="I30" s="15" t="n">
        <v>0.31618</v>
      </c>
      <c r="J30" s="15" t="n">
        <v>-0.30931</v>
      </c>
      <c r="K30" s="15" t="n">
        <v>-0.17681</v>
      </c>
      <c r="L30" s="15" t="n">
        <v>-0.57</v>
      </c>
      <c r="M30" s="15" t="n">
        <v>-0.3325</v>
      </c>
      <c r="N30" s="15" t="n">
        <v>0.44207</v>
      </c>
      <c r="O30" s="15" t="n">
        <v>-0.92437</v>
      </c>
      <c r="P30" s="15" t="n">
        <v>0.16939</v>
      </c>
      <c r="Q30" s="15" t="n">
        <v>-0.37041</v>
      </c>
      <c r="R30" s="15" t="n">
        <v>-0.044593</v>
      </c>
      <c r="S30" s="15" t="n">
        <v>1.1807</v>
      </c>
      <c r="T30" s="15" t="n">
        <v>0.27204</v>
      </c>
      <c r="U30" s="15" t="n">
        <v>-0.47683</v>
      </c>
      <c r="V30" s="15" t="n">
        <v>0.18278</v>
      </c>
      <c r="W30" s="15" t="n">
        <v>1.6831</v>
      </c>
      <c r="X30" s="15" t="n">
        <v>0.076914</v>
      </c>
      <c r="Y30" s="15" t="n">
        <v>0.0082387</v>
      </c>
      <c r="Z30" s="15" t="n">
        <v>-0.59083</v>
      </c>
      <c r="AA30" s="15" t="n">
        <v>0.063692</v>
      </c>
      <c r="AB30" s="15" t="n">
        <v>0.15458</v>
      </c>
      <c r="AC30" s="15" t="n">
        <v>-0.20553</v>
      </c>
      <c r="AD30" s="15" t="n">
        <v>0.66316</v>
      </c>
      <c r="AE30" s="15" t="n">
        <v>0.33212</v>
      </c>
      <c r="AF30" s="15" t="n">
        <v>-0.11893</v>
      </c>
      <c r="AG30" s="15" t="n">
        <v>0.17655</v>
      </c>
      <c r="AH30" s="15" t="n">
        <v>0.4479</v>
      </c>
      <c r="AI30" s="15" t="n">
        <v>0.45647</v>
      </c>
      <c r="AJ30" s="15" t="n">
        <v>-0.52997</v>
      </c>
      <c r="AK30" s="15" t="n">
        <v>0.68398</v>
      </c>
      <c r="AL30" s="15" t="n">
        <v>-0.10609</v>
      </c>
      <c r="AM30" s="15" t="n">
        <v>0.81389</v>
      </c>
      <c r="AN30" s="15" t="n">
        <v>0.35122</v>
      </c>
      <c r="AO30" s="15" t="n">
        <v>-0.041644</v>
      </c>
      <c r="AP30" s="15" t="n">
        <v>-1.1729</v>
      </c>
      <c r="AQ30" s="15" t="n">
        <v>0.19163</v>
      </c>
      <c r="AR30" s="15" t="n">
        <v>-0.35036</v>
      </c>
      <c r="AS30" s="15" t="n">
        <v>-0.31198</v>
      </c>
      <c r="AT30" s="15" t="n">
        <v>-0.81616</v>
      </c>
      <c r="AU30" s="15" t="n">
        <v>0.20641</v>
      </c>
      <c r="AV30" s="15" t="n">
        <v>0.27194</v>
      </c>
      <c r="AW30" s="15" t="n">
        <v>-1.1931</v>
      </c>
      <c r="AX30" s="15" t="n">
        <v>-1.0376</v>
      </c>
      <c r="AY30" s="15" t="n">
        <v>-0.92664</v>
      </c>
      <c r="AZ30" s="15" t="n">
        <v>0.63978</v>
      </c>
      <c r="BA30" s="15" t="n">
        <v>-0.29502</v>
      </c>
      <c r="BB30" s="15" t="n">
        <v>1.4287</v>
      </c>
      <c r="BC30" s="15" t="n">
        <v>-0.23199</v>
      </c>
      <c r="BD30" s="15" t="n">
        <v>-0.22052</v>
      </c>
      <c r="BE30" s="15" t="n">
        <v>0.23608</v>
      </c>
      <c r="BF30" s="15" t="n">
        <v>0.022214</v>
      </c>
      <c r="BG30" s="15" t="n">
        <v>-1.4138</v>
      </c>
      <c r="BH30" s="15" t="n">
        <v>0.51438</v>
      </c>
      <c r="BI30" s="15" t="n">
        <v>-0.13706</v>
      </c>
      <c r="BJ30" s="15" t="n">
        <v>1.0612</v>
      </c>
      <c r="BK30" s="15" t="n">
        <v>-0.34526</v>
      </c>
      <c r="BL30" s="15" t="n">
        <v>-0.49454</v>
      </c>
      <c r="BM30" s="15" t="n">
        <v>0.59211</v>
      </c>
      <c r="BN30" s="15" t="n">
        <v>-0.54152</v>
      </c>
      <c r="BO30" s="15" t="n">
        <v>0.32493</v>
      </c>
      <c r="BP30" s="15" t="n">
        <v>0.20189</v>
      </c>
      <c r="BQ30" s="15" t="n">
        <v>-0.41938</v>
      </c>
      <c r="BR30" s="15" t="n">
        <v>0.20215</v>
      </c>
      <c r="BS30" s="15" t="n">
        <v>0.024253</v>
      </c>
      <c r="BT30" s="15" t="n">
        <v>0.0058627</v>
      </c>
      <c r="BU30" s="15" t="n">
        <v>0.26593</v>
      </c>
      <c r="BV30" s="15" t="n">
        <v>-0.068871</v>
      </c>
      <c r="BW30" s="15" t="n">
        <v>0.98137</v>
      </c>
      <c r="BX30" s="15" t="n">
        <v>0.35584</v>
      </c>
      <c r="BY30" s="15" t="n">
        <v>0.42487</v>
      </c>
      <c r="BZ30" s="15" t="n">
        <v>-0.89525</v>
      </c>
      <c r="CA30" s="15" t="n">
        <v>0.26803</v>
      </c>
      <c r="CB30" s="15" t="n">
        <v>-0.56779</v>
      </c>
      <c r="CC30" s="15" t="n">
        <v>-0.1288</v>
      </c>
      <c r="CD30" s="15" t="n">
        <v>-0.55929</v>
      </c>
      <c r="CE30" s="15" t="n">
        <v>-1.1144</v>
      </c>
      <c r="CF30" s="15" t="n">
        <v>0.35901</v>
      </c>
      <c r="CG30" s="15" t="n">
        <v>0.16355</v>
      </c>
      <c r="CH30" s="15" t="n">
        <v>-0.34166</v>
      </c>
      <c r="CI30" s="15" t="n">
        <v>0.33862</v>
      </c>
      <c r="CJ30" s="15" t="n">
        <v>-1.3866</v>
      </c>
      <c r="CK30" s="15" t="n">
        <v>-0.50465</v>
      </c>
      <c r="CL30" s="15" t="n">
        <v>0.22877</v>
      </c>
      <c r="CM30" s="15" t="n">
        <v>-1.5602</v>
      </c>
      <c r="CN30" s="15" t="n">
        <v>-1.0086</v>
      </c>
      <c r="CO30" s="15" t="n">
        <v>-0.064617</v>
      </c>
      <c r="CP30" s="15" t="n">
        <v>-0.00059047</v>
      </c>
      <c r="CQ30" s="15" t="n">
        <v>-0.12294</v>
      </c>
      <c r="CR30" s="15" t="n">
        <v>-0.4314</v>
      </c>
      <c r="CS30" s="15" t="n">
        <v>-0.017092</v>
      </c>
      <c r="CT30" s="15" t="n">
        <v>0.22759</v>
      </c>
      <c r="CU30" s="15" t="n">
        <v>1.4162</v>
      </c>
      <c r="CV30" s="15" t="n">
        <v>-0.28717</v>
      </c>
      <c r="CW30" s="15" t="n">
        <v>0.22445</v>
      </c>
      <c r="CX30" s="15" t="n">
        <v>0.41789</v>
      </c>
      <c r="CY30" s="15" t="n">
        <v>0.93756</v>
      </c>
    </row>
    <row r="31" customFormat="false" ht="15" hidden="false" customHeight="false" outlineLevel="0" collapsed="false">
      <c r="A31" s="4" t="s">
        <v>167</v>
      </c>
      <c r="B31" s="2" t="n">
        <f aca="false">COUNTIF('1.3 TF-IDF coseno'!$M$10:$M$123,A31)</f>
        <v>1</v>
      </c>
      <c r="C31" s="2" t="n">
        <f aca="false">COUNTIF('1.3 TF-IDF coseno'!$N$10:$N$102,A31)</f>
        <v>0</v>
      </c>
      <c r="D31" s="15" t="n">
        <v>-0.42039</v>
      </c>
      <c r="E31" s="15" t="n">
        <v>0.20988</v>
      </c>
      <c r="F31" s="15" t="n">
        <v>0.13554</v>
      </c>
      <c r="G31" s="15" t="n">
        <v>-0.21468</v>
      </c>
      <c r="H31" s="15" t="n">
        <v>0.55444</v>
      </c>
      <c r="I31" s="15" t="n">
        <v>0.12194</v>
      </c>
      <c r="J31" s="15" t="n">
        <v>-0.074416</v>
      </c>
      <c r="K31" s="15" t="n">
        <v>0.31568</v>
      </c>
      <c r="L31" s="15" t="n">
        <v>-0.48298</v>
      </c>
      <c r="M31" s="15" t="n">
        <v>-0.55031</v>
      </c>
      <c r="N31" s="15" t="n">
        <v>-0.0059394</v>
      </c>
      <c r="O31" s="15" t="n">
        <v>-0.56243</v>
      </c>
      <c r="P31" s="15" t="n">
        <v>0.11166</v>
      </c>
      <c r="Q31" s="15" t="n">
        <v>-0.81882</v>
      </c>
      <c r="R31" s="15" t="n">
        <v>-0.13762</v>
      </c>
      <c r="S31" s="15" t="n">
        <v>0.12552</v>
      </c>
      <c r="T31" s="15" t="n">
        <v>0.37191</v>
      </c>
      <c r="U31" s="15" t="n">
        <v>0.22702</v>
      </c>
      <c r="V31" s="15" t="n">
        <v>-0.087428</v>
      </c>
      <c r="W31" s="15" t="n">
        <v>0.097343</v>
      </c>
      <c r="X31" s="15" t="n">
        <v>-0.51746</v>
      </c>
      <c r="Y31" s="15" t="n">
        <v>-1.1255</v>
      </c>
      <c r="Z31" s="15" t="n">
        <v>0.074819</v>
      </c>
      <c r="AA31" s="15" t="n">
        <v>-0.8948</v>
      </c>
      <c r="AB31" s="15" t="n">
        <v>-0.83138</v>
      </c>
      <c r="AC31" s="15" t="n">
        <v>-1.0482</v>
      </c>
      <c r="AD31" s="15" t="n">
        <v>0.3544</v>
      </c>
      <c r="AE31" s="15" t="n">
        <v>-0.21252</v>
      </c>
      <c r="AF31" s="15" t="n">
        <v>-0.012755</v>
      </c>
      <c r="AG31" s="15" t="n">
        <v>0.21609</v>
      </c>
      <c r="AH31" s="15" t="n">
        <v>0.16736</v>
      </c>
      <c r="AI31" s="15" t="n">
        <v>0.53055</v>
      </c>
      <c r="AJ31" s="15" t="n">
        <v>-0.48007</v>
      </c>
      <c r="AK31" s="15" t="n">
        <v>-0.20704</v>
      </c>
      <c r="AL31" s="15" t="n">
        <v>0.57797</v>
      </c>
      <c r="AM31" s="15" t="n">
        <v>0.55594</v>
      </c>
      <c r="AN31" s="15" t="n">
        <v>-0.488</v>
      </c>
      <c r="AO31" s="15" t="n">
        <v>-0.064987</v>
      </c>
      <c r="AP31" s="15" t="n">
        <v>-0.26183</v>
      </c>
      <c r="AQ31" s="15" t="n">
        <v>-0.59804</v>
      </c>
      <c r="AR31" s="15" t="n">
        <v>0.078515</v>
      </c>
      <c r="AS31" s="15" t="n">
        <v>-0.61847</v>
      </c>
      <c r="AT31" s="15" t="n">
        <v>0.27716</v>
      </c>
      <c r="AU31" s="15" t="n">
        <v>-0.59378</v>
      </c>
      <c r="AV31" s="15" t="n">
        <v>-0.34207</v>
      </c>
      <c r="AW31" s="15" t="n">
        <v>0.19802</v>
      </c>
      <c r="AX31" s="15" t="n">
        <v>-0.62943</v>
      </c>
      <c r="AY31" s="15" t="n">
        <v>-0.17125</v>
      </c>
      <c r="AZ31" s="15" t="n">
        <v>-0.24739</v>
      </c>
      <c r="BA31" s="15" t="n">
        <v>-0.88966</v>
      </c>
      <c r="BB31" s="15" t="n">
        <v>-0.55224</v>
      </c>
      <c r="BC31" s="15" t="n">
        <v>0.16389</v>
      </c>
      <c r="BD31" s="15" t="n">
        <v>-0.37103</v>
      </c>
      <c r="BE31" s="15" t="n">
        <v>-0.16631</v>
      </c>
      <c r="BF31" s="15" t="n">
        <v>-0.15289</v>
      </c>
      <c r="BG31" s="15" t="n">
        <v>-1.0422</v>
      </c>
      <c r="BH31" s="15" t="n">
        <v>0.026474</v>
      </c>
      <c r="BI31" s="15" t="n">
        <v>0.036831</v>
      </c>
      <c r="BJ31" s="15" t="n">
        <v>1.5609</v>
      </c>
      <c r="BK31" s="15" t="n">
        <v>-0.11436</v>
      </c>
      <c r="BL31" s="15" t="n">
        <v>-0.52623</v>
      </c>
      <c r="BM31" s="15" t="n">
        <v>0.79693</v>
      </c>
      <c r="BN31" s="15" t="n">
        <v>0.54726</v>
      </c>
      <c r="BO31" s="15" t="n">
        <v>0.30315</v>
      </c>
      <c r="BP31" s="15" t="n">
        <v>0.76214</v>
      </c>
      <c r="BQ31" s="15" t="n">
        <v>0.097749</v>
      </c>
      <c r="BR31" s="15" t="n">
        <v>0.18286</v>
      </c>
      <c r="BS31" s="15" t="n">
        <v>0.81565</v>
      </c>
      <c r="BT31" s="15" t="n">
        <v>0.65187</v>
      </c>
      <c r="BU31" s="15" t="n">
        <v>0.068928</v>
      </c>
      <c r="BV31" s="15" t="n">
        <v>-0.0087827</v>
      </c>
      <c r="BW31" s="15" t="n">
        <v>-0.26965</v>
      </c>
      <c r="BX31" s="15" t="n">
        <v>-0.096102</v>
      </c>
      <c r="BY31" s="15" t="n">
        <v>-0.40018</v>
      </c>
      <c r="BZ31" s="15" t="n">
        <v>-0.44847</v>
      </c>
      <c r="CA31" s="15" t="n">
        <v>0.045974</v>
      </c>
      <c r="CB31" s="15" t="n">
        <v>-0.87847</v>
      </c>
      <c r="CC31" s="15" t="n">
        <v>0.020021</v>
      </c>
      <c r="CD31" s="15" t="n">
        <v>0.18186</v>
      </c>
      <c r="CE31" s="15" t="n">
        <v>-0.89197</v>
      </c>
      <c r="CF31" s="15" t="n">
        <v>0.22769</v>
      </c>
      <c r="CG31" s="15" t="n">
        <v>-0.23902</v>
      </c>
      <c r="CH31" s="15" t="n">
        <v>-0.19305</v>
      </c>
      <c r="CI31" s="15" t="n">
        <v>-0.18494</v>
      </c>
      <c r="CJ31" s="15" t="n">
        <v>-0.49356</v>
      </c>
      <c r="CK31" s="15" t="n">
        <v>-0.51179</v>
      </c>
      <c r="CL31" s="15" t="n">
        <v>0.58253</v>
      </c>
      <c r="CM31" s="15" t="n">
        <v>0.11517</v>
      </c>
      <c r="CN31" s="15" t="n">
        <v>0.50474</v>
      </c>
      <c r="CO31" s="15" t="n">
        <v>0.18888</v>
      </c>
      <c r="CP31" s="15" t="n">
        <v>-0.47747</v>
      </c>
      <c r="CQ31" s="15" t="n">
        <v>0.61658</v>
      </c>
      <c r="CR31" s="15" t="n">
        <v>0.475</v>
      </c>
      <c r="CS31" s="15" t="n">
        <v>-0.14577</v>
      </c>
      <c r="CT31" s="15" t="n">
        <v>-0.62423</v>
      </c>
      <c r="CU31" s="15" t="n">
        <v>0.059246</v>
      </c>
      <c r="CV31" s="15" t="n">
        <v>0.12798</v>
      </c>
      <c r="CW31" s="15" t="n">
        <v>0.10097</v>
      </c>
      <c r="CX31" s="15" t="n">
        <v>0.67523</v>
      </c>
      <c r="CY31" s="15" t="n">
        <v>0.050562</v>
      </c>
    </row>
    <row r="32" customFormat="false" ht="15" hidden="false" customHeight="false" outlineLevel="0" collapsed="false">
      <c r="A32" s="4" t="s">
        <v>168</v>
      </c>
      <c r="B32" s="2" t="n">
        <f aca="false">COUNTIF('1.3 TF-IDF coseno'!$M$10:$M$123,A32)</f>
        <v>4</v>
      </c>
      <c r="C32" s="2" t="n">
        <f aca="false">COUNTIF('1.3 TF-IDF coseno'!$N$10:$N$102,A32)</f>
        <v>0</v>
      </c>
      <c r="D32" s="15" t="n">
        <v>-0.66074</v>
      </c>
      <c r="E32" s="15" t="n">
        <v>0.32355</v>
      </c>
      <c r="F32" s="15" t="n">
        <v>-0.54117</v>
      </c>
      <c r="G32" s="15" t="n">
        <v>0.042983</v>
      </c>
      <c r="H32" s="15" t="n">
        <v>1.0022</v>
      </c>
      <c r="I32" s="15" t="n">
        <v>1.0041</v>
      </c>
      <c r="J32" s="15" t="n">
        <v>0.045386</v>
      </c>
      <c r="K32" s="15" t="n">
        <v>-0.28695</v>
      </c>
      <c r="L32" s="15" t="n">
        <v>-0.49603</v>
      </c>
      <c r="M32" s="15" t="n">
        <v>-0.29901</v>
      </c>
      <c r="N32" s="15" t="n">
        <v>0.77347</v>
      </c>
      <c r="O32" s="15" t="n">
        <v>-0.4267</v>
      </c>
      <c r="P32" s="15" t="n">
        <v>0.0086343</v>
      </c>
      <c r="Q32" s="15" t="n">
        <v>0.013954</v>
      </c>
      <c r="R32" s="15" t="n">
        <v>0.0084802</v>
      </c>
      <c r="S32" s="15" t="n">
        <v>0.56935</v>
      </c>
      <c r="T32" s="15" t="n">
        <v>0.30206</v>
      </c>
      <c r="U32" s="15" t="n">
        <v>-0.39345</v>
      </c>
      <c r="V32" s="15" t="n">
        <v>-0.54132</v>
      </c>
      <c r="W32" s="15" t="n">
        <v>-0.10706</v>
      </c>
      <c r="X32" s="15" t="n">
        <v>0.13826</v>
      </c>
      <c r="Y32" s="15" t="n">
        <v>0.33494</v>
      </c>
      <c r="Z32" s="15" t="n">
        <v>-0.13324</v>
      </c>
      <c r="AA32" s="15" t="n">
        <v>0.35559</v>
      </c>
      <c r="AB32" s="15" t="n">
        <v>0.34052</v>
      </c>
      <c r="AC32" s="15" t="n">
        <v>-0.94668</v>
      </c>
      <c r="AD32" s="15" t="n">
        <v>0.48285</v>
      </c>
      <c r="AE32" s="15" t="n">
        <v>-0.24119</v>
      </c>
      <c r="AF32" s="15" t="n">
        <v>-0.24014</v>
      </c>
      <c r="AG32" s="15" t="n">
        <v>0.76083</v>
      </c>
      <c r="AH32" s="15" t="n">
        <v>0.22163</v>
      </c>
      <c r="AI32" s="15" t="n">
        <v>0.47081</v>
      </c>
      <c r="AJ32" s="15" t="n">
        <v>-0.48205</v>
      </c>
      <c r="AK32" s="15" t="n">
        <v>-0.4504</v>
      </c>
      <c r="AL32" s="15" t="n">
        <v>-0.84458</v>
      </c>
      <c r="AM32" s="15" t="n">
        <v>0.32145</v>
      </c>
      <c r="AN32" s="15" t="n">
        <v>0.050725</v>
      </c>
      <c r="AO32" s="15" t="n">
        <v>-0.6494</v>
      </c>
      <c r="AP32" s="15" t="n">
        <v>-1.226</v>
      </c>
      <c r="AQ32" s="15" t="n">
        <v>0.3568</v>
      </c>
      <c r="AR32" s="15" t="n">
        <v>-0.77255</v>
      </c>
      <c r="AS32" s="15" t="n">
        <v>0.068943</v>
      </c>
      <c r="AT32" s="15" t="n">
        <v>-0.25973</v>
      </c>
      <c r="AU32" s="15" t="n">
        <v>-0.41654</v>
      </c>
      <c r="AV32" s="15" t="n">
        <v>-0.64292</v>
      </c>
      <c r="AW32" s="15" t="n">
        <v>-0.42101</v>
      </c>
      <c r="AX32" s="15" t="n">
        <v>-0.26054</v>
      </c>
      <c r="AY32" s="15" t="n">
        <v>-0.92469</v>
      </c>
      <c r="AZ32" s="15" t="n">
        <v>-0.19444</v>
      </c>
      <c r="BA32" s="15" t="n">
        <v>-0.15059</v>
      </c>
      <c r="BB32" s="15" t="n">
        <v>1.2831</v>
      </c>
      <c r="BC32" s="15" t="n">
        <v>0.82007</v>
      </c>
      <c r="BD32" s="15" t="n">
        <v>-0.046444</v>
      </c>
      <c r="BE32" s="15" t="n">
        <v>0.44957</v>
      </c>
      <c r="BF32" s="15" t="n">
        <v>-0.18668</v>
      </c>
      <c r="BG32" s="15" t="n">
        <v>-0.41576</v>
      </c>
      <c r="BH32" s="15" t="n">
        <v>0.41016</v>
      </c>
      <c r="BI32" s="15" t="n">
        <v>-0.25754</v>
      </c>
      <c r="BJ32" s="15" t="n">
        <v>1.4938</v>
      </c>
      <c r="BK32" s="15" t="n">
        <v>0.10653</v>
      </c>
      <c r="BL32" s="15" t="n">
        <v>-0.57391</v>
      </c>
      <c r="BM32" s="15" t="n">
        <v>1.0539</v>
      </c>
      <c r="BN32" s="15" t="n">
        <v>-0.41899</v>
      </c>
      <c r="BO32" s="15" t="n">
        <v>-0.35062</v>
      </c>
      <c r="BP32" s="15" t="n">
        <v>1.0759</v>
      </c>
      <c r="BQ32" s="15" t="n">
        <v>-0.090695</v>
      </c>
      <c r="BR32" s="15" t="n">
        <v>0.85167</v>
      </c>
      <c r="BS32" s="15" t="n">
        <v>0.20088</v>
      </c>
      <c r="BT32" s="15" t="n">
        <v>0.44257</v>
      </c>
      <c r="BU32" s="15" t="n">
        <v>-0.14017</v>
      </c>
      <c r="BV32" s="15" t="n">
        <v>-0.024732</v>
      </c>
      <c r="BW32" s="15" t="n">
        <v>0.86697</v>
      </c>
      <c r="BX32" s="15" t="n">
        <v>0.68677</v>
      </c>
      <c r="BY32" s="15" t="n">
        <v>0.22444</v>
      </c>
      <c r="BZ32" s="15" t="n">
        <v>-0.72617</v>
      </c>
      <c r="CA32" s="15" t="n">
        <v>0.33829</v>
      </c>
      <c r="CB32" s="15" t="n">
        <v>0.10838</v>
      </c>
      <c r="CC32" s="15" t="n">
        <v>0.65788</v>
      </c>
      <c r="CD32" s="15" t="n">
        <v>-1.3019</v>
      </c>
      <c r="CE32" s="15" t="n">
        <v>-0.49596</v>
      </c>
      <c r="CF32" s="15" t="n">
        <v>0.072233</v>
      </c>
      <c r="CG32" s="15" t="n">
        <v>-0.032264</v>
      </c>
      <c r="CH32" s="15" t="n">
        <v>0.57877</v>
      </c>
      <c r="CI32" s="15" t="n">
        <v>-0.57617</v>
      </c>
      <c r="CJ32" s="15" t="n">
        <v>-1.2396</v>
      </c>
      <c r="CK32" s="15" t="n">
        <v>-0.36388</v>
      </c>
      <c r="CL32" s="15" t="n">
        <v>0.14647</v>
      </c>
      <c r="CM32" s="15" t="n">
        <v>-0.83775</v>
      </c>
      <c r="CN32" s="15" t="n">
        <v>0.00096605</v>
      </c>
      <c r="CO32" s="15" t="n">
        <v>0.047607</v>
      </c>
      <c r="CP32" s="15" t="n">
        <v>-0.11533</v>
      </c>
      <c r="CQ32" s="15" t="n">
        <v>0.024348</v>
      </c>
      <c r="CR32" s="15" t="n">
        <v>0.3123</v>
      </c>
      <c r="CS32" s="15" t="n">
        <v>-0.3582</v>
      </c>
      <c r="CT32" s="15" t="n">
        <v>-0.14387</v>
      </c>
      <c r="CU32" s="15" t="n">
        <v>0.30548</v>
      </c>
      <c r="CV32" s="15" t="n">
        <v>-0.72285</v>
      </c>
      <c r="CW32" s="15" t="n">
        <v>-0.81869</v>
      </c>
      <c r="CX32" s="15" t="n">
        <v>0.89608</v>
      </c>
      <c r="CY32" s="15" t="n">
        <v>0.67432</v>
      </c>
    </row>
    <row r="33" customFormat="false" ht="15" hidden="false" customHeight="false" outlineLevel="0" collapsed="false">
      <c r="A33" s="4" t="s">
        <v>169</v>
      </c>
      <c r="B33" s="2" t="n">
        <f aca="false">COUNTIF('1.3 TF-IDF coseno'!$M$10:$M$123,A33)</f>
        <v>1</v>
      </c>
      <c r="C33" s="2" t="n">
        <f aca="false">COUNTIF('1.3 TF-IDF coseno'!$N$10:$N$102,A33)</f>
        <v>0</v>
      </c>
      <c r="D33" s="15" t="n">
        <v>-0.59537</v>
      </c>
      <c r="E33" s="15" t="n">
        <v>-0.32836</v>
      </c>
      <c r="F33" s="15" t="n">
        <v>0.58577</v>
      </c>
      <c r="G33" s="15" t="n">
        <v>-0.74072</v>
      </c>
      <c r="H33" s="15" t="n">
        <v>-0.09532</v>
      </c>
      <c r="I33" s="15" t="n">
        <v>-0.74893</v>
      </c>
      <c r="J33" s="15" t="n">
        <v>-0.28177</v>
      </c>
      <c r="K33" s="15" t="n">
        <v>0.52217</v>
      </c>
      <c r="L33" s="15" t="n">
        <v>0.31904</v>
      </c>
      <c r="M33" s="15" t="n">
        <v>0.083793</v>
      </c>
      <c r="N33" s="15" t="n">
        <v>0.50095</v>
      </c>
      <c r="O33" s="15" t="n">
        <v>0.10168</v>
      </c>
      <c r="P33" s="15" t="n">
        <v>0.31447</v>
      </c>
      <c r="Q33" s="15" t="n">
        <v>0.26187</v>
      </c>
      <c r="R33" s="15" t="n">
        <v>-0.11273</v>
      </c>
      <c r="S33" s="15" t="n">
        <v>0.76669</v>
      </c>
      <c r="T33" s="15" t="n">
        <v>0.044041</v>
      </c>
      <c r="U33" s="15" t="n">
        <v>-0.58808</v>
      </c>
      <c r="V33" s="15" t="n">
        <v>-0.51672</v>
      </c>
      <c r="W33" s="15" t="n">
        <v>-0.14013</v>
      </c>
      <c r="X33" s="15" t="n">
        <v>0.24544</v>
      </c>
      <c r="Y33" s="15" t="n">
        <v>-0.678</v>
      </c>
      <c r="Z33" s="15" t="n">
        <v>-0.24864</v>
      </c>
      <c r="AA33" s="15" t="n">
        <v>0.87743</v>
      </c>
      <c r="AB33" s="15" t="n">
        <v>-0.64057</v>
      </c>
      <c r="AC33" s="15" t="n">
        <v>-0.62382</v>
      </c>
      <c r="AD33" s="15" t="n">
        <v>0.36739</v>
      </c>
      <c r="AE33" s="15" t="n">
        <v>-0.20345</v>
      </c>
      <c r="AF33" s="15" t="n">
        <v>-0.50641</v>
      </c>
      <c r="AG33" s="15" t="n">
        <v>0.52411</v>
      </c>
      <c r="AH33" s="15" t="n">
        <v>0.28528</v>
      </c>
      <c r="AI33" s="15" t="n">
        <v>-0.11386</v>
      </c>
      <c r="AJ33" s="15" t="n">
        <v>-0.47109</v>
      </c>
      <c r="AK33" s="15" t="n">
        <v>0.26002</v>
      </c>
      <c r="AL33" s="15" t="n">
        <v>-0.46366</v>
      </c>
      <c r="AM33" s="15" t="n">
        <v>0.27499</v>
      </c>
      <c r="AN33" s="15" t="n">
        <v>0.06741</v>
      </c>
      <c r="AO33" s="15" t="n">
        <v>0.31625</v>
      </c>
      <c r="AP33" s="15" t="n">
        <v>-0.22564</v>
      </c>
      <c r="AQ33" s="15" t="n">
        <v>0.029032</v>
      </c>
      <c r="AR33" s="15" t="n">
        <v>-1.3492</v>
      </c>
      <c r="AS33" s="15" t="n">
        <v>0.19262</v>
      </c>
      <c r="AT33" s="15" t="n">
        <v>-0.66144</v>
      </c>
      <c r="AU33" s="15" t="n">
        <v>0.20876</v>
      </c>
      <c r="AV33" s="15" t="n">
        <v>0.24751</v>
      </c>
      <c r="AW33" s="15" t="n">
        <v>-0.33938</v>
      </c>
      <c r="AX33" s="15" t="n">
        <v>-0.18857</v>
      </c>
      <c r="AY33" s="15" t="n">
        <v>-0.88209</v>
      </c>
      <c r="AZ33" s="15" t="n">
        <v>-0.46367</v>
      </c>
      <c r="BA33" s="15" t="n">
        <v>-1.3514</v>
      </c>
      <c r="BB33" s="15" t="n">
        <v>1.2399</v>
      </c>
      <c r="BC33" s="15" t="n">
        <v>-0.080302</v>
      </c>
      <c r="BD33" s="15" t="n">
        <v>0.14926</v>
      </c>
      <c r="BE33" s="15" t="n">
        <v>0.70604</v>
      </c>
      <c r="BF33" s="15" t="n">
        <v>-0.50818</v>
      </c>
      <c r="BG33" s="15" t="n">
        <v>-2.225</v>
      </c>
      <c r="BH33" s="15" t="n">
        <v>-0.20132</v>
      </c>
      <c r="BI33" s="15" t="n">
        <v>-0.33361</v>
      </c>
      <c r="BJ33" s="15" t="n">
        <v>1.8033</v>
      </c>
      <c r="BK33" s="15" t="n">
        <v>0.066711</v>
      </c>
      <c r="BL33" s="15" t="n">
        <v>-0.49835</v>
      </c>
      <c r="BM33" s="15" t="n">
        <v>0.027327</v>
      </c>
      <c r="BN33" s="15" t="n">
        <v>-0.30273</v>
      </c>
      <c r="BO33" s="15" t="n">
        <v>-0.60213</v>
      </c>
      <c r="BP33" s="15" t="n">
        <v>0.4461</v>
      </c>
      <c r="BQ33" s="15" t="n">
        <v>-0.4295</v>
      </c>
      <c r="BR33" s="15" t="n">
        <v>-0.091883</v>
      </c>
      <c r="BS33" s="15" t="n">
        <v>0.57811</v>
      </c>
      <c r="BT33" s="15" t="n">
        <v>0.58537</v>
      </c>
      <c r="BU33" s="15" t="n">
        <v>0.4652</v>
      </c>
      <c r="BV33" s="15" t="n">
        <v>0.11657</v>
      </c>
      <c r="BW33" s="15" t="n">
        <v>0.36907</v>
      </c>
      <c r="BX33" s="15" t="n">
        <v>-0.3127</v>
      </c>
      <c r="BY33" s="15" t="n">
        <v>-0.35623</v>
      </c>
      <c r="BZ33" s="15" t="n">
        <v>0.30122</v>
      </c>
      <c r="CA33" s="15" t="n">
        <v>0.35685</v>
      </c>
      <c r="CB33" s="15" t="n">
        <v>0.043412</v>
      </c>
      <c r="CC33" s="15" t="n">
        <v>0.054971</v>
      </c>
      <c r="CD33" s="15" t="n">
        <v>-1.9139</v>
      </c>
      <c r="CE33" s="15" t="n">
        <v>-0.094874</v>
      </c>
      <c r="CF33" s="15" t="n">
        <v>0.59941</v>
      </c>
      <c r="CG33" s="15" t="n">
        <v>0.60765</v>
      </c>
      <c r="CH33" s="15" t="n">
        <v>-0.64818</v>
      </c>
      <c r="CI33" s="15" t="n">
        <v>-0.39301</v>
      </c>
      <c r="CJ33" s="15" t="n">
        <v>-1.1928</v>
      </c>
      <c r="CK33" s="15" t="n">
        <v>-1.3394</v>
      </c>
      <c r="CL33" s="15" t="n">
        <v>0.54517</v>
      </c>
      <c r="CM33" s="15" t="n">
        <v>-0.33547</v>
      </c>
      <c r="CN33" s="15" t="n">
        <v>-0.20778</v>
      </c>
      <c r="CO33" s="15" t="n">
        <v>-0.020578</v>
      </c>
      <c r="CP33" s="15" t="n">
        <v>0.63703</v>
      </c>
      <c r="CQ33" s="15" t="n">
        <v>-0.41109</v>
      </c>
      <c r="CR33" s="15" t="n">
        <v>-0.12349</v>
      </c>
      <c r="CS33" s="15" t="n">
        <v>-0.29479</v>
      </c>
      <c r="CT33" s="15" t="n">
        <v>-0.032713</v>
      </c>
      <c r="CU33" s="15" t="n">
        <v>0.83004</v>
      </c>
      <c r="CV33" s="15" t="n">
        <v>-0.0063338</v>
      </c>
      <c r="CW33" s="15" t="n">
        <v>-0.46121</v>
      </c>
      <c r="CX33" s="15" t="n">
        <v>0.52141</v>
      </c>
      <c r="CY33" s="15" t="n">
        <v>0.16243</v>
      </c>
    </row>
    <row r="34" customFormat="false" ht="15" hidden="false" customHeight="false" outlineLevel="0" collapsed="false">
      <c r="A34" s="4" t="s">
        <v>170</v>
      </c>
      <c r="B34" s="2" t="n">
        <f aca="false">COUNTIF('1.3 TF-IDF coseno'!$M$10:$M$123,A34)</f>
        <v>2</v>
      </c>
      <c r="C34" s="2" t="n">
        <f aca="false">COUNTIF('1.3 TF-IDF coseno'!$N$10:$N$102,A34)</f>
        <v>0</v>
      </c>
      <c r="D34" s="15" t="n">
        <v>-0.27922</v>
      </c>
      <c r="E34" s="15" t="n">
        <v>0.23033</v>
      </c>
      <c r="F34" s="15" t="n">
        <v>0.52268</v>
      </c>
      <c r="G34" s="15" t="n">
        <v>0.31544</v>
      </c>
      <c r="H34" s="15" t="n">
        <v>-0.49802</v>
      </c>
      <c r="I34" s="15" t="n">
        <v>-0.38541</v>
      </c>
      <c r="J34" s="15" t="n">
        <v>0.48823</v>
      </c>
      <c r="K34" s="15" t="n">
        <v>0.63683</v>
      </c>
      <c r="L34" s="15" t="n">
        <v>-0.775</v>
      </c>
      <c r="M34" s="15" t="n">
        <v>-0.11766</v>
      </c>
      <c r="N34" s="15" t="n">
        <v>0.10613</v>
      </c>
      <c r="O34" s="15" t="n">
        <v>0.34803</v>
      </c>
      <c r="P34" s="15" t="n">
        <v>0.56921</v>
      </c>
      <c r="Q34" s="15" t="n">
        <v>-0.62021</v>
      </c>
      <c r="R34" s="15" t="n">
        <v>-0.25125</v>
      </c>
      <c r="S34" s="15" t="n">
        <v>0.7756</v>
      </c>
      <c r="T34" s="15" t="n">
        <v>-0.5372</v>
      </c>
      <c r="U34" s="15" t="n">
        <v>-0.1751</v>
      </c>
      <c r="V34" s="15" t="n">
        <v>0.43961</v>
      </c>
      <c r="W34" s="15" t="n">
        <v>0.42906</v>
      </c>
      <c r="X34" s="15" t="n">
        <v>-0.063372</v>
      </c>
      <c r="Y34" s="15" t="n">
        <v>-0.5846</v>
      </c>
      <c r="Z34" s="15" t="n">
        <v>0.47802</v>
      </c>
      <c r="AA34" s="15" t="n">
        <v>1.1242</v>
      </c>
      <c r="AB34" s="15" t="n">
        <v>-1.1683</v>
      </c>
      <c r="AC34" s="15" t="n">
        <v>-0.57217</v>
      </c>
      <c r="AD34" s="15" t="n">
        <v>0.64966</v>
      </c>
      <c r="AE34" s="15" t="n">
        <v>-0.48356</v>
      </c>
      <c r="AF34" s="15" t="n">
        <v>0.1834</v>
      </c>
      <c r="AG34" s="15" t="n">
        <v>-0.40196</v>
      </c>
      <c r="AH34" s="15" t="n">
        <v>0.19979</v>
      </c>
      <c r="AI34" s="15" t="n">
        <v>-0.19982</v>
      </c>
      <c r="AJ34" s="15" t="n">
        <v>-0.62371</v>
      </c>
      <c r="AK34" s="15" t="n">
        <v>-0.35516</v>
      </c>
      <c r="AL34" s="15" t="n">
        <v>0.48908</v>
      </c>
      <c r="AM34" s="15" t="n">
        <v>-0.24786</v>
      </c>
      <c r="AN34" s="15" t="n">
        <v>-0.22636</v>
      </c>
      <c r="AO34" s="15" t="n">
        <v>0.63231</v>
      </c>
      <c r="AP34" s="15" t="n">
        <v>-1.5939</v>
      </c>
      <c r="AQ34" s="15" t="n">
        <v>-0.086392</v>
      </c>
      <c r="AR34" s="15" t="n">
        <v>-0.17998</v>
      </c>
      <c r="AS34" s="15" t="n">
        <v>-0.584</v>
      </c>
      <c r="AT34" s="15" t="n">
        <v>-0.63221</v>
      </c>
      <c r="AU34" s="15" t="n">
        <v>-0.74319</v>
      </c>
      <c r="AV34" s="15" t="n">
        <v>-0.62085</v>
      </c>
      <c r="AW34" s="15" t="n">
        <v>-0.096295</v>
      </c>
      <c r="AX34" s="15" t="n">
        <v>0.3691</v>
      </c>
      <c r="AY34" s="15" t="n">
        <v>-0.55707</v>
      </c>
      <c r="AZ34" s="15" t="n">
        <v>-0.27247</v>
      </c>
      <c r="BA34" s="15" t="n">
        <v>-1.381</v>
      </c>
      <c r="BB34" s="15" t="n">
        <v>0.48133</v>
      </c>
      <c r="BC34" s="15" t="n">
        <v>-0.40921</v>
      </c>
      <c r="BD34" s="15" t="n">
        <v>0.49104</v>
      </c>
      <c r="BE34" s="15" t="n">
        <v>0.74908</v>
      </c>
      <c r="BF34" s="15" t="n">
        <v>-0.086932</v>
      </c>
      <c r="BG34" s="15" t="n">
        <v>-2.2655</v>
      </c>
      <c r="BH34" s="15" t="n">
        <v>-0.20451</v>
      </c>
      <c r="BI34" s="15" t="n">
        <v>0.64666</v>
      </c>
      <c r="BJ34" s="15" t="n">
        <v>1.2982</v>
      </c>
      <c r="BK34" s="15" t="n">
        <v>0.23787</v>
      </c>
      <c r="BL34" s="15" t="n">
        <v>-1.0934</v>
      </c>
      <c r="BM34" s="15" t="n">
        <v>0.3146</v>
      </c>
      <c r="BN34" s="15" t="n">
        <v>-0.32969</v>
      </c>
      <c r="BO34" s="15" t="n">
        <v>0.14493</v>
      </c>
      <c r="BP34" s="15" t="n">
        <v>0.38759</v>
      </c>
      <c r="BQ34" s="15" t="n">
        <v>0.14551</v>
      </c>
      <c r="BR34" s="15" t="n">
        <v>-0.91629</v>
      </c>
      <c r="BS34" s="15" t="n">
        <v>0.23531</v>
      </c>
      <c r="BT34" s="15" t="n">
        <v>0.15174</v>
      </c>
      <c r="BU34" s="15" t="n">
        <v>-0.44333</v>
      </c>
      <c r="BV34" s="15" t="n">
        <v>-0.26978</v>
      </c>
      <c r="BW34" s="15" t="n">
        <v>0.59391</v>
      </c>
      <c r="BX34" s="15" t="n">
        <v>0.060646</v>
      </c>
      <c r="BY34" s="15" t="n">
        <v>-0.41891</v>
      </c>
      <c r="BZ34" s="15" t="n">
        <v>0.24668</v>
      </c>
      <c r="CA34" s="15" t="n">
        <v>0.28751</v>
      </c>
      <c r="CB34" s="15" t="n">
        <v>0.40126</v>
      </c>
      <c r="CC34" s="15" t="n">
        <v>-0.45053</v>
      </c>
      <c r="CD34" s="15" t="n">
        <v>-1.2536</v>
      </c>
      <c r="CE34" s="15" t="n">
        <v>-0.51704</v>
      </c>
      <c r="CF34" s="15" t="n">
        <v>0.74098</v>
      </c>
      <c r="CG34" s="15" t="n">
        <v>0.027998</v>
      </c>
      <c r="CH34" s="15" t="n">
        <v>-0.67635</v>
      </c>
      <c r="CI34" s="15" t="n">
        <v>0.00030457</v>
      </c>
      <c r="CJ34" s="15" t="n">
        <v>-1.5187</v>
      </c>
      <c r="CK34" s="15" t="n">
        <v>-0.98426</v>
      </c>
      <c r="CL34" s="15" t="n">
        <v>0.35958</v>
      </c>
      <c r="CM34" s="15" t="n">
        <v>-0.10336</v>
      </c>
      <c r="CN34" s="15" t="n">
        <v>0.047092</v>
      </c>
      <c r="CO34" s="15" t="n">
        <v>-0.057071</v>
      </c>
      <c r="CP34" s="15" t="n">
        <v>-0.051086</v>
      </c>
      <c r="CQ34" s="15" t="n">
        <v>-0.071589</v>
      </c>
      <c r="CR34" s="15" t="n">
        <v>-0.28641</v>
      </c>
      <c r="CS34" s="15" t="n">
        <v>1.0682</v>
      </c>
      <c r="CT34" s="15" t="n">
        <v>0.11374</v>
      </c>
      <c r="CU34" s="15" t="n">
        <v>0.4159</v>
      </c>
      <c r="CV34" s="15" t="n">
        <v>0.066147</v>
      </c>
      <c r="CW34" s="15" t="n">
        <v>-0.25873</v>
      </c>
      <c r="CX34" s="15" t="n">
        <v>0.78359</v>
      </c>
      <c r="CY34" s="15" t="n">
        <v>0.60114</v>
      </c>
    </row>
    <row r="35" customFormat="false" ht="15" hidden="false" customHeight="false" outlineLevel="0" collapsed="false">
      <c r="A35" s="4" t="s">
        <v>171</v>
      </c>
      <c r="B35" s="2" t="n">
        <f aca="false">COUNTIF('1.3 TF-IDF coseno'!$M$10:$M$123,A35)</f>
        <v>1</v>
      </c>
      <c r="C35" s="2" t="n">
        <f aca="false">COUNTIF('1.3 TF-IDF coseno'!$N$10:$N$102,A35)</f>
        <v>0</v>
      </c>
      <c r="D35" s="15" t="n">
        <v>-0.19728</v>
      </c>
      <c r="E35" s="15" t="n">
        <v>-0.055357</v>
      </c>
      <c r="F35" s="15" t="n">
        <v>-0.31295</v>
      </c>
      <c r="G35" s="15" t="n">
        <v>-0.43624</v>
      </c>
      <c r="H35" s="15" t="n">
        <v>-0.46813</v>
      </c>
      <c r="I35" s="15" t="n">
        <v>0.041022</v>
      </c>
      <c r="J35" s="15" t="n">
        <v>-0.40255</v>
      </c>
      <c r="K35" s="15" t="n">
        <v>1.1712</v>
      </c>
      <c r="L35" s="15" t="n">
        <v>-0.055848</v>
      </c>
      <c r="M35" s="15" t="n">
        <v>0.36282</v>
      </c>
      <c r="N35" s="15" t="n">
        <v>-0.34294</v>
      </c>
      <c r="O35" s="15" t="n">
        <v>-0.43725</v>
      </c>
      <c r="P35" s="15" t="n">
        <v>-0.26295</v>
      </c>
      <c r="Q35" s="15" t="n">
        <v>-0.35425</v>
      </c>
      <c r="R35" s="15" t="n">
        <v>1.0004</v>
      </c>
      <c r="S35" s="15" t="n">
        <v>0.0092373</v>
      </c>
      <c r="T35" s="15" t="n">
        <v>0.54982</v>
      </c>
      <c r="U35" s="15" t="n">
        <v>0.2254</v>
      </c>
      <c r="V35" s="15" t="n">
        <v>0.67187</v>
      </c>
      <c r="W35" s="15" t="n">
        <v>-0.27622</v>
      </c>
      <c r="X35" s="15" t="n">
        <v>-0.57527</v>
      </c>
      <c r="Y35" s="15" t="n">
        <v>-0.68828</v>
      </c>
      <c r="Z35" s="15" t="n">
        <v>-0.44503</v>
      </c>
      <c r="AA35" s="15" t="n">
        <v>-0.51464</v>
      </c>
      <c r="AB35" s="15" t="n">
        <v>0.064512</v>
      </c>
      <c r="AC35" s="15" t="n">
        <v>0.039255</v>
      </c>
      <c r="AD35" s="15" t="n">
        <v>0.74082</v>
      </c>
      <c r="AE35" s="15" t="n">
        <v>-0.34708</v>
      </c>
      <c r="AF35" s="15" t="n">
        <v>-0.42968</v>
      </c>
      <c r="AG35" s="15" t="n">
        <v>-0.3394</v>
      </c>
      <c r="AH35" s="15" t="n">
        <v>-0.15044</v>
      </c>
      <c r="AI35" s="15" t="n">
        <v>-0.068182</v>
      </c>
      <c r="AJ35" s="15" t="n">
        <v>0.36125</v>
      </c>
      <c r="AK35" s="15" t="n">
        <v>0.60549</v>
      </c>
      <c r="AL35" s="15" t="n">
        <v>0.80503</v>
      </c>
      <c r="AM35" s="15" t="n">
        <v>0.23738</v>
      </c>
      <c r="AN35" s="15" t="n">
        <v>0.1241</v>
      </c>
      <c r="AO35" s="15" t="n">
        <v>-0.1713</v>
      </c>
      <c r="AP35" s="15" t="n">
        <v>-0.37058</v>
      </c>
      <c r="AQ35" s="15" t="n">
        <v>0.05008</v>
      </c>
      <c r="AR35" s="15" t="n">
        <v>-0.53331</v>
      </c>
      <c r="AS35" s="15" t="n">
        <v>-0.35632</v>
      </c>
      <c r="AT35" s="15" t="n">
        <v>-0.33764</v>
      </c>
      <c r="AU35" s="15" t="n">
        <v>0.3744</v>
      </c>
      <c r="AV35" s="15" t="n">
        <v>0.12391</v>
      </c>
      <c r="AW35" s="15" t="n">
        <v>-0.28612</v>
      </c>
      <c r="AX35" s="15" t="n">
        <v>-0.4974</v>
      </c>
      <c r="AY35" s="15" t="n">
        <v>-0.70384</v>
      </c>
      <c r="AZ35" s="15" t="n">
        <v>-0.06288</v>
      </c>
      <c r="BA35" s="15" t="n">
        <v>-0.24393</v>
      </c>
      <c r="BB35" s="15" t="n">
        <v>0.61706</v>
      </c>
      <c r="BC35" s="15" t="n">
        <v>-0.17766</v>
      </c>
      <c r="BD35" s="15" t="n">
        <v>-0.98419</v>
      </c>
      <c r="BE35" s="15" t="n">
        <v>0.73616</v>
      </c>
      <c r="BF35" s="15" t="n">
        <v>-0.58203</v>
      </c>
      <c r="BG35" s="15" t="n">
        <v>-1.0525</v>
      </c>
      <c r="BH35" s="15" t="n">
        <v>0.014939</v>
      </c>
      <c r="BI35" s="15" t="n">
        <v>0.18254</v>
      </c>
      <c r="BJ35" s="15" t="n">
        <v>1.5637</v>
      </c>
      <c r="BK35" s="15" t="n">
        <v>-0.29759</v>
      </c>
      <c r="BL35" s="15" t="n">
        <v>-0.43901</v>
      </c>
      <c r="BM35" s="15" t="n">
        <v>1.1206</v>
      </c>
      <c r="BN35" s="15" t="n">
        <v>1.0403</v>
      </c>
      <c r="BO35" s="15" t="n">
        <v>0.47174</v>
      </c>
      <c r="BP35" s="15" t="n">
        <v>-0.084709</v>
      </c>
      <c r="BQ35" s="15" t="n">
        <v>0.53789</v>
      </c>
      <c r="BR35" s="15" t="n">
        <v>-0.9801</v>
      </c>
      <c r="BS35" s="15" t="n">
        <v>-0.0056867</v>
      </c>
      <c r="BT35" s="15" t="n">
        <v>0.3992</v>
      </c>
      <c r="BU35" s="15" t="n">
        <v>0.35424</v>
      </c>
      <c r="BV35" s="15" t="n">
        <v>-0.36826</v>
      </c>
      <c r="BW35" s="15" t="n">
        <v>-0.67416</v>
      </c>
      <c r="BX35" s="15" t="n">
        <v>0.30599</v>
      </c>
      <c r="BY35" s="15" t="n">
        <v>0.43644</v>
      </c>
      <c r="BZ35" s="15" t="n">
        <v>-0.51046</v>
      </c>
      <c r="CA35" s="15" t="n">
        <v>0.37912</v>
      </c>
      <c r="CB35" s="15" t="n">
        <v>-0.2795</v>
      </c>
      <c r="CC35" s="15" t="n">
        <v>-0.37239</v>
      </c>
      <c r="CD35" s="15" t="n">
        <v>-0.33497</v>
      </c>
      <c r="CE35" s="15" t="n">
        <v>-0.59927</v>
      </c>
      <c r="CF35" s="15" t="n">
        <v>0.34932</v>
      </c>
      <c r="CG35" s="15" t="n">
        <v>-0.21407</v>
      </c>
      <c r="CH35" s="15" t="n">
        <v>0.50917</v>
      </c>
      <c r="CI35" s="15" t="n">
        <v>0.38005</v>
      </c>
      <c r="CJ35" s="15" t="n">
        <v>-2.423</v>
      </c>
      <c r="CK35" s="15" t="n">
        <v>0.38134</v>
      </c>
      <c r="CL35" s="15" t="n">
        <v>0.725</v>
      </c>
      <c r="CM35" s="15" t="n">
        <v>0.28263</v>
      </c>
      <c r="CN35" s="15" t="n">
        <v>-1.1309</v>
      </c>
      <c r="CO35" s="15" t="n">
        <v>0.38903</v>
      </c>
      <c r="CP35" s="15" t="n">
        <v>-0.083252</v>
      </c>
      <c r="CQ35" s="15" t="n">
        <v>-0.02668</v>
      </c>
      <c r="CR35" s="15" t="n">
        <v>0.71745</v>
      </c>
      <c r="CS35" s="15" t="n">
        <v>0.19272</v>
      </c>
      <c r="CT35" s="15" t="n">
        <v>0.46962</v>
      </c>
      <c r="CU35" s="15" t="n">
        <v>0.6942</v>
      </c>
      <c r="CV35" s="15" t="n">
        <v>0.89794</v>
      </c>
      <c r="CW35" s="15" t="n">
        <v>0.12806</v>
      </c>
      <c r="CX35" s="15" t="n">
        <v>0.18589</v>
      </c>
      <c r="CY35" s="15" t="n">
        <v>0.12723</v>
      </c>
    </row>
    <row r="36" customFormat="false" ht="15" hidden="false" customHeight="false" outlineLevel="0" collapsed="false">
      <c r="A36" s="4" t="s">
        <v>108</v>
      </c>
      <c r="B36" s="2" t="n">
        <f aca="false">COUNTIF('1.3 TF-IDF coseno'!$M$10:$M$123,A36)</f>
        <v>1</v>
      </c>
      <c r="C36" s="2" t="n">
        <f aca="false">COUNTIF('1.3 TF-IDF coseno'!$N$10:$N$102,A36)</f>
        <v>1</v>
      </c>
      <c r="D36" s="15" t="n">
        <v>-0.3219</v>
      </c>
      <c r="E36" s="15" t="n">
        <v>0.23272</v>
      </c>
      <c r="F36" s="15" t="n">
        <v>-0.025422</v>
      </c>
      <c r="G36" s="15" t="n">
        <v>-0.42423</v>
      </c>
      <c r="H36" s="15" t="n">
        <v>0.26447</v>
      </c>
      <c r="I36" s="15" t="n">
        <v>0.25685</v>
      </c>
      <c r="J36" s="15" t="n">
        <v>0.8317</v>
      </c>
      <c r="K36" s="15" t="n">
        <v>0.38499</v>
      </c>
      <c r="L36" s="15" t="n">
        <v>0.65927</v>
      </c>
      <c r="M36" s="15" t="n">
        <v>-0.10083</v>
      </c>
      <c r="N36" s="15" t="n">
        <v>1.1503</v>
      </c>
      <c r="O36" s="15" t="n">
        <v>0.86676</v>
      </c>
      <c r="P36" s="15" t="n">
        <v>0.75025</v>
      </c>
      <c r="Q36" s="15" t="n">
        <v>-0.31957</v>
      </c>
      <c r="R36" s="15" t="n">
        <v>0.2582</v>
      </c>
      <c r="S36" s="15" t="n">
        <v>-0.034699</v>
      </c>
      <c r="T36" s="15" t="n">
        <v>0.74964</v>
      </c>
      <c r="U36" s="15" t="n">
        <v>0.49604</v>
      </c>
      <c r="V36" s="15" t="n">
        <v>-0.52275</v>
      </c>
      <c r="W36" s="15" t="n">
        <v>0.10414</v>
      </c>
      <c r="X36" s="15" t="n">
        <v>-0.32393</v>
      </c>
      <c r="Y36" s="15" t="n">
        <v>-0.081541</v>
      </c>
      <c r="Z36" s="15" t="n">
        <v>0.43941</v>
      </c>
      <c r="AA36" s="15" t="n">
        <v>0.35118</v>
      </c>
      <c r="AB36" s="15" t="n">
        <v>-0.1966</v>
      </c>
      <c r="AC36" s="15" t="n">
        <v>-0.16759</v>
      </c>
      <c r="AD36" s="15" t="n">
        <v>-0.33454</v>
      </c>
      <c r="AE36" s="15" t="n">
        <v>0.39075</v>
      </c>
      <c r="AF36" s="15" t="n">
        <v>0.41022</v>
      </c>
      <c r="AG36" s="15" t="n">
        <v>0.41415</v>
      </c>
      <c r="AH36" s="15" t="n">
        <v>0.55029</v>
      </c>
      <c r="AI36" s="15" t="n">
        <v>-0.40679</v>
      </c>
      <c r="AJ36" s="15" t="n">
        <v>-0.66038</v>
      </c>
      <c r="AK36" s="15" t="n">
        <v>0.46999</v>
      </c>
      <c r="AL36" s="15" t="n">
        <v>0.1025</v>
      </c>
      <c r="AM36" s="15" t="n">
        <v>-0.62665</v>
      </c>
      <c r="AN36" s="15" t="n">
        <v>-0.55831</v>
      </c>
      <c r="AO36" s="15" t="n">
        <v>0.29683</v>
      </c>
      <c r="AP36" s="15" t="n">
        <v>0.081688</v>
      </c>
      <c r="AQ36" s="15" t="n">
        <v>-0.026837</v>
      </c>
      <c r="AR36" s="15" t="n">
        <v>-0.3985</v>
      </c>
      <c r="AS36" s="15" t="n">
        <v>-0.67503</v>
      </c>
      <c r="AT36" s="15" t="n">
        <v>0.026974</v>
      </c>
      <c r="AU36" s="15" t="n">
        <v>0.28173</v>
      </c>
      <c r="AV36" s="15" t="n">
        <v>-0.30273</v>
      </c>
      <c r="AW36" s="15" t="n">
        <v>0.29893</v>
      </c>
      <c r="AX36" s="15" t="n">
        <v>-0.5289</v>
      </c>
      <c r="AY36" s="15" t="n">
        <v>0.27926</v>
      </c>
      <c r="AZ36" s="15" t="n">
        <v>0.3997</v>
      </c>
      <c r="BA36" s="15" t="n">
        <v>-0.089726</v>
      </c>
      <c r="BB36" s="15" t="n">
        <v>0.3171</v>
      </c>
      <c r="BC36" s="15" t="n">
        <v>0.32175</v>
      </c>
      <c r="BD36" s="15" t="n">
        <v>0.045847</v>
      </c>
      <c r="BE36" s="15" t="n">
        <v>0.48052</v>
      </c>
      <c r="BF36" s="15" t="n">
        <v>-0.62179</v>
      </c>
      <c r="BG36" s="15" t="n">
        <v>-0.069477</v>
      </c>
      <c r="BH36" s="15" t="n">
        <v>-0.8913</v>
      </c>
      <c r="BI36" s="15" t="n">
        <v>-0.48518</v>
      </c>
      <c r="BJ36" s="15" t="n">
        <v>0.78671</v>
      </c>
      <c r="BK36" s="15" t="n">
        <v>0.61864</v>
      </c>
      <c r="BL36" s="15" t="n">
        <v>-0.33409</v>
      </c>
      <c r="BM36" s="15" t="n">
        <v>1.3998</v>
      </c>
      <c r="BN36" s="15" t="n">
        <v>-0.62164</v>
      </c>
      <c r="BO36" s="15" t="n">
        <v>0.89145</v>
      </c>
      <c r="BP36" s="15" t="n">
        <v>-0.18511</v>
      </c>
      <c r="BQ36" s="15" t="n">
        <v>-0.048631</v>
      </c>
      <c r="BR36" s="15" t="n">
        <v>-0.28933</v>
      </c>
      <c r="BS36" s="15" t="n">
        <v>0.076326</v>
      </c>
      <c r="BT36" s="15" t="n">
        <v>0.19769</v>
      </c>
      <c r="BU36" s="15" t="n">
        <v>-0.13673</v>
      </c>
      <c r="BV36" s="15" t="n">
        <v>0.21707</v>
      </c>
      <c r="BW36" s="15" t="n">
        <v>0.33901</v>
      </c>
      <c r="BX36" s="15" t="n">
        <v>1.0154</v>
      </c>
      <c r="BY36" s="15" t="n">
        <v>0.36443</v>
      </c>
      <c r="BZ36" s="15" t="n">
        <v>0.40017</v>
      </c>
      <c r="CA36" s="15" t="n">
        <v>0.39052</v>
      </c>
      <c r="CB36" s="15" t="n">
        <v>-0.01924</v>
      </c>
      <c r="CC36" s="15" t="n">
        <v>0.1274</v>
      </c>
      <c r="CD36" s="15" t="n">
        <v>-0.83945</v>
      </c>
      <c r="CE36" s="15" t="n">
        <v>-0.21563</v>
      </c>
      <c r="CF36" s="15" t="n">
        <v>-0.013157</v>
      </c>
      <c r="CG36" s="15" t="n">
        <v>0.55375</v>
      </c>
      <c r="CH36" s="15" t="n">
        <v>-0.060139</v>
      </c>
      <c r="CI36" s="15" t="n">
        <v>-0.33861</v>
      </c>
      <c r="CJ36" s="15" t="n">
        <v>-0.13937</v>
      </c>
      <c r="CK36" s="15" t="n">
        <v>-0.5841</v>
      </c>
      <c r="CL36" s="15" t="n">
        <v>1.1711</v>
      </c>
      <c r="CM36" s="15" t="n">
        <v>0.086768</v>
      </c>
      <c r="CN36" s="15" t="n">
        <v>-0.69899</v>
      </c>
      <c r="CO36" s="15" t="n">
        <v>0.59471</v>
      </c>
      <c r="CP36" s="15" t="n">
        <v>0.21004</v>
      </c>
      <c r="CQ36" s="15" t="n">
        <v>0.74251</v>
      </c>
      <c r="CR36" s="15" t="n">
        <v>0.30193</v>
      </c>
      <c r="CS36" s="15" t="n">
        <v>0.25029</v>
      </c>
      <c r="CT36" s="15" t="n">
        <v>0.095908</v>
      </c>
      <c r="CU36" s="15" t="n">
        <v>-0.12844</v>
      </c>
      <c r="CV36" s="15" t="n">
        <v>-0.1798</v>
      </c>
      <c r="CW36" s="15" t="n">
        <v>-0.069394</v>
      </c>
      <c r="CX36" s="15" t="n">
        <v>-0.22632</v>
      </c>
      <c r="CY36" s="15" t="n">
        <v>-0.57629</v>
      </c>
    </row>
    <row r="37" customFormat="false" ht="15" hidden="false" customHeight="false" outlineLevel="0" collapsed="false">
      <c r="A37" s="4" t="s">
        <v>172</v>
      </c>
      <c r="B37" s="2" t="n">
        <f aca="false">COUNTIF('1.3 TF-IDF coseno'!$M$10:$M$123,A37)</f>
        <v>1</v>
      </c>
      <c r="C37" s="2" t="n">
        <f aca="false">COUNTIF('1.3 TF-IDF coseno'!$N$10:$N$102,A37)</f>
        <v>0</v>
      </c>
      <c r="D37" s="15" t="n">
        <v>-0.31584</v>
      </c>
      <c r="E37" s="15" t="n">
        <v>0.28329</v>
      </c>
      <c r="F37" s="15" t="n">
        <v>-0.10227</v>
      </c>
      <c r="G37" s="15" t="n">
        <v>-0.51679</v>
      </c>
      <c r="H37" s="15" t="n">
        <v>0.68385</v>
      </c>
      <c r="I37" s="15" t="n">
        <v>-0.11618</v>
      </c>
      <c r="J37" s="15" t="n">
        <v>0.30791</v>
      </c>
      <c r="K37" s="15" t="n">
        <v>0.30375</v>
      </c>
      <c r="L37" s="15" t="n">
        <v>-1.1031</v>
      </c>
      <c r="M37" s="15" t="n">
        <v>-0.29721</v>
      </c>
      <c r="N37" s="15" t="n">
        <v>0.025656</v>
      </c>
      <c r="O37" s="15" t="n">
        <v>-0.60212</v>
      </c>
      <c r="P37" s="15" t="n">
        <v>0.49399</v>
      </c>
      <c r="Q37" s="15" t="n">
        <v>-0.68796</v>
      </c>
      <c r="R37" s="15" t="n">
        <v>-0.10343</v>
      </c>
      <c r="S37" s="15" t="n">
        <v>-0.11523</v>
      </c>
      <c r="T37" s="15" t="n">
        <v>0.72581</v>
      </c>
      <c r="U37" s="15" t="n">
        <v>0.56954</v>
      </c>
      <c r="V37" s="15" t="n">
        <v>-0.43214</v>
      </c>
      <c r="W37" s="15" t="n">
        <v>0.088761</v>
      </c>
      <c r="X37" s="15" t="n">
        <v>-0.5611</v>
      </c>
      <c r="Y37" s="15" t="n">
        <v>-0.59425</v>
      </c>
      <c r="Z37" s="15" t="n">
        <v>0.12226</v>
      </c>
      <c r="AA37" s="15" t="n">
        <v>-0.020937</v>
      </c>
      <c r="AB37" s="15" t="n">
        <v>-0.23919</v>
      </c>
      <c r="AC37" s="15" t="n">
        <v>-1.1715</v>
      </c>
      <c r="AD37" s="15" t="n">
        <v>0.48089</v>
      </c>
      <c r="AE37" s="15" t="n">
        <v>-0.045939</v>
      </c>
      <c r="AF37" s="15" t="n">
        <v>0.49163</v>
      </c>
      <c r="AG37" s="15" t="n">
        <v>0.33419</v>
      </c>
      <c r="AH37" s="15" t="n">
        <v>-0.24677</v>
      </c>
      <c r="AI37" s="15" t="n">
        <v>0.63184</v>
      </c>
      <c r="AJ37" s="15" t="n">
        <v>-0.26295</v>
      </c>
      <c r="AK37" s="15" t="n">
        <v>0.34867</v>
      </c>
      <c r="AL37" s="15" t="n">
        <v>0.5488</v>
      </c>
      <c r="AM37" s="15" t="n">
        <v>0.31276</v>
      </c>
      <c r="AN37" s="15" t="n">
        <v>-0.47561</v>
      </c>
      <c r="AO37" s="15" t="n">
        <v>0.047099</v>
      </c>
      <c r="AP37" s="15" t="n">
        <v>-1.2339</v>
      </c>
      <c r="AQ37" s="15" t="n">
        <v>-0.14275</v>
      </c>
      <c r="AR37" s="15" t="n">
        <v>-0.28271</v>
      </c>
      <c r="AS37" s="15" t="n">
        <v>-0.54585</v>
      </c>
      <c r="AT37" s="15" t="n">
        <v>0.31989</v>
      </c>
      <c r="AU37" s="15" t="n">
        <v>-0.012131</v>
      </c>
      <c r="AV37" s="15" t="n">
        <v>0.27739</v>
      </c>
      <c r="AW37" s="15" t="n">
        <v>0.35121</v>
      </c>
      <c r="AX37" s="15" t="n">
        <v>-0.37217</v>
      </c>
      <c r="AY37" s="15" t="n">
        <v>-0.52352</v>
      </c>
      <c r="AZ37" s="15" t="n">
        <v>-0.15415</v>
      </c>
      <c r="BA37" s="15" t="n">
        <v>-0.51968</v>
      </c>
      <c r="BB37" s="15" t="n">
        <v>-0.19258</v>
      </c>
      <c r="BC37" s="15" t="n">
        <v>0.07995</v>
      </c>
      <c r="BD37" s="15" t="n">
        <v>0.042395</v>
      </c>
      <c r="BE37" s="15" t="n">
        <v>0.068302</v>
      </c>
      <c r="BF37" s="15" t="n">
        <v>-0.18018</v>
      </c>
      <c r="BG37" s="15" t="n">
        <v>-1.065</v>
      </c>
      <c r="BH37" s="15" t="n">
        <v>-0.12983</v>
      </c>
      <c r="BI37" s="15" t="n">
        <v>-0.16079</v>
      </c>
      <c r="BJ37" s="15" t="n">
        <v>1.2611</v>
      </c>
      <c r="BK37" s="15" t="n">
        <v>0.22717</v>
      </c>
      <c r="BL37" s="15" t="n">
        <v>-0.66877</v>
      </c>
      <c r="BM37" s="15" t="n">
        <v>0.92939</v>
      </c>
      <c r="BN37" s="15" t="n">
        <v>0.19756</v>
      </c>
      <c r="BO37" s="15" t="n">
        <v>0.33069</v>
      </c>
      <c r="BP37" s="15" t="n">
        <v>0.89982</v>
      </c>
      <c r="BQ37" s="15" t="n">
        <v>-0.36801</v>
      </c>
      <c r="BR37" s="15" t="n">
        <v>0.060939</v>
      </c>
      <c r="BS37" s="15" t="n">
        <v>1.0181</v>
      </c>
      <c r="BT37" s="15" t="n">
        <v>0.12129</v>
      </c>
      <c r="BU37" s="15" t="n">
        <v>0.50225</v>
      </c>
      <c r="BV37" s="15" t="n">
        <v>0.0072348</v>
      </c>
      <c r="BW37" s="15" t="n">
        <v>0.28151</v>
      </c>
      <c r="BX37" s="15" t="n">
        <v>-0.22296</v>
      </c>
      <c r="BY37" s="15" t="n">
        <v>0.20356</v>
      </c>
      <c r="BZ37" s="15" t="n">
        <v>-0.24356</v>
      </c>
      <c r="CA37" s="15" t="n">
        <v>0.22743</v>
      </c>
      <c r="CB37" s="15" t="n">
        <v>-0.43269</v>
      </c>
      <c r="CC37" s="15" t="n">
        <v>0.2368</v>
      </c>
      <c r="CD37" s="15" t="n">
        <v>-0.08193</v>
      </c>
      <c r="CE37" s="15" t="n">
        <v>-0.72016</v>
      </c>
      <c r="CF37" s="15" t="n">
        <v>0.096729</v>
      </c>
      <c r="CG37" s="15" t="n">
        <v>0.050282</v>
      </c>
      <c r="CH37" s="15" t="n">
        <v>-0.40086</v>
      </c>
      <c r="CI37" s="15" t="n">
        <v>-0.3851</v>
      </c>
      <c r="CJ37" s="15" t="n">
        <v>-1.0797</v>
      </c>
      <c r="CK37" s="15" t="n">
        <v>-0.65858</v>
      </c>
      <c r="CL37" s="15" t="n">
        <v>0.23734</v>
      </c>
      <c r="CM37" s="15" t="n">
        <v>-0.41056</v>
      </c>
      <c r="CN37" s="15" t="n">
        <v>0.38873</v>
      </c>
      <c r="CO37" s="15" t="n">
        <v>0.18276</v>
      </c>
      <c r="CP37" s="15" t="n">
        <v>-0.56012</v>
      </c>
      <c r="CQ37" s="15" t="n">
        <v>0.093206</v>
      </c>
      <c r="CR37" s="15" t="n">
        <v>0.024719</v>
      </c>
      <c r="CS37" s="15" t="n">
        <v>-0.017898</v>
      </c>
      <c r="CT37" s="15" t="n">
        <v>-0.81662</v>
      </c>
      <c r="CU37" s="15" t="n">
        <v>0.38063</v>
      </c>
      <c r="CV37" s="15" t="n">
        <v>-0.50074</v>
      </c>
      <c r="CW37" s="15" t="n">
        <v>0.17079</v>
      </c>
      <c r="CX37" s="15" t="n">
        <v>0.19304</v>
      </c>
      <c r="CY37" s="15" t="n">
        <v>0.068574</v>
      </c>
    </row>
    <row r="38" customFormat="false" ht="15" hidden="false" customHeight="false" outlineLevel="0" collapsed="false">
      <c r="A38" s="4" t="s">
        <v>173</v>
      </c>
      <c r="B38" s="2" t="n">
        <f aca="false">COUNTIF('1.3 TF-IDF coseno'!$M$10:$M$123,A38)</f>
        <v>1</v>
      </c>
      <c r="C38" s="2" t="n">
        <f aca="false">COUNTIF('1.3 TF-IDF coseno'!$N$10:$N$102,A38)</f>
        <v>0</v>
      </c>
      <c r="D38" s="15" t="n">
        <v>-0.51913</v>
      </c>
      <c r="E38" s="15" t="n">
        <v>0.57731</v>
      </c>
      <c r="F38" s="15" t="n">
        <v>-0.53343</v>
      </c>
      <c r="G38" s="15" t="n">
        <v>1.0563</v>
      </c>
      <c r="H38" s="15" t="n">
        <v>-0.48702</v>
      </c>
      <c r="I38" s="15" t="n">
        <v>-0.034274</v>
      </c>
      <c r="J38" s="15" t="n">
        <v>0.052542</v>
      </c>
      <c r="K38" s="15" t="n">
        <v>-0.28073</v>
      </c>
      <c r="L38" s="15" t="n">
        <v>-0.18389</v>
      </c>
      <c r="M38" s="15" t="n">
        <v>0.057673</v>
      </c>
      <c r="N38" s="15" t="n">
        <v>0.45412</v>
      </c>
      <c r="O38" s="15" t="n">
        <v>0.01482</v>
      </c>
      <c r="P38" s="15" t="n">
        <v>0.040187</v>
      </c>
      <c r="Q38" s="15" t="n">
        <v>0.050811</v>
      </c>
      <c r="R38" s="15" t="n">
        <v>0.69077</v>
      </c>
      <c r="S38" s="15" t="n">
        <v>0.59992</v>
      </c>
      <c r="T38" s="15" t="n">
        <v>0.14616</v>
      </c>
      <c r="U38" s="15" t="n">
        <v>0.8508</v>
      </c>
      <c r="V38" s="15" t="n">
        <v>0.85374</v>
      </c>
      <c r="W38" s="15" t="n">
        <v>0.41203</v>
      </c>
      <c r="X38" s="15" t="n">
        <v>-0.25978</v>
      </c>
      <c r="Y38" s="15" t="n">
        <v>0.03749</v>
      </c>
      <c r="Z38" s="15" t="n">
        <v>0.37719</v>
      </c>
      <c r="AA38" s="15" t="n">
        <v>-0.047357</v>
      </c>
      <c r="AB38" s="15" t="n">
        <v>-0.32563</v>
      </c>
      <c r="AC38" s="15" t="n">
        <v>-0.30559</v>
      </c>
      <c r="AD38" s="15" t="n">
        <v>0.93544</v>
      </c>
      <c r="AE38" s="15" t="n">
        <v>-0.66258</v>
      </c>
      <c r="AF38" s="15" t="n">
        <v>-0.7883</v>
      </c>
      <c r="AG38" s="15" t="n">
        <v>-0.109</v>
      </c>
      <c r="AH38" s="15" t="n">
        <v>-0.36478</v>
      </c>
      <c r="AI38" s="15" t="n">
        <v>-0.65902</v>
      </c>
      <c r="AJ38" s="15" t="n">
        <v>-1.2745</v>
      </c>
      <c r="AK38" s="15" t="n">
        <v>0.18359</v>
      </c>
      <c r="AL38" s="15" t="n">
        <v>-0.12389</v>
      </c>
      <c r="AM38" s="15" t="n">
        <v>0.29362</v>
      </c>
      <c r="AN38" s="15" t="n">
        <v>0.21193</v>
      </c>
      <c r="AO38" s="15" t="n">
        <v>0.37519</v>
      </c>
      <c r="AP38" s="15" t="n">
        <v>-0.36537</v>
      </c>
      <c r="AQ38" s="15" t="n">
        <v>0.064058</v>
      </c>
      <c r="AR38" s="15" t="n">
        <v>-0.51215</v>
      </c>
      <c r="AS38" s="15" t="n">
        <v>0.52661</v>
      </c>
      <c r="AT38" s="15" t="n">
        <v>-0.45052</v>
      </c>
      <c r="AU38" s="15" t="n">
        <v>0.11262</v>
      </c>
      <c r="AV38" s="15" t="n">
        <v>-1.1367</v>
      </c>
      <c r="AW38" s="15" t="n">
        <v>-0.44591</v>
      </c>
      <c r="AX38" s="15" t="n">
        <v>0.50771</v>
      </c>
      <c r="AY38" s="15" t="n">
        <v>-0.031967</v>
      </c>
      <c r="AZ38" s="15" t="n">
        <v>-0.90292</v>
      </c>
      <c r="BA38" s="15" t="n">
        <v>0.15419</v>
      </c>
      <c r="BB38" s="15" t="n">
        <v>1.0524</v>
      </c>
      <c r="BC38" s="15" t="n">
        <v>0.33148</v>
      </c>
      <c r="BD38" s="15" t="n">
        <v>0.39474</v>
      </c>
      <c r="BE38" s="15" t="n">
        <v>0.36152</v>
      </c>
      <c r="BF38" s="15" t="n">
        <v>0.27408</v>
      </c>
      <c r="BG38" s="15" t="n">
        <v>-0.49819</v>
      </c>
      <c r="BH38" s="15" t="n">
        <v>0.46239</v>
      </c>
      <c r="BI38" s="15" t="n">
        <v>-0.72202</v>
      </c>
      <c r="BJ38" s="15" t="n">
        <v>0.40256</v>
      </c>
      <c r="BK38" s="15" t="n">
        <v>-0.36867</v>
      </c>
      <c r="BL38" s="15" t="n">
        <v>0.045082</v>
      </c>
      <c r="BM38" s="15" t="n">
        <v>-0.53974</v>
      </c>
      <c r="BN38" s="15" t="n">
        <v>-0.41727</v>
      </c>
      <c r="BO38" s="15" t="n">
        <v>0.71697</v>
      </c>
      <c r="BP38" s="15" t="n">
        <v>1.2617</v>
      </c>
      <c r="BQ38" s="15" t="n">
        <v>-0.23125</v>
      </c>
      <c r="BR38" s="15" t="n">
        <v>-0.71983</v>
      </c>
      <c r="BS38" s="15" t="n">
        <v>-0.92899</v>
      </c>
      <c r="BT38" s="15" t="n">
        <v>0.13683</v>
      </c>
      <c r="BU38" s="15" t="n">
        <v>0.29675</v>
      </c>
      <c r="BV38" s="15" t="n">
        <v>-0.1184</v>
      </c>
      <c r="BW38" s="15" t="n">
        <v>0.97407</v>
      </c>
      <c r="BX38" s="15" t="n">
        <v>0.94104</v>
      </c>
      <c r="BY38" s="15" t="n">
        <v>-0.14423</v>
      </c>
      <c r="BZ38" s="15" t="n">
        <v>-0.49069</v>
      </c>
      <c r="CA38" s="15" t="n">
        <v>-0.094371</v>
      </c>
      <c r="CB38" s="15" t="n">
        <v>0.22089</v>
      </c>
      <c r="CC38" s="15" t="n">
        <v>-0.98587</v>
      </c>
      <c r="CD38" s="15" t="n">
        <v>-0.84417</v>
      </c>
      <c r="CE38" s="15" t="n">
        <v>-0.56388</v>
      </c>
      <c r="CF38" s="15" t="n">
        <v>-0.26388</v>
      </c>
      <c r="CG38" s="15" t="n">
        <v>1.1364</v>
      </c>
      <c r="CH38" s="15" t="n">
        <v>-0.6514</v>
      </c>
      <c r="CI38" s="15" t="n">
        <v>-0.10486</v>
      </c>
      <c r="CJ38" s="15" t="n">
        <v>-0.76743</v>
      </c>
      <c r="CK38" s="15" t="n">
        <v>0.49295</v>
      </c>
      <c r="CL38" s="15" t="n">
        <v>0.43705</v>
      </c>
      <c r="CM38" s="15" t="n">
        <v>0.42362</v>
      </c>
      <c r="CN38" s="15" t="n">
        <v>-0.53033</v>
      </c>
      <c r="CO38" s="15" t="n">
        <v>-0.60188</v>
      </c>
      <c r="CP38" s="15" t="n">
        <v>-0.31229</v>
      </c>
      <c r="CQ38" s="15" t="n">
        <v>-0.18795</v>
      </c>
      <c r="CR38" s="15" t="n">
        <v>-0.18345</v>
      </c>
      <c r="CS38" s="15" t="n">
        <v>0.098131</v>
      </c>
      <c r="CT38" s="15" t="n">
        <v>0.92056</v>
      </c>
      <c r="CU38" s="15" t="n">
        <v>0.11011</v>
      </c>
      <c r="CV38" s="15" t="n">
        <v>-0.76988</v>
      </c>
      <c r="CW38" s="15" t="n">
        <v>-0.85617</v>
      </c>
      <c r="CX38" s="15" t="n">
        <v>-0.082813</v>
      </c>
      <c r="CY38" s="15" t="n">
        <v>1.1729</v>
      </c>
    </row>
    <row r="39" customFormat="false" ht="15" hidden="false" customHeight="false" outlineLevel="0" collapsed="false">
      <c r="A39" s="4" t="s">
        <v>174</v>
      </c>
      <c r="B39" s="2" t="n">
        <f aca="false">COUNTIF('1.3 TF-IDF coseno'!$M$10:$M$123,A39)</f>
        <v>1</v>
      </c>
      <c r="C39" s="2" t="n">
        <f aca="false">COUNTIF('1.3 TF-IDF coseno'!$N$10:$N$102,A39)</f>
        <v>0</v>
      </c>
      <c r="D39" s="15" t="n">
        <v>0.14012</v>
      </c>
      <c r="E39" s="15" t="n">
        <v>0.55331</v>
      </c>
      <c r="F39" s="15" t="n">
        <v>-1.0133</v>
      </c>
      <c r="G39" s="15" t="n">
        <v>0.24792</v>
      </c>
      <c r="H39" s="15" t="n">
        <v>0.11693</v>
      </c>
      <c r="I39" s="15" t="n">
        <v>-0.63286</v>
      </c>
      <c r="J39" s="15" t="n">
        <v>0.31682</v>
      </c>
      <c r="K39" s="15" t="n">
        <v>0.013057</v>
      </c>
      <c r="L39" s="15" t="n">
        <v>-0.60759</v>
      </c>
      <c r="M39" s="15" t="n">
        <v>0.42214</v>
      </c>
      <c r="N39" s="15" t="n">
        <v>-0.49301</v>
      </c>
      <c r="O39" s="15" t="n">
        <v>-0.35508</v>
      </c>
      <c r="P39" s="15" t="n">
        <v>0.12446</v>
      </c>
      <c r="Q39" s="15" t="n">
        <v>1.0717</v>
      </c>
      <c r="R39" s="15" t="n">
        <v>0.086631</v>
      </c>
      <c r="S39" s="15" t="n">
        <v>0.25915</v>
      </c>
      <c r="T39" s="15" t="n">
        <v>0.091931</v>
      </c>
      <c r="U39" s="15" t="n">
        <v>-0.17944</v>
      </c>
      <c r="V39" s="15" t="n">
        <v>0.10308</v>
      </c>
      <c r="W39" s="15" t="n">
        <v>0.20201</v>
      </c>
      <c r="X39" s="15" t="n">
        <v>-0.92396</v>
      </c>
      <c r="Y39" s="15" t="n">
        <v>-0.27191</v>
      </c>
      <c r="Z39" s="15" t="n">
        <v>0.076444</v>
      </c>
      <c r="AA39" s="15" t="n">
        <v>0.14898</v>
      </c>
      <c r="AB39" s="15" t="n">
        <v>-0.63574</v>
      </c>
      <c r="AC39" s="15" t="n">
        <v>-0.44882</v>
      </c>
      <c r="AD39" s="15" t="n">
        <v>0.45427</v>
      </c>
      <c r="AE39" s="15" t="n">
        <v>-1.0124</v>
      </c>
      <c r="AF39" s="15" t="n">
        <v>-0.24162</v>
      </c>
      <c r="AG39" s="15" t="n">
        <v>0.13964</v>
      </c>
      <c r="AH39" s="15" t="n">
        <v>-1.0367</v>
      </c>
      <c r="AI39" s="15" t="n">
        <v>0.24882</v>
      </c>
      <c r="AJ39" s="15" t="n">
        <v>-0.6556</v>
      </c>
      <c r="AK39" s="15" t="n">
        <v>0.41198</v>
      </c>
      <c r="AL39" s="15" t="n">
        <v>-0.59135</v>
      </c>
      <c r="AM39" s="15" t="n">
        <v>-0.11048</v>
      </c>
      <c r="AN39" s="15" t="n">
        <v>-0.11135</v>
      </c>
      <c r="AO39" s="15" t="n">
        <v>0.63346</v>
      </c>
      <c r="AP39" s="15" t="n">
        <v>-0.66269</v>
      </c>
      <c r="AQ39" s="15" t="n">
        <v>0.15093</v>
      </c>
      <c r="AR39" s="15" t="n">
        <v>-1.2616</v>
      </c>
      <c r="AS39" s="15" t="n">
        <v>-0.22623</v>
      </c>
      <c r="AT39" s="15" t="n">
        <v>-1.4369</v>
      </c>
      <c r="AU39" s="15" t="n">
        <v>-0.17556</v>
      </c>
      <c r="AV39" s="15" t="n">
        <v>-0.20254</v>
      </c>
      <c r="AW39" s="15" t="n">
        <v>-0.6419</v>
      </c>
      <c r="AX39" s="15" t="n">
        <v>0.60862</v>
      </c>
      <c r="AY39" s="15" t="n">
        <v>0.12904</v>
      </c>
      <c r="AZ39" s="15" t="n">
        <v>-0.85556</v>
      </c>
      <c r="BA39" s="15" t="n">
        <v>0.14965</v>
      </c>
      <c r="BB39" s="15" t="n">
        <v>0.63114</v>
      </c>
      <c r="BC39" s="15" t="n">
        <v>-0.23379</v>
      </c>
      <c r="BD39" s="15" t="n">
        <v>-0.089219</v>
      </c>
      <c r="BE39" s="15" t="n">
        <v>0.24892</v>
      </c>
      <c r="BF39" s="15" t="n">
        <v>0.058919</v>
      </c>
      <c r="BG39" s="15" t="n">
        <v>-1.9195</v>
      </c>
      <c r="BH39" s="15" t="n">
        <v>0.016993</v>
      </c>
      <c r="BI39" s="15" t="n">
        <v>-0.84643</v>
      </c>
      <c r="BJ39" s="15" t="n">
        <v>1.2724</v>
      </c>
      <c r="BK39" s="15" t="n">
        <v>0.51512</v>
      </c>
      <c r="BL39" s="15" t="n">
        <v>-0.088939</v>
      </c>
      <c r="BM39" s="15" t="n">
        <v>1.0845</v>
      </c>
      <c r="BN39" s="15" t="n">
        <v>0.57932</v>
      </c>
      <c r="BO39" s="15" t="n">
        <v>-0.5072</v>
      </c>
      <c r="BP39" s="15" t="n">
        <v>0.60779</v>
      </c>
      <c r="BQ39" s="15" t="n">
        <v>0.57818</v>
      </c>
      <c r="BR39" s="15" t="n">
        <v>-0.17004</v>
      </c>
      <c r="BS39" s="15" t="n">
        <v>0.10702</v>
      </c>
      <c r="BT39" s="15" t="n">
        <v>0.80003</v>
      </c>
      <c r="BU39" s="15" t="n">
        <v>0.66815</v>
      </c>
      <c r="BV39" s="15" t="n">
        <v>-0.085229</v>
      </c>
      <c r="BW39" s="15" t="n">
        <v>0.59469</v>
      </c>
      <c r="BX39" s="15" t="n">
        <v>0.72436</v>
      </c>
      <c r="BY39" s="15" t="n">
        <v>0.016571</v>
      </c>
      <c r="BZ39" s="15" t="n">
        <v>-1.2329</v>
      </c>
      <c r="CA39" s="15" t="n">
        <v>-0.48054</v>
      </c>
      <c r="CB39" s="15" t="n">
        <v>-0.13639</v>
      </c>
      <c r="CC39" s="15" t="n">
        <v>-0.045263</v>
      </c>
      <c r="CD39" s="15" t="n">
        <v>-1.029</v>
      </c>
      <c r="CE39" s="15" t="n">
        <v>-0.71138</v>
      </c>
      <c r="CF39" s="15" t="n">
        <v>-0.098015</v>
      </c>
      <c r="CG39" s="15" t="n">
        <v>0.48347</v>
      </c>
      <c r="CH39" s="15" t="n">
        <v>-0.5046</v>
      </c>
      <c r="CI39" s="15" t="n">
        <v>0.15135</v>
      </c>
      <c r="CJ39" s="15" t="n">
        <v>-1.8616</v>
      </c>
      <c r="CK39" s="15" t="n">
        <v>0.1369</v>
      </c>
      <c r="CL39" s="15" t="n">
        <v>0.34056</v>
      </c>
      <c r="CM39" s="15" t="n">
        <v>-0.65315</v>
      </c>
      <c r="CN39" s="15" t="n">
        <v>-0.38456</v>
      </c>
      <c r="CO39" s="15" t="n">
        <v>-0.44933</v>
      </c>
      <c r="CP39" s="15" t="n">
        <v>-0.013969</v>
      </c>
      <c r="CQ39" s="15" t="n">
        <v>-0.62398</v>
      </c>
      <c r="CR39" s="15" t="n">
        <v>0.30527</v>
      </c>
      <c r="CS39" s="15" t="n">
        <v>0.16437</v>
      </c>
      <c r="CT39" s="15" t="n">
        <v>-0.2249</v>
      </c>
      <c r="CU39" s="15" t="n">
        <v>0.7172</v>
      </c>
      <c r="CV39" s="15" t="n">
        <v>-0.69638</v>
      </c>
      <c r="CW39" s="15" t="n">
        <v>-1.0611</v>
      </c>
      <c r="CX39" s="15" t="n">
        <v>0.21957</v>
      </c>
      <c r="CY39" s="15" t="n">
        <v>0.32783</v>
      </c>
    </row>
    <row r="40" customFormat="false" ht="15" hidden="false" customHeight="false" outlineLevel="0" collapsed="false">
      <c r="A40" s="4" t="s">
        <v>175</v>
      </c>
      <c r="B40" s="2" t="n">
        <f aca="false">COUNTIF('1.3 TF-IDF coseno'!$M$10:$M$123,A40)</f>
        <v>1</v>
      </c>
      <c r="C40" s="2" t="n">
        <f aca="false">COUNTIF('1.3 TF-IDF coseno'!$N$10:$N$102,A40)</f>
        <v>0</v>
      </c>
      <c r="D40" s="15" t="n">
        <v>-0.88259</v>
      </c>
      <c r="E40" s="15" t="n">
        <v>0.52158</v>
      </c>
      <c r="F40" s="15" t="n">
        <v>0.29069</v>
      </c>
      <c r="G40" s="15" t="n">
        <v>-0.0187</v>
      </c>
      <c r="H40" s="15" t="n">
        <v>0.037756</v>
      </c>
      <c r="I40" s="15" t="n">
        <v>-0.53318</v>
      </c>
      <c r="J40" s="15" t="n">
        <v>0.36323</v>
      </c>
      <c r="K40" s="15" t="n">
        <v>-0.33089</v>
      </c>
      <c r="L40" s="15" t="n">
        <v>-0.594</v>
      </c>
      <c r="M40" s="15" t="n">
        <v>0.46355</v>
      </c>
      <c r="N40" s="15" t="n">
        <v>0.37</v>
      </c>
      <c r="O40" s="15" t="n">
        <v>-0.49996</v>
      </c>
      <c r="P40" s="15" t="n">
        <v>0.24034</v>
      </c>
      <c r="Q40" s="15" t="n">
        <v>-0.016058</v>
      </c>
      <c r="R40" s="15" t="n">
        <v>0.40562</v>
      </c>
      <c r="S40" s="15" t="n">
        <v>0.75559</v>
      </c>
      <c r="T40" s="15" t="n">
        <v>0.089209</v>
      </c>
      <c r="U40" s="15" t="n">
        <v>0.041489</v>
      </c>
      <c r="V40" s="15" t="n">
        <v>0.59974</v>
      </c>
      <c r="W40" s="15" t="n">
        <v>0.13167</v>
      </c>
      <c r="X40" s="15" t="n">
        <v>-0.35207</v>
      </c>
      <c r="Y40" s="15" t="n">
        <v>-0.30514</v>
      </c>
      <c r="Z40" s="15" t="n">
        <v>-0.10251</v>
      </c>
      <c r="AA40" s="15" t="n">
        <v>-0.039114</v>
      </c>
      <c r="AB40" s="15" t="n">
        <v>-0.53992</v>
      </c>
      <c r="AC40" s="15" t="n">
        <v>-0.14582</v>
      </c>
      <c r="AD40" s="15" t="n">
        <v>0.62068</v>
      </c>
      <c r="AE40" s="15" t="n">
        <v>0.18875</v>
      </c>
      <c r="AF40" s="15" t="n">
        <v>-0.61252</v>
      </c>
      <c r="AG40" s="15" t="n">
        <v>0.051325</v>
      </c>
      <c r="AH40" s="15" t="n">
        <v>-0.20932</v>
      </c>
      <c r="AI40" s="15" t="n">
        <v>0.23512</v>
      </c>
      <c r="AJ40" s="15" t="n">
        <v>-0.83639</v>
      </c>
      <c r="AK40" s="15" t="n">
        <v>-0.026608</v>
      </c>
      <c r="AL40" s="15" t="n">
        <v>0.12627</v>
      </c>
      <c r="AM40" s="15" t="n">
        <v>-0.19259</v>
      </c>
      <c r="AN40" s="15" t="n">
        <v>0.088921</v>
      </c>
      <c r="AO40" s="15" t="n">
        <v>0.28633</v>
      </c>
      <c r="AP40" s="15" t="n">
        <v>-0.054499</v>
      </c>
      <c r="AQ40" s="15" t="n">
        <v>-0.31267</v>
      </c>
      <c r="AR40" s="15" t="n">
        <v>-0.75419</v>
      </c>
      <c r="AS40" s="15" t="n">
        <v>-0.8817</v>
      </c>
      <c r="AT40" s="15" t="n">
        <v>-0.83378</v>
      </c>
      <c r="AU40" s="15" t="n">
        <v>0.069668</v>
      </c>
      <c r="AV40" s="15" t="n">
        <v>-1.0453</v>
      </c>
      <c r="AW40" s="15" t="n">
        <v>-0.46283</v>
      </c>
      <c r="AX40" s="15" t="n">
        <v>0.058939</v>
      </c>
      <c r="AY40" s="15" t="n">
        <v>-0.3429</v>
      </c>
      <c r="AZ40" s="15" t="n">
        <v>-0.90067</v>
      </c>
      <c r="BA40" s="15" t="n">
        <v>-0.33881</v>
      </c>
      <c r="BB40" s="15" t="n">
        <v>1.112</v>
      </c>
      <c r="BC40" s="15" t="n">
        <v>-0.064991</v>
      </c>
      <c r="BD40" s="15" t="n">
        <v>-0.029966</v>
      </c>
      <c r="BE40" s="15" t="n">
        <v>0.93088</v>
      </c>
      <c r="BF40" s="15" t="n">
        <v>0.18756</v>
      </c>
      <c r="BG40" s="15" t="n">
        <v>-1.7603</v>
      </c>
      <c r="BH40" s="15" t="n">
        <v>0.018141</v>
      </c>
      <c r="BI40" s="15" t="n">
        <v>-0.60669</v>
      </c>
      <c r="BJ40" s="15" t="n">
        <v>1.3778</v>
      </c>
      <c r="BK40" s="15" t="n">
        <v>0.17849</v>
      </c>
      <c r="BL40" s="15" t="n">
        <v>-0.29909</v>
      </c>
      <c r="BM40" s="15" t="n">
        <v>0.27298</v>
      </c>
      <c r="BN40" s="15" t="n">
        <v>0.58288</v>
      </c>
      <c r="BO40" s="15" t="n">
        <v>-0.15429</v>
      </c>
      <c r="BP40" s="15" t="n">
        <v>1.1514</v>
      </c>
      <c r="BQ40" s="15" t="n">
        <v>-0.067154</v>
      </c>
      <c r="BR40" s="15" t="n">
        <v>-0.59633</v>
      </c>
      <c r="BS40" s="15" t="n">
        <v>-0.090761</v>
      </c>
      <c r="BT40" s="15" t="n">
        <v>0.4749</v>
      </c>
      <c r="BU40" s="15" t="n">
        <v>0.54022</v>
      </c>
      <c r="BV40" s="15" t="n">
        <v>-0.48358</v>
      </c>
      <c r="BW40" s="15" t="n">
        <v>1.117</v>
      </c>
      <c r="BX40" s="15" t="n">
        <v>0.48596</v>
      </c>
      <c r="BY40" s="15" t="n">
        <v>-0.044912</v>
      </c>
      <c r="BZ40" s="15" t="n">
        <v>0.094936</v>
      </c>
      <c r="CA40" s="15" t="n">
        <v>-0.58537</v>
      </c>
      <c r="CB40" s="15" t="n">
        <v>0.10326</v>
      </c>
      <c r="CC40" s="15" t="n">
        <v>-0.17238</v>
      </c>
      <c r="CD40" s="15" t="n">
        <v>-1.3141</v>
      </c>
      <c r="CE40" s="15" t="n">
        <v>-0.36123</v>
      </c>
      <c r="CF40" s="15" t="n">
        <v>0.44566</v>
      </c>
      <c r="CG40" s="15" t="n">
        <v>0.58171</v>
      </c>
      <c r="CH40" s="15" t="n">
        <v>-0.58424</v>
      </c>
      <c r="CI40" s="15" t="n">
        <v>-0.55619</v>
      </c>
      <c r="CJ40" s="15" t="n">
        <v>-1.4468</v>
      </c>
      <c r="CK40" s="15" t="n">
        <v>0.26025</v>
      </c>
      <c r="CL40" s="15" t="n">
        <v>0.55013</v>
      </c>
      <c r="CM40" s="15" t="n">
        <v>-0.54499</v>
      </c>
      <c r="CN40" s="15" t="n">
        <v>-0.46577</v>
      </c>
      <c r="CO40" s="15" t="n">
        <v>-0.34086</v>
      </c>
      <c r="CP40" s="15" t="n">
        <v>0.22923</v>
      </c>
      <c r="CQ40" s="15" t="n">
        <v>0.051193</v>
      </c>
      <c r="CR40" s="15" t="n">
        <v>-0.21641</v>
      </c>
      <c r="CS40" s="15" t="n">
        <v>0.066235</v>
      </c>
      <c r="CT40" s="15" t="n">
        <v>0.90544</v>
      </c>
      <c r="CU40" s="15" t="n">
        <v>0.32671</v>
      </c>
      <c r="CV40" s="15" t="n">
        <v>0.21762</v>
      </c>
      <c r="CW40" s="15" t="n">
        <v>-1.0717</v>
      </c>
      <c r="CX40" s="15" t="n">
        <v>-0.071714</v>
      </c>
      <c r="CY40" s="15" t="n">
        <v>0.71562</v>
      </c>
    </row>
    <row r="41" customFormat="false" ht="15" hidden="false" customHeight="false" outlineLevel="0" collapsed="false">
      <c r="A41" s="4" t="s">
        <v>176</v>
      </c>
      <c r="B41" s="2" t="n">
        <f aca="false">COUNTIF('1.3 TF-IDF coseno'!$M$10:$M$123,A41)</f>
        <v>1</v>
      </c>
      <c r="C41" s="2" t="n">
        <f aca="false">COUNTIF('1.3 TF-IDF coseno'!$N$10:$N$102,A41)</f>
        <v>0</v>
      </c>
      <c r="D41" s="15" t="n">
        <v>-0.61139</v>
      </c>
      <c r="E41" s="15" t="n">
        <v>-0.42854</v>
      </c>
      <c r="F41" s="15" t="n">
        <v>-0.5855</v>
      </c>
      <c r="G41" s="15" t="n">
        <v>0.20193</v>
      </c>
      <c r="H41" s="15" t="n">
        <v>0.9456</v>
      </c>
      <c r="I41" s="15" t="n">
        <v>0.50673</v>
      </c>
      <c r="J41" s="15" t="n">
        <v>0.70259</v>
      </c>
      <c r="K41" s="15" t="n">
        <v>-0.14638</v>
      </c>
      <c r="L41" s="15" t="n">
        <v>-0.24579</v>
      </c>
      <c r="M41" s="15" t="n">
        <v>-0.32914</v>
      </c>
      <c r="N41" s="15" t="n">
        <v>0.46261</v>
      </c>
      <c r="O41" s="15" t="n">
        <v>-0.3478</v>
      </c>
      <c r="P41" s="15" t="n">
        <v>0.17518</v>
      </c>
      <c r="Q41" s="15" t="n">
        <v>0.011947</v>
      </c>
      <c r="R41" s="15" t="n">
        <v>-0.086793</v>
      </c>
      <c r="S41" s="15" t="n">
        <v>0.76731</v>
      </c>
      <c r="T41" s="15" t="n">
        <v>0.99763</v>
      </c>
      <c r="U41" s="15" t="n">
        <v>-0.22985</v>
      </c>
      <c r="V41" s="15" t="n">
        <v>-0.44657</v>
      </c>
      <c r="W41" s="15" t="n">
        <v>-0.25766</v>
      </c>
      <c r="X41" s="15" t="n">
        <v>0.45675</v>
      </c>
      <c r="Y41" s="15" t="n">
        <v>-0.38111</v>
      </c>
      <c r="Z41" s="15" t="n">
        <v>-0.091125</v>
      </c>
      <c r="AA41" s="15" t="n">
        <v>0.58799</v>
      </c>
      <c r="AB41" s="15" t="n">
        <v>0.43576</v>
      </c>
      <c r="AC41" s="15" t="n">
        <v>-0.74125</v>
      </c>
      <c r="AD41" s="15" t="n">
        <v>0.20007</v>
      </c>
      <c r="AE41" s="15" t="n">
        <v>-0.32504</v>
      </c>
      <c r="AF41" s="15" t="n">
        <v>-0.16916</v>
      </c>
      <c r="AG41" s="15" t="n">
        <v>1.0562</v>
      </c>
      <c r="AH41" s="15" t="n">
        <v>0.041963</v>
      </c>
      <c r="AI41" s="15" t="n">
        <v>0.1051</v>
      </c>
      <c r="AJ41" s="15" t="n">
        <v>-0.55131</v>
      </c>
      <c r="AK41" s="15" t="n">
        <v>-0.25676</v>
      </c>
      <c r="AL41" s="15" t="n">
        <v>-0.7569</v>
      </c>
      <c r="AM41" s="15" t="n">
        <v>0.87125</v>
      </c>
      <c r="AN41" s="15" t="n">
        <v>-0.33589</v>
      </c>
      <c r="AO41" s="15" t="n">
        <v>0.37572</v>
      </c>
      <c r="AP41" s="15" t="n">
        <v>-0.93259</v>
      </c>
      <c r="AQ41" s="15" t="n">
        <v>-0.41725</v>
      </c>
      <c r="AR41" s="15" t="n">
        <v>-0.79743</v>
      </c>
      <c r="AS41" s="15" t="n">
        <v>0.60062</v>
      </c>
      <c r="AT41" s="15" t="n">
        <v>-0.89959</v>
      </c>
      <c r="AU41" s="15" t="n">
        <v>0.059795</v>
      </c>
      <c r="AV41" s="15" t="n">
        <v>-0.448</v>
      </c>
      <c r="AW41" s="15" t="n">
        <v>-0.8645</v>
      </c>
      <c r="AX41" s="15" t="n">
        <v>0.16598</v>
      </c>
      <c r="AY41" s="15" t="n">
        <v>-1.134</v>
      </c>
      <c r="AZ41" s="15" t="n">
        <v>0.22332</v>
      </c>
      <c r="BA41" s="15" t="n">
        <v>0.41088</v>
      </c>
      <c r="BB41" s="15" t="n">
        <v>0.92</v>
      </c>
      <c r="BC41" s="15" t="n">
        <v>0.54754</v>
      </c>
      <c r="BD41" s="15" t="n">
        <v>0.68282</v>
      </c>
      <c r="BE41" s="15" t="n">
        <v>0.55738</v>
      </c>
      <c r="BF41" s="15" t="n">
        <v>-0.5009</v>
      </c>
      <c r="BG41" s="15" t="n">
        <v>-2.1308</v>
      </c>
      <c r="BH41" s="15" t="n">
        <v>-0.065491</v>
      </c>
      <c r="BI41" s="15" t="n">
        <v>0.029405</v>
      </c>
      <c r="BJ41" s="15" t="n">
        <v>0.86093</v>
      </c>
      <c r="BK41" s="15" t="n">
        <v>0.41744</v>
      </c>
      <c r="BL41" s="15" t="n">
        <v>0.19348</v>
      </c>
      <c r="BM41" s="15" t="n">
        <v>0.97992</v>
      </c>
      <c r="BN41" s="15" t="n">
        <v>-0.94843</v>
      </c>
      <c r="BO41" s="15" t="n">
        <v>-0.7361</v>
      </c>
      <c r="BP41" s="15" t="n">
        <v>1.2374</v>
      </c>
      <c r="BQ41" s="15" t="n">
        <v>-0.22332</v>
      </c>
      <c r="BR41" s="15" t="n">
        <v>-0.10371</v>
      </c>
      <c r="BS41" s="15" t="n">
        <v>0.82139</v>
      </c>
      <c r="BT41" s="15" t="n">
        <v>0.85524</v>
      </c>
      <c r="BU41" s="15" t="n">
        <v>0.1096</v>
      </c>
      <c r="BV41" s="15" t="n">
        <v>0.043327</v>
      </c>
      <c r="BW41" s="15" t="n">
        <v>1.3079</v>
      </c>
      <c r="BX41" s="15" t="n">
        <v>0.19972</v>
      </c>
      <c r="BY41" s="15" t="n">
        <v>0.039065</v>
      </c>
      <c r="BZ41" s="15" t="n">
        <v>-0.62535</v>
      </c>
      <c r="CA41" s="15" t="n">
        <v>0.38245</v>
      </c>
      <c r="CB41" s="15" t="n">
        <v>0.27241</v>
      </c>
      <c r="CC41" s="15" t="n">
        <v>0.37682</v>
      </c>
      <c r="CD41" s="15" t="n">
        <v>-1.9542</v>
      </c>
      <c r="CE41" s="15" t="n">
        <v>-0.21872</v>
      </c>
      <c r="CF41" s="15" t="n">
        <v>0.10508</v>
      </c>
      <c r="CG41" s="15" t="n">
        <v>0.015435</v>
      </c>
      <c r="CH41" s="15" t="n">
        <v>-0.27597</v>
      </c>
      <c r="CI41" s="15" t="n">
        <v>0.077442</v>
      </c>
      <c r="CJ41" s="15" t="n">
        <v>-0.86306</v>
      </c>
      <c r="CK41" s="15" t="n">
        <v>-0.74398</v>
      </c>
      <c r="CL41" s="15" t="n">
        <v>0.14485</v>
      </c>
      <c r="CM41" s="15" t="n">
        <v>-1.0848</v>
      </c>
      <c r="CN41" s="15" t="n">
        <v>-0.33669</v>
      </c>
      <c r="CO41" s="15" t="n">
        <v>0.29885</v>
      </c>
      <c r="CP41" s="15" t="n">
        <v>0.11109</v>
      </c>
      <c r="CQ41" s="15" t="n">
        <v>-0.084882</v>
      </c>
      <c r="CR41" s="15" t="n">
        <v>0.49568</v>
      </c>
      <c r="CS41" s="15" t="n">
        <v>0.48629</v>
      </c>
      <c r="CT41" s="15" t="n">
        <v>-0.23831</v>
      </c>
      <c r="CU41" s="15" t="n">
        <v>0.59448</v>
      </c>
      <c r="CV41" s="15" t="n">
        <v>-0.45642</v>
      </c>
      <c r="CW41" s="15" t="n">
        <v>-0.94406</v>
      </c>
      <c r="CX41" s="15" t="n">
        <v>0.13352</v>
      </c>
      <c r="CY41" s="15" t="n">
        <v>0.052578</v>
      </c>
    </row>
    <row r="42" customFormat="false" ht="15" hidden="false" customHeight="false" outlineLevel="0" collapsed="false">
      <c r="A42" s="4" t="s">
        <v>177</v>
      </c>
      <c r="B42" s="2" t="n">
        <f aca="false">COUNTIF('1.3 TF-IDF coseno'!$M$10:$M$123,A42)</f>
        <v>1</v>
      </c>
      <c r="C42" s="2" t="n">
        <f aca="false">COUNTIF('1.3 TF-IDF coseno'!$N$10:$N$102,A42)</f>
        <v>0</v>
      </c>
      <c r="D42" s="15" t="n">
        <v>-0.068609</v>
      </c>
      <c r="E42" s="15" t="n">
        <v>0.37234</v>
      </c>
      <c r="F42" s="15" t="n">
        <v>0.008263</v>
      </c>
      <c r="G42" s="15" t="n">
        <v>-0.29759</v>
      </c>
      <c r="H42" s="15" t="n">
        <v>0.50497</v>
      </c>
      <c r="I42" s="15" t="n">
        <v>0.3553</v>
      </c>
      <c r="J42" s="15" t="n">
        <v>0.39532</v>
      </c>
      <c r="K42" s="15" t="n">
        <v>0.80128</v>
      </c>
      <c r="L42" s="15" t="n">
        <v>-0.92972</v>
      </c>
      <c r="M42" s="15" t="n">
        <v>0.037341</v>
      </c>
      <c r="N42" s="15" t="n">
        <v>0.70599</v>
      </c>
      <c r="O42" s="15" t="n">
        <v>0.10559</v>
      </c>
      <c r="P42" s="15" t="n">
        <v>0.29726</v>
      </c>
      <c r="Q42" s="15" t="n">
        <v>0.76445</v>
      </c>
      <c r="R42" s="15" t="n">
        <v>0.21428</v>
      </c>
      <c r="S42" s="15" t="n">
        <v>-0.11708</v>
      </c>
      <c r="T42" s="15" t="n">
        <v>-0.16907</v>
      </c>
      <c r="U42" s="15" t="n">
        <v>-0.0045694</v>
      </c>
      <c r="V42" s="15" t="n">
        <v>-0.62429</v>
      </c>
      <c r="W42" s="15" t="n">
        <v>0.34949</v>
      </c>
      <c r="X42" s="15" t="n">
        <v>0.91536</v>
      </c>
      <c r="Y42" s="15" t="n">
        <v>-0.20154</v>
      </c>
      <c r="Z42" s="15" t="n">
        <v>0.13332</v>
      </c>
      <c r="AA42" s="15" t="n">
        <v>0.54897</v>
      </c>
      <c r="AB42" s="15" t="n">
        <v>0.70493</v>
      </c>
      <c r="AC42" s="15" t="n">
        <v>-0.96237</v>
      </c>
      <c r="AD42" s="15" t="n">
        <v>-0.17229</v>
      </c>
      <c r="AE42" s="15" t="n">
        <v>-0.45547</v>
      </c>
      <c r="AF42" s="15" t="n">
        <v>-0.30551</v>
      </c>
      <c r="AG42" s="15" t="n">
        <v>0.30407</v>
      </c>
      <c r="AH42" s="15" t="n">
        <v>0.14562</v>
      </c>
      <c r="AI42" s="15" t="n">
        <v>-0.0461</v>
      </c>
      <c r="AJ42" s="15" t="n">
        <v>-0.19556</v>
      </c>
      <c r="AK42" s="15" t="n">
        <v>-0.28577</v>
      </c>
      <c r="AL42" s="15" t="n">
        <v>0.37451</v>
      </c>
      <c r="AM42" s="15" t="n">
        <v>0.26128</v>
      </c>
      <c r="AN42" s="15" t="n">
        <v>-0.12611</v>
      </c>
      <c r="AO42" s="15" t="n">
        <v>0.2581</v>
      </c>
      <c r="AP42" s="15" t="n">
        <v>-0.40324</v>
      </c>
      <c r="AQ42" s="15" t="n">
        <v>0.50019</v>
      </c>
      <c r="AR42" s="15" t="n">
        <v>-0.48305</v>
      </c>
      <c r="AS42" s="15" t="n">
        <v>-0.14809</v>
      </c>
      <c r="AT42" s="15" t="n">
        <v>0.53787</v>
      </c>
      <c r="AU42" s="15" t="n">
        <v>-0.1196</v>
      </c>
      <c r="AV42" s="15" t="n">
        <v>0.37295</v>
      </c>
      <c r="AW42" s="15" t="n">
        <v>0.35746</v>
      </c>
      <c r="AX42" s="15" t="n">
        <v>-0.077718</v>
      </c>
      <c r="AY42" s="15" t="n">
        <v>-0.76393</v>
      </c>
      <c r="AZ42" s="15" t="n">
        <v>-0.17623</v>
      </c>
      <c r="BA42" s="15" t="n">
        <v>-0.0016575</v>
      </c>
      <c r="BB42" s="15" t="n">
        <v>-0.72068</v>
      </c>
      <c r="BC42" s="15" t="n">
        <v>-0.53102</v>
      </c>
      <c r="BD42" s="15" t="n">
        <v>-0.064924</v>
      </c>
      <c r="BE42" s="15" t="n">
        <v>1.3585</v>
      </c>
      <c r="BF42" s="15" t="n">
        <v>-0.078425</v>
      </c>
      <c r="BG42" s="15" t="n">
        <v>-2.551</v>
      </c>
      <c r="BH42" s="15" t="n">
        <v>0.12289</v>
      </c>
      <c r="BI42" s="15" t="n">
        <v>-0.076388</v>
      </c>
      <c r="BJ42" s="15" t="n">
        <v>1.8927</v>
      </c>
      <c r="BK42" s="15" t="n">
        <v>1.558</v>
      </c>
      <c r="BL42" s="15" t="n">
        <v>-0.71005</v>
      </c>
      <c r="BM42" s="15" t="n">
        <v>1.0358</v>
      </c>
      <c r="BN42" s="15" t="n">
        <v>0.25433</v>
      </c>
      <c r="BO42" s="15" t="n">
        <v>0.42906</v>
      </c>
      <c r="BP42" s="15" t="n">
        <v>0.34181</v>
      </c>
      <c r="BQ42" s="15" t="n">
        <v>0.24824</v>
      </c>
      <c r="BR42" s="15" t="n">
        <v>0.33564</v>
      </c>
      <c r="BS42" s="15" t="n">
        <v>0.59503</v>
      </c>
      <c r="BT42" s="15" t="n">
        <v>-0.0028889</v>
      </c>
      <c r="BU42" s="15" t="n">
        <v>0.12437</v>
      </c>
      <c r="BV42" s="15" t="n">
        <v>-0.47407</v>
      </c>
      <c r="BW42" s="15" t="n">
        <v>0.036503</v>
      </c>
      <c r="BX42" s="15" t="n">
        <v>-0.049999</v>
      </c>
      <c r="BY42" s="15" t="n">
        <v>-0.31483</v>
      </c>
      <c r="BZ42" s="15" t="n">
        <v>0.16067</v>
      </c>
      <c r="CA42" s="15" t="n">
        <v>0.45478</v>
      </c>
      <c r="CB42" s="15" t="n">
        <v>-0.41619</v>
      </c>
      <c r="CC42" s="15" t="n">
        <v>-0.35707</v>
      </c>
      <c r="CD42" s="15" t="n">
        <v>-1.0044</v>
      </c>
      <c r="CE42" s="15" t="n">
        <v>-0.15895</v>
      </c>
      <c r="CF42" s="15" t="n">
        <v>1.1112</v>
      </c>
      <c r="CG42" s="15" t="n">
        <v>0.31304</v>
      </c>
      <c r="CH42" s="15" t="n">
        <v>-0.38909</v>
      </c>
      <c r="CI42" s="15" t="n">
        <v>0.42518</v>
      </c>
      <c r="CJ42" s="15" t="n">
        <v>-1.3821</v>
      </c>
      <c r="CK42" s="15" t="n">
        <v>-0.028304</v>
      </c>
      <c r="CL42" s="15" t="n">
        <v>0.1542</v>
      </c>
      <c r="CM42" s="15" t="n">
        <v>-0.17196</v>
      </c>
      <c r="CN42" s="15" t="n">
        <v>0.16381</v>
      </c>
      <c r="CO42" s="15" t="n">
        <v>0.046067</v>
      </c>
      <c r="CP42" s="15" t="n">
        <v>-0.2083</v>
      </c>
      <c r="CQ42" s="15" t="n">
        <v>0.243</v>
      </c>
      <c r="CR42" s="15" t="n">
        <v>-0.65808</v>
      </c>
      <c r="CS42" s="15" t="n">
        <v>-0.10197</v>
      </c>
      <c r="CT42" s="15" t="n">
        <v>-1.3277</v>
      </c>
      <c r="CU42" s="15" t="n">
        <v>0.14797</v>
      </c>
      <c r="CV42" s="15" t="n">
        <v>-0.66992</v>
      </c>
      <c r="CW42" s="15" t="n">
        <v>0.062075</v>
      </c>
      <c r="CX42" s="15" t="n">
        <v>0.46644</v>
      </c>
      <c r="CY42" s="15" t="n">
        <v>-0.17181</v>
      </c>
    </row>
    <row r="43" customFormat="false" ht="15" hidden="false" customHeight="false" outlineLevel="0" collapsed="false">
      <c r="A43" s="4" t="s">
        <v>178</v>
      </c>
      <c r="B43" s="2" t="n">
        <f aca="false">COUNTIF('1.3 TF-IDF coseno'!$M$10:$M$123,A43)</f>
        <v>1</v>
      </c>
      <c r="C43" s="2" t="n">
        <f aca="false">COUNTIF('1.3 TF-IDF coseno'!$N$10:$N$102,A43)</f>
        <v>0</v>
      </c>
      <c r="D43" s="15" t="n">
        <v>0.37151</v>
      </c>
      <c r="E43" s="15" t="n">
        <v>0.12492</v>
      </c>
      <c r="F43" s="15" t="n">
        <v>0.48203</v>
      </c>
      <c r="G43" s="15" t="n">
        <v>0.34265</v>
      </c>
      <c r="H43" s="15" t="n">
        <v>-0.53252</v>
      </c>
      <c r="I43" s="15" t="n">
        <v>-1.0904</v>
      </c>
      <c r="J43" s="15" t="n">
        <v>-0.41774</v>
      </c>
      <c r="K43" s="15" t="n">
        <v>0.17246</v>
      </c>
      <c r="L43" s="15" t="n">
        <v>-0.42863</v>
      </c>
      <c r="M43" s="15" t="n">
        <v>0.50825</v>
      </c>
      <c r="N43" s="15" t="n">
        <v>0.14463</v>
      </c>
      <c r="O43" s="15" t="n">
        <v>-0.42625</v>
      </c>
      <c r="P43" s="15" t="n">
        <v>0.063647</v>
      </c>
      <c r="Q43" s="15" t="n">
        <v>-0.20104</v>
      </c>
      <c r="R43" s="15" t="n">
        <v>0.13164</v>
      </c>
      <c r="S43" s="15" t="n">
        <v>-0.17989</v>
      </c>
      <c r="T43" s="15" t="n">
        <v>-0.81237</v>
      </c>
      <c r="U43" s="15" t="n">
        <v>0.0077878</v>
      </c>
      <c r="V43" s="15" t="n">
        <v>-0.20702</v>
      </c>
      <c r="W43" s="15" t="n">
        <v>-0.19865</v>
      </c>
      <c r="X43" s="15" t="n">
        <v>0.030514</v>
      </c>
      <c r="Y43" s="15" t="n">
        <v>-0.40302</v>
      </c>
      <c r="Z43" s="15" t="n">
        <v>0.19689</v>
      </c>
      <c r="AA43" s="15" t="n">
        <v>0.17368</v>
      </c>
      <c r="AB43" s="15" t="n">
        <v>-0.90734</v>
      </c>
      <c r="AC43" s="15" t="n">
        <v>-0.14164</v>
      </c>
      <c r="AD43" s="15" t="n">
        <v>0.073011</v>
      </c>
      <c r="AE43" s="15" t="n">
        <v>-0.85533</v>
      </c>
      <c r="AF43" s="15" t="n">
        <v>-0.1475</v>
      </c>
      <c r="AG43" s="15" t="n">
        <v>0.062572</v>
      </c>
      <c r="AH43" s="15" t="n">
        <v>0.85454</v>
      </c>
      <c r="AI43" s="15" t="n">
        <v>-0.11936</v>
      </c>
      <c r="AJ43" s="15" t="n">
        <v>-0.47136</v>
      </c>
      <c r="AK43" s="15" t="n">
        <v>-0.0059441</v>
      </c>
      <c r="AL43" s="15" t="n">
        <v>0.51892</v>
      </c>
      <c r="AM43" s="15" t="n">
        <v>0.50803</v>
      </c>
      <c r="AN43" s="15" t="n">
        <v>0.27646</v>
      </c>
      <c r="AO43" s="15" t="n">
        <v>-0.051447</v>
      </c>
      <c r="AP43" s="15" t="n">
        <v>-0.81079</v>
      </c>
      <c r="AQ43" s="15" t="n">
        <v>-0.0013587</v>
      </c>
      <c r="AR43" s="15" t="n">
        <v>-0.25861</v>
      </c>
      <c r="AS43" s="15" t="n">
        <v>-0.59463</v>
      </c>
      <c r="AT43" s="15" t="n">
        <v>-1.1449</v>
      </c>
      <c r="AU43" s="15" t="n">
        <v>-0.12607</v>
      </c>
      <c r="AV43" s="15" t="n">
        <v>1.1854</v>
      </c>
      <c r="AW43" s="15" t="n">
        <v>0.69659</v>
      </c>
      <c r="AX43" s="15" t="n">
        <v>0.16557</v>
      </c>
      <c r="AY43" s="15" t="n">
        <v>-0.41241</v>
      </c>
      <c r="AZ43" s="15" t="n">
        <v>-0.56711</v>
      </c>
      <c r="BA43" s="15" t="n">
        <v>-1.3684</v>
      </c>
      <c r="BB43" s="15" t="n">
        <v>0.45708</v>
      </c>
      <c r="BC43" s="15" t="n">
        <v>-0.76837</v>
      </c>
      <c r="BD43" s="15" t="n">
        <v>-0.46311</v>
      </c>
      <c r="BE43" s="15" t="n">
        <v>1.1206</v>
      </c>
      <c r="BF43" s="15" t="n">
        <v>-0.094846</v>
      </c>
      <c r="BG43" s="15" t="n">
        <v>-1.7086</v>
      </c>
      <c r="BH43" s="15" t="n">
        <v>0.17533</v>
      </c>
      <c r="BI43" s="15" t="n">
        <v>-0.77727</v>
      </c>
      <c r="BJ43" s="15" t="n">
        <v>1.6293</v>
      </c>
      <c r="BK43" s="15" t="n">
        <v>0.60417</v>
      </c>
      <c r="BL43" s="15" t="n">
        <v>-0.14096</v>
      </c>
      <c r="BM43" s="15" t="n">
        <v>0.55514</v>
      </c>
      <c r="BN43" s="15" t="n">
        <v>-0.15253</v>
      </c>
      <c r="BO43" s="15" t="n">
        <v>-0.23721</v>
      </c>
      <c r="BP43" s="15" t="n">
        <v>0.47462</v>
      </c>
      <c r="BQ43" s="15" t="n">
        <v>0.60675</v>
      </c>
      <c r="BR43" s="15" t="n">
        <v>0.21344</v>
      </c>
      <c r="BS43" s="15" t="n">
        <v>-0.83371</v>
      </c>
      <c r="BT43" s="15" t="n">
        <v>1.5349</v>
      </c>
      <c r="BU43" s="15" t="n">
        <v>-0.73888</v>
      </c>
      <c r="BV43" s="15" t="n">
        <v>0.83339</v>
      </c>
      <c r="BW43" s="15" t="n">
        <v>-0.53784</v>
      </c>
      <c r="BX43" s="15" t="n">
        <v>0.67911</v>
      </c>
      <c r="BY43" s="15" t="n">
        <v>0.62087</v>
      </c>
      <c r="BZ43" s="15" t="n">
        <v>-0.038974</v>
      </c>
      <c r="CA43" s="15" t="n">
        <v>0.1053</v>
      </c>
      <c r="CB43" s="15" t="n">
        <v>0.091047</v>
      </c>
      <c r="CC43" s="15" t="n">
        <v>-0.51749</v>
      </c>
      <c r="CD43" s="15" t="n">
        <v>-0.25665</v>
      </c>
      <c r="CE43" s="15" t="n">
        <v>-0.44836</v>
      </c>
      <c r="CF43" s="15" t="n">
        <v>0.676</v>
      </c>
      <c r="CG43" s="15" t="n">
        <v>0.49896</v>
      </c>
      <c r="CH43" s="15" t="n">
        <v>-0.73268</v>
      </c>
      <c r="CI43" s="15" t="n">
        <v>-0.85255</v>
      </c>
      <c r="CJ43" s="15" t="n">
        <v>-1.0909</v>
      </c>
      <c r="CK43" s="15" t="n">
        <v>0.36468</v>
      </c>
      <c r="CL43" s="15" t="n">
        <v>0.14992</v>
      </c>
      <c r="CM43" s="15" t="n">
        <v>-0.31225</v>
      </c>
      <c r="CN43" s="15" t="n">
        <v>-0.35467</v>
      </c>
      <c r="CO43" s="15" t="n">
        <v>0.44691</v>
      </c>
      <c r="CP43" s="15" t="n">
        <v>-0.7845</v>
      </c>
      <c r="CQ43" s="15" t="n">
        <v>0.13608</v>
      </c>
      <c r="CR43" s="15" t="n">
        <v>-0.82363</v>
      </c>
      <c r="CS43" s="15" t="n">
        <v>0.67803</v>
      </c>
      <c r="CT43" s="15" t="n">
        <v>-0.62217</v>
      </c>
      <c r="CU43" s="15" t="n">
        <v>0.07681</v>
      </c>
      <c r="CV43" s="15" t="n">
        <v>-0.11937</v>
      </c>
      <c r="CW43" s="15" t="n">
        <v>-0.86382</v>
      </c>
      <c r="CX43" s="15" t="n">
        <v>0.42931</v>
      </c>
      <c r="CY43" s="15" t="n">
        <v>-0.4262</v>
      </c>
    </row>
    <row r="44" customFormat="false" ht="15" hidden="false" customHeight="false" outlineLevel="0" collapsed="false">
      <c r="A44" s="4" t="s">
        <v>99</v>
      </c>
      <c r="B44" s="2" t="n">
        <f aca="false">COUNTIF('1.3 TF-IDF coseno'!$M$10:$M$123,A44)</f>
        <v>2</v>
      </c>
      <c r="C44" s="2" t="n">
        <f aca="false">COUNTIF('1.3 TF-IDF coseno'!$N$10:$N$102,A44)</f>
        <v>1</v>
      </c>
      <c r="D44" s="15" t="n">
        <v>0.70673</v>
      </c>
      <c r="E44" s="15" t="n">
        <v>0.86471</v>
      </c>
      <c r="F44" s="15" t="n">
        <v>-0.83727</v>
      </c>
      <c r="G44" s="15" t="n">
        <v>0.15436</v>
      </c>
      <c r="H44" s="15" t="n">
        <v>-0.4944</v>
      </c>
      <c r="I44" s="15" t="n">
        <v>1.0299</v>
      </c>
      <c r="J44" s="15" t="n">
        <v>-0.11453</v>
      </c>
      <c r="K44" s="15" t="n">
        <v>0.79932</v>
      </c>
      <c r="L44" s="15" t="n">
        <v>-0.28522</v>
      </c>
      <c r="M44" s="15" t="n">
        <v>0.86609</v>
      </c>
      <c r="N44" s="15" t="n">
        <v>-0.14492</v>
      </c>
      <c r="O44" s="15" t="n">
        <v>-0.37536</v>
      </c>
      <c r="P44" s="15" t="n">
        <v>0.51251</v>
      </c>
      <c r="Q44" s="15" t="n">
        <v>0.41327</v>
      </c>
      <c r="R44" s="15" t="n">
        <v>-0.26285</v>
      </c>
      <c r="S44" s="15" t="n">
        <v>-0.70845</v>
      </c>
      <c r="T44" s="15" t="n">
        <v>-0.14989</v>
      </c>
      <c r="U44" s="15" t="n">
        <v>0.21328</v>
      </c>
      <c r="V44" s="15" t="n">
        <v>-1.1831</v>
      </c>
      <c r="W44" s="15" t="n">
        <v>0.24621</v>
      </c>
      <c r="X44" s="15" t="n">
        <v>-0.55984</v>
      </c>
      <c r="Y44" s="15" t="n">
        <v>-0.4529</v>
      </c>
      <c r="Z44" s="15" t="n">
        <v>0.78105</v>
      </c>
      <c r="AA44" s="15" t="n">
        <v>-0.20887</v>
      </c>
      <c r="AB44" s="15" t="n">
        <v>-0.31902</v>
      </c>
      <c r="AC44" s="15" t="n">
        <v>-1.1216</v>
      </c>
      <c r="AD44" s="15" t="n">
        <v>0.063659</v>
      </c>
      <c r="AE44" s="15" t="n">
        <v>-0.69717</v>
      </c>
      <c r="AF44" s="15" t="n">
        <v>0.18688</v>
      </c>
      <c r="AG44" s="15" t="n">
        <v>0.017759</v>
      </c>
      <c r="AH44" s="15" t="n">
        <v>-0.60647</v>
      </c>
      <c r="AI44" s="15" t="n">
        <v>1.3094</v>
      </c>
      <c r="AJ44" s="15" t="n">
        <v>-0.44316</v>
      </c>
      <c r="AK44" s="15" t="n">
        <v>0.30371</v>
      </c>
      <c r="AL44" s="15" t="n">
        <v>-0.2147</v>
      </c>
      <c r="AM44" s="15" t="n">
        <v>-0.34592</v>
      </c>
      <c r="AN44" s="15" t="n">
        <v>-0.2291</v>
      </c>
      <c r="AO44" s="15" t="n">
        <v>0.52465</v>
      </c>
      <c r="AP44" s="15" t="n">
        <v>-0.52241</v>
      </c>
      <c r="AQ44" s="15" t="n">
        <v>0.46106</v>
      </c>
      <c r="AR44" s="15" t="n">
        <v>-1.3088</v>
      </c>
      <c r="AS44" s="15" t="n">
        <v>0.035748</v>
      </c>
      <c r="AT44" s="15" t="n">
        <v>-0.62277</v>
      </c>
      <c r="AU44" s="15" t="n">
        <v>-0.029915</v>
      </c>
      <c r="AV44" s="15" t="n">
        <v>0.087837</v>
      </c>
      <c r="AW44" s="15" t="n">
        <v>-0.20719</v>
      </c>
      <c r="AX44" s="15" t="n">
        <v>0.18123</v>
      </c>
      <c r="AY44" s="15" t="n">
        <v>0.33088</v>
      </c>
      <c r="AZ44" s="15" t="n">
        <v>0.007126</v>
      </c>
      <c r="BA44" s="15" t="n">
        <v>0.17205</v>
      </c>
      <c r="BB44" s="15" t="n">
        <v>-0.30017</v>
      </c>
      <c r="BC44" s="15" t="n">
        <v>-1.0532</v>
      </c>
      <c r="BD44" s="15" t="n">
        <v>-0.76064</v>
      </c>
      <c r="BE44" s="15" t="n">
        <v>0.6422</v>
      </c>
      <c r="BF44" s="15" t="n">
        <v>-0.41608</v>
      </c>
      <c r="BG44" s="15" t="n">
        <v>-1.6748</v>
      </c>
      <c r="BH44" s="15" t="n">
        <v>0.5319</v>
      </c>
      <c r="BI44" s="15" t="n">
        <v>-0.91199</v>
      </c>
      <c r="BJ44" s="15" t="n">
        <v>1.939</v>
      </c>
      <c r="BK44" s="15" t="n">
        <v>-0.25411</v>
      </c>
      <c r="BL44" s="15" t="n">
        <v>-0.41581</v>
      </c>
      <c r="BM44" s="15" t="n">
        <v>0.80451</v>
      </c>
      <c r="BN44" s="15" t="n">
        <v>-0.070708</v>
      </c>
      <c r="BO44" s="15" t="n">
        <v>-0.10532</v>
      </c>
      <c r="BP44" s="15" t="n">
        <v>0.31099</v>
      </c>
      <c r="BQ44" s="15" t="n">
        <v>0.22927</v>
      </c>
      <c r="BR44" s="15" t="n">
        <v>0.51937</v>
      </c>
      <c r="BS44" s="15" t="n">
        <v>0.13993</v>
      </c>
      <c r="BT44" s="15" t="n">
        <v>0.96908</v>
      </c>
      <c r="BU44" s="15" t="n">
        <v>0.3111</v>
      </c>
      <c r="BV44" s="15" t="n">
        <v>0.0060325</v>
      </c>
      <c r="BW44" s="15" t="n">
        <v>-0.083566</v>
      </c>
      <c r="BX44" s="15" t="n">
        <v>-0.22795</v>
      </c>
      <c r="BY44" s="15" t="n">
        <v>-0.49106</v>
      </c>
      <c r="BZ44" s="15" t="n">
        <v>-0.77342</v>
      </c>
      <c r="CA44" s="15" t="n">
        <v>1.1813</v>
      </c>
      <c r="CB44" s="15" t="n">
        <v>0.41669</v>
      </c>
      <c r="CC44" s="15" t="n">
        <v>0.19816</v>
      </c>
      <c r="CD44" s="15" t="n">
        <v>-0.11443</v>
      </c>
      <c r="CE44" s="15" t="n">
        <v>-1.3588</v>
      </c>
      <c r="CF44" s="15" t="n">
        <v>0.50379</v>
      </c>
      <c r="CG44" s="15" t="n">
        <v>0.11774</v>
      </c>
      <c r="CH44" s="15" t="n">
        <v>-0.75622</v>
      </c>
      <c r="CI44" s="15" t="n">
        <v>-1.201</v>
      </c>
      <c r="CJ44" s="15" t="n">
        <v>-2.0353</v>
      </c>
      <c r="CK44" s="15" t="n">
        <v>-0.10587</v>
      </c>
      <c r="CL44" s="15" t="n">
        <v>-0.15411</v>
      </c>
      <c r="CM44" s="15" t="n">
        <v>-0.49367</v>
      </c>
      <c r="CN44" s="15" t="n">
        <v>0.056606</v>
      </c>
      <c r="CO44" s="15" t="n">
        <v>-0.13837</v>
      </c>
      <c r="CP44" s="15" t="n">
        <v>-0.16676</v>
      </c>
      <c r="CQ44" s="15" t="n">
        <v>0.032055</v>
      </c>
      <c r="CR44" s="15" t="n">
        <v>0.15346</v>
      </c>
      <c r="CS44" s="15" t="n">
        <v>0.03937</v>
      </c>
      <c r="CT44" s="15" t="n">
        <v>-1.3166</v>
      </c>
      <c r="CU44" s="15" t="n">
        <v>0.13007</v>
      </c>
      <c r="CV44" s="15" t="n">
        <v>-0.49917</v>
      </c>
      <c r="CW44" s="15" t="n">
        <v>-0.15798</v>
      </c>
      <c r="CX44" s="15" t="n">
        <v>0.68523</v>
      </c>
      <c r="CY44" s="15" t="n">
        <v>0.1016</v>
      </c>
    </row>
    <row r="45" customFormat="false" ht="15" hidden="false" customHeight="false" outlineLevel="0" collapsed="false">
      <c r="A45" s="4" t="s">
        <v>179</v>
      </c>
      <c r="B45" s="2" t="n">
        <f aca="false">COUNTIF('1.3 TF-IDF coseno'!$M$10:$M$123,A45)</f>
        <v>3</v>
      </c>
      <c r="C45" s="2" t="n">
        <f aca="false">COUNTIF('1.3 TF-IDF coseno'!$N$10:$N$102,A45)</f>
        <v>0</v>
      </c>
      <c r="D45" s="15" t="n">
        <v>0.63644</v>
      </c>
      <c r="E45" s="15" t="n">
        <v>0.89697</v>
      </c>
      <c r="F45" s="15" t="n">
        <v>-0.55479</v>
      </c>
      <c r="G45" s="15" t="n">
        <v>0.16692</v>
      </c>
      <c r="H45" s="15" t="n">
        <v>-0.636</v>
      </c>
      <c r="I45" s="15" t="n">
        <v>0.59528</v>
      </c>
      <c r="J45" s="15" t="n">
        <v>-0.37779</v>
      </c>
      <c r="K45" s="15" t="n">
        <v>0.50619</v>
      </c>
      <c r="L45" s="15" t="n">
        <v>-0.6341</v>
      </c>
      <c r="M45" s="15" t="n">
        <v>0.68042</v>
      </c>
      <c r="N45" s="15" t="n">
        <v>-0.33445</v>
      </c>
      <c r="O45" s="15" t="n">
        <v>-0.6232</v>
      </c>
      <c r="P45" s="15" t="n">
        <v>0.4692</v>
      </c>
      <c r="Q45" s="15" t="n">
        <v>0.28373</v>
      </c>
      <c r="R45" s="15" t="n">
        <v>-0.60324</v>
      </c>
      <c r="S45" s="15" t="n">
        <v>-1.0873</v>
      </c>
      <c r="T45" s="15" t="n">
        <v>0.15562</v>
      </c>
      <c r="U45" s="15" t="n">
        <v>0.38458</v>
      </c>
      <c r="V45" s="15" t="n">
        <v>-0.98902</v>
      </c>
      <c r="W45" s="15" t="n">
        <v>0.62445</v>
      </c>
      <c r="X45" s="15" t="n">
        <v>-0.3771</v>
      </c>
      <c r="Y45" s="15" t="n">
        <v>-0.19865</v>
      </c>
      <c r="Z45" s="15" t="n">
        <v>0.19224</v>
      </c>
      <c r="AA45" s="15" t="n">
        <v>-0.22799</v>
      </c>
      <c r="AB45" s="15" t="n">
        <v>-0.41436</v>
      </c>
      <c r="AC45" s="15" t="n">
        <v>-1.1312</v>
      </c>
      <c r="AD45" s="15" t="n">
        <v>-0.24229</v>
      </c>
      <c r="AE45" s="15" t="n">
        <v>-0.4048</v>
      </c>
      <c r="AF45" s="15" t="n">
        <v>0.023834</v>
      </c>
      <c r="AG45" s="15" t="n">
        <v>0.084211</v>
      </c>
      <c r="AH45" s="15" t="n">
        <v>-0.12977</v>
      </c>
      <c r="AI45" s="15" t="n">
        <v>0.78675</v>
      </c>
      <c r="AJ45" s="15" t="n">
        <v>-0.46019</v>
      </c>
      <c r="AK45" s="15" t="n">
        <v>-0.068869</v>
      </c>
      <c r="AL45" s="15" t="n">
        <v>-0.66734</v>
      </c>
      <c r="AM45" s="15" t="n">
        <v>-0.2014</v>
      </c>
      <c r="AN45" s="15" t="n">
        <v>-0.33404</v>
      </c>
      <c r="AO45" s="15" t="n">
        <v>0.13499</v>
      </c>
      <c r="AP45" s="15" t="n">
        <v>0.10524</v>
      </c>
      <c r="AQ45" s="15" t="n">
        <v>-0.027053</v>
      </c>
      <c r="AR45" s="15" t="n">
        <v>-0.77037</v>
      </c>
      <c r="AS45" s="15" t="n">
        <v>0.6814</v>
      </c>
      <c r="AT45" s="15" t="n">
        <v>-0.18066</v>
      </c>
      <c r="AU45" s="15" t="n">
        <v>-0.24946</v>
      </c>
      <c r="AV45" s="15" t="n">
        <v>0.064138</v>
      </c>
      <c r="AW45" s="15" t="n">
        <v>-0.42943</v>
      </c>
      <c r="AX45" s="15" t="n">
        <v>-0.31907</v>
      </c>
      <c r="AY45" s="15" t="n">
        <v>0.0063241</v>
      </c>
      <c r="AZ45" s="15" t="n">
        <v>-0.046902</v>
      </c>
      <c r="BA45" s="15" t="n">
        <v>-0.15843</v>
      </c>
      <c r="BB45" s="15" t="n">
        <v>-0.64236</v>
      </c>
      <c r="BC45" s="15" t="n">
        <v>-0.70331</v>
      </c>
      <c r="BD45" s="15" t="n">
        <v>-1.2705</v>
      </c>
      <c r="BE45" s="15" t="n">
        <v>0.85754</v>
      </c>
      <c r="BF45" s="15" t="n">
        <v>-0.28618</v>
      </c>
      <c r="BG45" s="15" t="n">
        <v>-0.66677</v>
      </c>
      <c r="BH45" s="15" t="n">
        <v>0.52614</v>
      </c>
      <c r="BI45" s="15" t="n">
        <v>-0.71708</v>
      </c>
      <c r="BJ45" s="15" t="n">
        <v>1.5894</v>
      </c>
      <c r="BK45" s="15" t="n">
        <v>-0.16152</v>
      </c>
      <c r="BL45" s="15" t="n">
        <v>0.12148</v>
      </c>
      <c r="BM45" s="15" t="n">
        <v>0.39531</v>
      </c>
      <c r="BN45" s="15" t="n">
        <v>-0.1265</v>
      </c>
      <c r="BO45" s="15" t="n">
        <v>-0.23521</v>
      </c>
      <c r="BP45" s="15" t="n">
        <v>0.1035</v>
      </c>
      <c r="BQ45" s="15" t="n">
        <v>-0.17569</v>
      </c>
      <c r="BR45" s="15" t="n">
        <v>0.37355</v>
      </c>
      <c r="BS45" s="15" t="n">
        <v>0.29325</v>
      </c>
      <c r="BT45" s="15" t="n">
        <v>0.77227</v>
      </c>
      <c r="BU45" s="15" t="n">
        <v>-0.070223</v>
      </c>
      <c r="BV45" s="15" t="n">
        <v>-0.030374</v>
      </c>
      <c r="BW45" s="15" t="n">
        <v>0.33196</v>
      </c>
      <c r="BX45" s="15" t="n">
        <v>-0.29234</v>
      </c>
      <c r="BY45" s="15" t="n">
        <v>-0.21884</v>
      </c>
      <c r="BZ45" s="15" t="n">
        <v>-0.18159</v>
      </c>
      <c r="CA45" s="15" t="n">
        <v>0.75274</v>
      </c>
      <c r="CB45" s="15" t="n">
        <v>0.41404</v>
      </c>
      <c r="CC45" s="15" t="n">
        <v>0.25129</v>
      </c>
      <c r="CD45" s="15" t="n">
        <v>-0.28024</v>
      </c>
      <c r="CE45" s="15" t="n">
        <v>-1.1066</v>
      </c>
      <c r="CF45" s="15" t="n">
        <v>0.02877</v>
      </c>
      <c r="CG45" s="15" t="n">
        <v>-0.1921</v>
      </c>
      <c r="CH45" s="15" t="n">
        <v>-0.6616</v>
      </c>
      <c r="CI45" s="15" t="n">
        <v>-1.4498</v>
      </c>
      <c r="CJ45" s="15" t="n">
        <v>-2.1839</v>
      </c>
      <c r="CK45" s="15" t="n">
        <v>0.19609</v>
      </c>
      <c r="CL45" s="15" t="n">
        <v>-0.045645</v>
      </c>
      <c r="CM45" s="15" t="n">
        <v>0.27083</v>
      </c>
      <c r="CN45" s="15" t="n">
        <v>-0.30984</v>
      </c>
      <c r="CO45" s="15" t="n">
        <v>-0.17295</v>
      </c>
      <c r="CP45" s="15" t="n">
        <v>0.28255</v>
      </c>
      <c r="CQ45" s="15" t="n">
        <v>-0.21722</v>
      </c>
      <c r="CR45" s="15" t="n">
        <v>-0.14885</v>
      </c>
      <c r="CS45" s="15" t="n">
        <v>0.11067</v>
      </c>
      <c r="CT45" s="15" t="n">
        <v>-1.0465</v>
      </c>
      <c r="CU45" s="15" t="n">
        <v>0.18228</v>
      </c>
      <c r="CV45" s="15" t="n">
        <v>-0.28764</v>
      </c>
      <c r="CW45" s="15" t="n">
        <v>-0.09639</v>
      </c>
      <c r="CX45" s="15" t="n">
        <v>0.31663</v>
      </c>
      <c r="CY45" s="15" t="n">
        <v>-0.019336</v>
      </c>
    </row>
    <row r="46" customFormat="false" ht="15" hidden="false" customHeight="false" outlineLevel="0" collapsed="false">
      <c r="A46" s="4" t="s">
        <v>180</v>
      </c>
      <c r="B46" s="2" t="n">
        <f aca="false">COUNTIF('1.3 TF-IDF coseno'!$M$10:$M$123,A46)</f>
        <v>2</v>
      </c>
      <c r="C46" s="2" t="n">
        <f aca="false">COUNTIF('1.3 TF-IDF coseno'!$N$10:$N$102,A46)</f>
        <v>0</v>
      </c>
      <c r="D46" s="15" t="n">
        <v>0.62379</v>
      </c>
      <c r="E46" s="15" t="n">
        <v>0.65862</v>
      </c>
      <c r="F46" s="15" t="n">
        <v>-0.62118</v>
      </c>
      <c r="G46" s="15" t="n">
        <v>0.46643</v>
      </c>
      <c r="H46" s="15" t="n">
        <v>-0.0077743</v>
      </c>
      <c r="I46" s="15" t="n">
        <v>0.35403</v>
      </c>
      <c r="J46" s="15" t="n">
        <v>-0.83801</v>
      </c>
      <c r="K46" s="15" t="n">
        <v>-0.23489</v>
      </c>
      <c r="L46" s="15" t="n">
        <v>-0.12226</v>
      </c>
      <c r="M46" s="15" t="n">
        <v>0.093154</v>
      </c>
      <c r="N46" s="15" t="n">
        <v>0.0086459</v>
      </c>
      <c r="O46" s="15" t="n">
        <v>0.077014</v>
      </c>
      <c r="P46" s="15" t="n">
        <v>0.72117</v>
      </c>
      <c r="Q46" s="15" t="n">
        <v>0.44846</v>
      </c>
      <c r="R46" s="15" t="n">
        <v>-0.72066</v>
      </c>
      <c r="S46" s="15" t="n">
        <v>-0.18973</v>
      </c>
      <c r="T46" s="15" t="n">
        <v>0.26274</v>
      </c>
      <c r="U46" s="15" t="n">
        <v>0.47555</v>
      </c>
      <c r="V46" s="15" t="n">
        <v>-0.74337</v>
      </c>
      <c r="W46" s="15" t="n">
        <v>0.53092</v>
      </c>
      <c r="X46" s="15" t="n">
        <v>-0.73012</v>
      </c>
      <c r="Y46" s="15" t="n">
        <v>0.65258</v>
      </c>
      <c r="Z46" s="15" t="n">
        <v>0.28979</v>
      </c>
      <c r="AA46" s="15" t="n">
        <v>-0.45305</v>
      </c>
      <c r="AB46" s="15" t="n">
        <v>-0.74022</v>
      </c>
      <c r="AC46" s="15" t="n">
        <v>-1.1498</v>
      </c>
      <c r="AD46" s="15" t="n">
        <v>0.28145</v>
      </c>
      <c r="AE46" s="15" t="n">
        <v>-0.74696</v>
      </c>
      <c r="AF46" s="15" t="n">
        <v>-0.32698</v>
      </c>
      <c r="AG46" s="15" t="n">
        <v>0.41134</v>
      </c>
      <c r="AH46" s="15" t="n">
        <v>0.77507</v>
      </c>
      <c r="AI46" s="15" t="n">
        <v>0.1819</v>
      </c>
      <c r="AJ46" s="15" t="n">
        <v>-0.65048</v>
      </c>
      <c r="AK46" s="15" t="n">
        <v>-0.22202</v>
      </c>
      <c r="AL46" s="15" t="n">
        <v>-0.21416</v>
      </c>
      <c r="AM46" s="15" t="n">
        <v>-0.23126</v>
      </c>
      <c r="AN46" s="15" t="n">
        <v>0.17774</v>
      </c>
      <c r="AO46" s="15" t="n">
        <v>-0.12745</v>
      </c>
      <c r="AP46" s="15" t="n">
        <v>-0.96312</v>
      </c>
      <c r="AQ46" s="15" t="n">
        <v>-0.32027</v>
      </c>
      <c r="AR46" s="15" t="n">
        <v>-0.35773</v>
      </c>
      <c r="AS46" s="15" t="n">
        <v>-0.43585</v>
      </c>
      <c r="AT46" s="15" t="n">
        <v>-0.67662</v>
      </c>
      <c r="AU46" s="15" t="n">
        <v>0.27645</v>
      </c>
      <c r="AV46" s="15" t="n">
        <v>-0.033193</v>
      </c>
      <c r="AW46" s="15" t="n">
        <v>-0.27468</v>
      </c>
      <c r="AX46" s="15" t="n">
        <v>0.66244</v>
      </c>
      <c r="AY46" s="15" t="n">
        <v>0.78953</v>
      </c>
      <c r="AZ46" s="15" t="n">
        <v>-0.72064</v>
      </c>
      <c r="BA46" s="15" t="n">
        <v>-0.61421</v>
      </c>
      <c r="BB46" s="15" t="n">
        <v>-0.47233</v>
      </c>
      <c r="BC46" s="15" t="n">
        <v>0.0049012</v>
      </c>
      <c r="BD46" s="15" t="n">
        <v>-0.14283</v>
      </c>
      <c r="BE46" s="15" t="n">
        <v>0.36393</v>
      </c>
      <c r="BF46" s="15" t="n">
        <v>-0.084798</v>
      </c>
      <c r="BG46" s="15" t="n">
        <v>-1.4646</v>
      </c>
      <c r="BH46" s="15" t="n">
        <v>0.46927</v>
      </c>
      <c r="BI46" s="15" t="n">
        <v>-0.82857</v>
      </c>
      <c r="BJ46" s="15" t="n">
        <v>1.6544</v>
      </c>
      <c r="BK46" s="15" t="n">
        <v>0.89799</v>
      </c>
      <c r="BL46" s="15" t="n">
        <v>-0.38566</v>
      </c>
      <c r="BM46" s="15" t="n">
        <v>-0.074654</v>
      </c>
      <c r="BN46" s="15" t="n">
        <v>-0.31412</v>
      </c>
      <c r="BO46" s="15" t="n">
        <v>0.34715</v>
      </c>
      <c r="BP46" s="15" t="n">
        <v>0.096791</v>
      </c>
      <c r="BQ46" s="15" t="n">
        <v>0.23063</v>
      </c>
      <c r="BR46" s="15" t="n">
        <v>-0.54748</v>
      </c>
      <c r="BS46" s="15" t="n">
        <v>0.59704</v>
      </c>
      <c r="BT46" s="15" t="n">
        <v>1.2522</v>
      </c>
      <c r="BU46" s="15" t="n">
        <v>-0.38579</v>
      </c>
      <c r="BV46" s="15" t="n">
        <v>0.30114</v>
      </c>
      <c r="BW46" s="15" t="n">
        <v>-0.29547</v>
      </c>
      <c r="BX46" s="15" t="n">
        <v>-0.55225</v>
      </c>
      <c r="BY46" s="15" t="n">
        <v>-0.23017</v>
      </c>
      <c r="BZ46" s="15" t="n">
        <v>-0.16788</v>
      </c>
      <c r="CA46" s="15" t="n">
        <v>-0.3565</v>
      </c>
      <c r="CB46" s="15" t="n">
        <v>-0.47249</v>
      </c>
      <c r="CC46" s="15" t="n">
        <v>0.41897</v>
      </c>
      <c r="CD46" s="15" t="n">
        <v>-0.63804</v>
      </c>
      <c r="CE46" s="15" t="n">
        <v>-0.68213</v>
      </c>
      <c r="CF46" s="15" t="n">
        <v>1.1456</v>
      </c>
      <c r="CG46" s="15" t="n">
        <v>0.51517</v>
      </c>
      <c r="CH46" s="15" t="n">
        <v>-0.28443</v>
      </c>
      <c r="CI46" s="15" t="n">
        <v>0.039928</v>
      </c>
      <c r="CJ46" s="15" t="n">
        <v>-1.4852</v>
      </c>
      <c r="CK46" s="15" t="n">
        <v>0.73134</v>
      </c>
      <c r="CL46" s="15" t="n">
        <v>-0.34003</v>
      </c>
      <c r="CM46" s="15" t="n">
        <v>0.0036444</v>
      </c>
      <c r="CN46" s="15" t="n">
        <v>0.14282</v>
      </c>
      <c r="CO46" s="15" t="n">
        <v>-0.7346</v>
      </c>
      <c r="CP46" s="15" t="n">
        <v>-0.16028</v>
      </c>
      <c r="CQ46" s="15" t="n">
        <v>-0.23642</v>
      </c>
      <c r="CR46" s="15" t="n">
        <v>0.02056</v>
      </c>
      <c r="CS46" s="15" t="n">
        <v>-0.25593</v>
      </c>
      <c r="CT46" s="15" t="n">
        <v>-0.90123</v>
      </c>
      <c r="CU46" s="15" t="n">
        <v>0.91139</v>
      </c>
      <c r="CV46" s="15" t="n">
        <v>0.57081</v>
      </c>
      <c r="CW46" s="15" t="n">
        <v>-0.87759</v>
      </c>
      <c r="CX46" s="15" t="n">
        <v>0.56946</v>
      </c>
      <c r="CY46" s="15" t="n">
        <v>0.48488</v>
      </c>
    </row>
    <row r="47" customFormat="false" ht="15" hidden="false" customHeight="false" outlineLevel="0" collapsed="false">
      <c r="A47" s="4" t="s">
        <v>181</v>
      </c>
      <c r="B47" s="2" t="n">
        <f aca="false">COUNTIF('1.3 TF-IDF coseno'!$M$10:$M$123,A47)</f>
        <v>1</v>
      </c>
      <c r="C47" s="2" t="n">
        <f aca="false">COUNTIF('1.3 TF-IDF coseno'!$N$10:$N$102,A47)</f>
        <v>0</v>
      </c>
      <c r="D47" s="15" t="n">
        <v>-1.0763</v>
      </c>
      <c r="E47" s="15" t="n">
        <v>0.31762</v>
      </c>
      <c r="F47" s="15" t="n">
        <v>-0.031906</v>
      </c>
      <c r="G47" s="15" t="n">
        <v>0.024263</v>
      </c>
      <c r="H47" s="15" t="n">
        <v>-0.30638</v>
      </c>
      <c r="I47" s="15" t="n">
        <v>-0.64081</v>
      </c>
      <c r="J47" s="15" t="n">
        <v>-0.06614</v>
      </c>
      <c r="K47" s="15" t="n">
        <v>0.025056</v>
      </c>
      <c r="L47" s="15" t="n">
        <v>-0.70855</v>
      </c>
      <c r="M47" s="15" t="n">
        <v>0.69825</v>
      </c>
      <c r="N47" s="15" t="n">
        <v>0.46656</v>
      </c>
      <c r="O47" s="15" t="n">
        <v>0.0331</v>
      </c>
      <c r="P47" s="15" t="n">
        <v>0.43651</v>
      </c>
      <c r="Q47" s="15" t="n">
        <v>0.291</v>
      </c>
      <c r="R47" s="15" t="n">
        <v>0.42842</v>
      </c>
      <c r="S47" s="15" t="n">
        <v>0.71267</v>
      </c>
      <c r="T47" s="15" t="n">
        <v>0.080065</v>
      </c>
      <c r="U47" s="15" t="n">
        <v>0.099625</v>
      </c>
      <c r="V47" s="15" t="n">
        <v>0.68572</v>
      </c>
      <c r="W47" s="15" t="n">
        <v>-0.04298</v>
      </c>
      <c r="X47" s="15" t="n">
        <v>-0.24229</v>
      </c>
      <c r="Y47" s="15" t="n">
        <v>-0.46646</v>
      </c>
      <c r="Z47" s="15" t="n">
        <v>0.056263</v>
      </c>
      <c r="AA47" s="15" t="n">
        <v>0.089044</v>
      </c>
      <c r="AB47" s="15" t="n">
        <v>-1.0252</v>
      </c>
      <c r="AC47" s="15" t="n">
        <v>-0.50993</v>
      </c>
      <c r="AD47" s="15" t="n">
        <v>0.12595</v>
      </c>
      <c r="AE47" s="15" t="n">
        <v>0.42527</v>
      </c>
      <c r="AF47" s="15" t="n">
        <v>-0.46794</v>
      </c>
      <c r="AG47" s="15" t="n">
        <v>-0.082495</v>
      </c>
      <c r="AH47" s="15" t="n">
        <v>-0.23144</v>
      </c>
      <c r="AI47" s="15" t="n">
        <v>-0.19048</v>
      </c>
      <c r="AJ47" s="15" t="n">
        <v>-0.6032</v>
      </c>
      <c r="AK47" s="15" t="n">
        <v>0.19435</v>
      </c>
      <c r="AL47" s="15" t="n">
        <v>0.38548</v>
      </c>
      <c r="AM47" s="15" t="n">
        <v>0.20557</v>
      </c>
      <c r="AN47" s="15" t="n">
        <v>0.23004</v>
      </c>
      <c r="AO47" s="15" t="n">
        <v>-0.1184</v>
      </c>
      <c r="AP47" s="15" t="n">
        <v>-0.86349</v>
      </c>
      <c r="AQ47" s="15" t="n">
        <v>-0.32794</v>
      </c>
      <c r="AR47" s="15" t="n">
        <v>-0.65424</v>
      </c>
      <c r="AS47" s="15" t="n">
        <v>-0.2058</v>
      </c>
      <c r="AT47" s="15" t="n">
        <v>-1.3259</v>
      </c>
      <c r="AU47" s="15" t="n">
        <v>0.33124</v>
      </c>
      <c r="AV47" s="15" t="n">
        <v>-0.8505</v>
      </c>
      <c r="AW47" s="15" t="n">
        <v>-0.53852</v>
      </c>
      <c r="AX47" s="15" t="n">
        <v>0.075334</v>
      </c>
      <c r="AY47" s="15" t="n">
        <v>-0.33028</v>
      </c>
      <c r="AZ47" s="15" t="n">
        <v>-0.80347</v>
      </c>
      <c r="BA47" s="15" t="n">
        <v>0.057848</v>
      </c>
      <c r="BB47" s="15" t="n">
        <v>0.82079</v>
      </c>
      <c r="BC47" s="15" t="n">
        <v>0.032306</v>
      </c>
      <c r="BD47" s="15" t="n">
        <v>0.078225</v>
      </c>
      <c r="BE47" s="15" t="n">
        <v>0.3216</v>
      </c>
      <c r="BF47" s="15" t="n">
        <v>0.30939</v>
      </c>
      <c r="BG47" s="15" t="n">
        <v>-0.23563</v>
      </c>
      <c r="BH47" s="15" t="n">
        <v>0.40799</v>
      </c>
      <c r="BI47" s="15" t="n">
        <v>-0.59938</v>
      </c>
      <c r="BJ47" s="15" t="n">
        <v>0.23628</v>
      </c>
      <c r="BK47" s="15" t="n">
        <v>0.60305</v>
      </c>
      <c r="BL47" s="15" t="n">
        <v>-0.31875</v>
      </c>
      <c r="BM47" s="15" t="n">
        <v>0.58173</v>
      </c>
      <c r="BN47" s="15" t="n">
        <v>0.44906</v>
      </c>
      <c r="BO47" s="15" t="n">
        <v>0.1202</v>
      </c>
      <c r="BP47" s="15" t="n">
        <v>0.78126</v>
      </c>
      <c r="BQ47" s="15" t="n">
        <v>0.079865</v>
      </c>
      <c r="BR47" s="15" t="n">
        <v>-0.51519</v>
      </c>
      <c r="BS47" s="15" t="n">
        <v>0.095839</v>
      </c>
      <c r="BT47" s="15" t="n">
        <v>0.25619</v>
      </c>
      <c r="BU47" s="15" t="n">
        <v>0.28752</v>
      </c>
      <c r="BV47" s="15" t="n">
        <v>-0.087307</v>
      </c>
      <c r="BW47" s="15" t="n">
        <v>1.0504</v>
      </c>
      <c r="BX47" s="15" t="n">
        <v>0.7127</v>
      </c>
      <c r="BY47" s="15" t="n">
        <v>-0.31557</v>
      </c>
      <c r="BZ47" s="15" t="n">
        <v>-0.29288</v>
      </c>
      <c r="CA47" s="15" t="n">
        <v>-0.0869</v>
      </c>
      <c r="CB47" s="15" t="n">
        <v>-0.030086</v>
      </c>
      <c r="CC47" s="15" t="n">
        <v>-0.10791</v>
      </c>
      <c r="CD47" s="15" t="n">
        <v>-0.90177</v>
      </c>
      <c r="CE47" s="15" t="n">
        <v>-0.037321</v>
      </c>
      <c r="CF47" s="15" t="n">
        <v>0.27728</v>
      </c>
      <c r="CG47" s="15" t="n">
        <v>0.71854</v>
      </c>
      <c r="CH47" s="15" t="n">
        <v>-0.19312</v>
      </c>
      <c r="CI47" s="15" t="n">
        <v>-0.10481</v>
      </c>
      <c r="CJ47" s="15" t="n">
        <v>-1.3979</v>
      </c>
      <c r="CK47" s="15" t="n">
        <v>-0.21017</v>
      </c>
      <c r="CL47" s="15" t="n">
        <v>0.11624</v>
      </c>
      <c r="CM47" s="15" t="n">
        <v>0.082338</v>
      </c>
      <c r="CN47" s="15" t="n">
        <v>-0.64216</v>
      </c>
      <c r="CO47" s="15" t="n">
        <v>-0.058175</v>
      </c>
      <c r="CP47" s="15" t="n">
        <v>-0.042829</v>
      </c>
      <c r="CQ47" s="15" t="n">
        <v>-0.12152</v>
      </c>
      <c r="CR47" s="15" t="n">
        <v>-0.23308</v>
      </c>
      <c r="CS47" s="15" t="n">
        <v>-0.088801</v>
      </c>
      <c r="CT47" s="15" t="n">
        <v>0.52726</v>
      </c>
      <c r="CU47" s="15" t="n">
        <v>0.39358</v>
      </c>
      <c r="CV47" s="15" t="n">
        <v>-0.13769</v>
      </c>
      <c r="CW47" s="15" t="n">
        <v>-0.93441</v>
      </c>
      <c r="CX47" s="15" t="n">
        <v>-0.16583</v>
      </c>
      <c r="CY47" s="15" t="n">
        <v>0.70985</v>
      </c>
    </row>
    <row r="48" customFormat="false" ht="15" hidden="false" customHeight="false" outlineLevel="0" collapsed="false">
      <c r="A48" s="4" t="s">
        <v>182</v>
      </c>
      <c r="B48" s="2" t="n">
        <f aca="false">COUNTIF('1.3 TF-IDF coseno'!$M$10:$M$123,A48)</f>
        <v>2</v>
      </c>
      <c r="C48" s="2" t="n">
        <f aca="false">COUNTIF('1.3 TF-IDF coseno'!$N$10:$N$102,A48)</f>
        <v>0</v>
      </c>
      <c r="D48" s="15" t="n">
        <v>-0.13204</v>
      </c>
      <c r="E48" s="15" t="n">
        <v>-0.12499</v>
      </c>
      <c r="F48" s="15" t="n">
        <v>-0.12947</v>
      </c>
      <c r="G48" s="15" t="n">
        <v>0.29581</v>
      </c>
      <c r="H48" s="15" t="n">
        <v>0.12066</v>
      </c>
      <c r="I48" s="15" t="n">
        <v>-0.52843</v>
      </c>
      <c r="J48" s="15" t="n">
        <v>-0.10603</v>
      </c>
      <c r="K48" s="15" t="n">
        <v>0.021838</v>
      </c>
      <c r="L48" s="15" t="n">
        <v>0.10903</v>
      </c>
      <c r="M48" s="15" t="n">
        <v>-0.025411</v>
      </c>
      <c r="N48" s="15" t="n">
        <v>-0.3281</v>
      </c>
      <c r="O48" s="15" t="n">
        <v>0.044316</v>
      </c>
      <c r="P48" s="15" t="n">
        <v>0.16355</v>
      </c>
      <c r="Q48" s="15" t="n">
        <v>-0.16972</v>
      </c>
      <c r="R48" s="15" t="n">
        <v>0.39179</v>
      </c>
      <c r="S48" s="15" t="n">
        <v>0.022003</v>
      </c>
      <c r="T48" s="15" t="n">
        <v>-0.2769</v>
      </c>
      <c r="U48" s="15" t="n">
        <v>-0.3642</v>
      </c>
      <c r="V48" s="15" t="n">
        <v>-0.48698</v>
      </c>
      <c r="W48" s="15" t="n">
        <v>-0.048066</v>
      </c>
      <c r="X48" s="15" t="n">
        <v>-0.10814</v>
      </c>
      <c r="Y48" s="15" t="n">
        <v>-0.35349</v>
      </c>
      <c r="Z48" s="15" t="n">
        <v>-0.36032</v>
      </c>
      <c r="AA48" s="15" t="n">
        <v>-0.23154</v>
      </c>
      <c r="AB48" s="15" t="n">
        <v>-0.60039</v>
      </c>
      <c r="AC48" s="15" t="n">
        <v>-0.18034</v>
      </c>
      <c r="AD48" s="15" t="n">
        <v>0.034622</v>
      </c>
      <c r="AE48" s="15" t="n">
        <v>-0.4326</v>
      </c>
      <c r="AF48" s="15" t="n">
        <v>-0.25542</v>
      </c>
      <c r="AG48" s="15" t="n">
        <v>0.31611</v>
      </c>
      <c r="AH48" s="15" t="n">
        <v>0.17989</v>
      </c>
      <c r="AI48" s="15" t="n">
        <v>0.42802</v>
      </c>
      <c r="AJ48" s="15" t="n">
        <v>-0.30176</v>
      </c>
      <c r="AK48" s="15" t="n">
        <v>-0.12261</v>
      </c>
      <c r="AL48" s="15" t="n">
        <v>0.089033</v>
      </c>
      <c r="AM48" s="15" t="n">
        <v>0.28726</v>
      </c>
      <c r="AN48" s="15" t="n">
        <v>0.41301</v>
      </c>
      <c r="AO48" s="15" t="n">
        <v>0.15753</v>
      </c>
      <c r="AP48" s="15" t="n">
        <v>-0.0015084</v>
      </c>
      <c r="AQ48" s="15" t="n">
        <v>-0.028368</v>
      </c>
      <c r="AR48" s="15" t="n">
        <v>-1.0878</v>
      </c>
      <c r="AS48" s="15" t="n">
        <v>-0.26412</v>
      </c>
      <c r="AT48" s="15" t="n">
        <v>0.28893</v>
      </c>
      <c r="AU48" s="15" t="n">
        <v>0.017254</v>
      </c>
      <c r="AV48" s="15" t="n">
        <v>-0.36368</v>
      </c>
      <c r="AW48" s="15" t="n">
        <v>-0.38738</v>
      </c>
      <c r="AX48" s="15" t="n">
        <v>0.020325</v>
      </c>
      <c r="AY48" s="15" t="n">
        <v>-0.49632</v>
      </c>
      <c r="AZ48" s="15" t="n">
        <v>-0.074158</v>
      </c>
      <c r="BA48" s="15" t="n">
        <v>-0.82982</v>
      </c>
      <c r="BB48" s="15" t="n">
        <v>0.92314</v>
      </c>
      <c r="BC48" s="15" t="n">
        <v>-0.18085</v>
      </c>
      <c r="BD48" s="15" t="n">
        <v>0.30672</v>
      </c>
      <c r="BE48" s="15" t="n">
        <v>0.68082</v>
      </c>
      <c r="BF48" s="15" t="n">
        <v>-0.29822</v>
      </c>
      <c r="BG48" s="15" t="n">
        <v>-1.9492</v>
      </c>
      <c r="BH48" s="15" t="n">
        <v>-0.2088</v>
      </c>
      <c r="BI48" s="15" t="n">
        <v>-0.12977</v>
      </c>
      <c r="BJ48" s="15" t="n">
        <v>0.57349</v>
      </c>
      <c r="BK48" s="15" t="n">
        <v>0.86641</v>
      </c>
      <c r="BL48" s="15" t="n">
        <v>-0.15377</v>
      </c>
      <c r="BM48" s="15" t="n">
        <v>0.30915</v>
      </c>
      <c r="BN48" s="15" t="n">
        <v>0.29511</v>
      </c>
      <c r="BO48" s="15" t="n">
        <v>0.082272</v>
      </c>
      <c r="BP48" s="15" t="n">
        <v>0.76528</v>
      </c>
      <c r="BQ48" s="15" t="n">
        <v>-0.07027</v>
      </c>
      <c r="BR48" s="15" t="n">
        <v>0.068971</v>
      </c>
      <c r="BS48" s="15" t="n">
        <v>0.75065</v>
      </c>
      <c r="BT48" s="15" t="n">
        <v>0.012135</v>
      </c>
      <c r="BU48" s="15" t="n">
        <v>-0.032734</v>
      </c>
      <c r="BV48" s="15" t="n">
        <v>-0.0098768</v>
      </c>
      <c r="BW48" s="15" t="n">
        <v>0.11004</v>
      </c>
      <c r="BX48" s="15" t="n">
        <v>-0.13993</v>
      </c>
      <c r="BY48" s="15" t="n">
        <v>-0.28794</v>
      </c>
      <c r="BZ48" s="15" t="n">
        <v>-0.29719</v>
      </c>
      <c r="CA48" s="15" t="n">
        <v>-0.018791</v>
      </c>
      <c r="CB48" s="15" t="n">
        <v>0.26629</v>
      </c>
      <c r="CC48" s="15" t="n">
        <v>0.24083</v>
      </c>
      <c r="CD48" s="15" t="n">
        <v>-1.0431</v>
      </c>
      <c r="CE48" s="15" t="n">
        <v>0.091732</v>
      </c>
      <c r="CF48" s="15" t="n">
        <v>0.3306</v>
      </c>
      <c r="CG48" s="15" t="n">
        <v>-0.32298</v>
      </c>
      <c r="CH48" s="15" t="n">
        <v>-0.41331</v>
      </c>
      <c r="CI48" s="15" t="n">
        <v>-0.86748</v>
      </c>
      <c r="CJ48" s="15" t="n">
        <v>-1.4225</v>
      </c>
      <c r="CK48" s="15" t="n">
        <v>-0.53723</v>
      </c>
      <c r="CL48" s="15" t="n">
        <v>0.2916</v>
      </c>
      <c r="CM48" s="15" t="n">
        <v>0.22917</v>
      </c>
      <c r="CN48" s="15" t="n">
        <v>-0.32038</v>
      </c>
      <c r="CO48" s="15" t="n">
        <v>-0.46881</v>
      </c>
      <c r="CP48" s="15" t="n">
        <v>0.082723</v>
      </c>
      <c r="CQ48" s="15" t="n">
        <v>-0.45909</v>
      </c>
      <c r="CR48" s="15" t="n">
        <v>-0.017276</v>
      </c>
      <c r="CS48" s="15" t="n">
        <v>-0.13342</v>
      </c>
      <c r="CT48" s="15" t="n">
        <v>-0.35292</v>
      </c>
      <c r="CU48" s="15" t="n">
        <v>0.0002565</v>
      </c>
      <c r="CV48" s="15" t="n">
        <v>-0.31238</v>
      </c>
      <c r="CW48" s="15" t="n">
        <v>-0.38472</v>
      </c>
      <c r="CX48" s="15" t="n">
        <v>0.29188</v>
      </c>
      <c r="CY48" s="15" t="n">
        <v>-0.05688</v>
      </c>
    </row>
    <row r="49" customFormat="false" ht="15" hidden="false" customHeight="false" outlineLevel="0" collapsed="false">
      <c r="A49" s="4" t="s">
        <v>183</v>
      </c>
      <c r="B49" s="2" t="n">
        <f aca="false">COUNTIF('1.3 TF-IDF coseno'!$M$10:$M$123,A49)</f>
        <v>1</v>
      </c>
      <c r="C49" s="2" t="n">
        <f aca="false">COUNTIF('1.3 TF-IDF coseno'!$N$10:$N$102,A49)</f>
        <v>0</v>
      </c>
      <c r="D49" s="15" t="n">
        <v>-0.1116</v>
      </c>
      <c r="E49" s="15" t="n">
        <v>0.22662</v>
      </c>
      <c r="F49" s="15" t="n">
        <v>0.16662</v>
      </c>
      <c r="G49" s="15" t="n">
        <v>0.37416</v>
      </c>
      <c r="H49" s="15" t="n">
        <v>0.41751</v>
      </c>
      <c r="I49" s="15" t="n">
        <v>0.44387</v>
      </c>
      <c r="J49" s="15" t="n">
        <v>0.17101</v>
      </c>
      <c r="K49" s="15" t="n">
        <v>-0.017756</v>
      </c>
      <c r="L49" s="15" t="n">
        <v>0.45923</v>
      </c>
      <c r="M49" s="15" t="n">
        <v>0.19836</v>
      </c>
      <c r="N49" s="15" t="n">
        <v>-0.39767</v>
      </c>
      <c r="O49" s="15" t="n">
        <v>-0.061573</v>
      </c>
      <c r="P49" s="15" t="n">
        <v>0.3217</v>
      </c>
      <c r="Q49" s="15" t="n">
        <v>-0.25424</v>
      </c>
      <c r="R49" s="15" t="n">
        <v>-0.019529</v>
      </c>
      <c r="S49" s="15" t="n">
        <v>-0.21103</v>
      </c>
      <c r="T49" s="15" t="n">
        <v>0.49641</v>
      </c>
      <c r="U49" s="15" t="n">
        <v>0.35626</v>
      </c>
      <c r="V49" s="15" t="n">
        <v>-0.15239</v>
      </c>
      <c r="W49" s="15" t="n">
        <v>-0.28885</v>
      </c>
      <c r="X49" s="15" t="n">
        <v>0.16032</v>
      </c>
      <c r="Y49" s="15" t="n">
        <v>-0.026372</v>
      </c>
      <c r="Z49" s="15" t="n">
        <v>0.22641</v>
      </c>
      <c r="AA49" s="15" t="n">
        <v>-0.28303</v>
      </c>
      <c r="AB49" s="15" t="n">
        <v>0.076802</v>
      </c>
      <c r="AC49" s="15" t="n">
        <v>-0.37763</v>
      </c>
      <c r="AD49" s="15" t="n">
        <v>-0.21481</v>
      </c>
      <c r="AE49" s="15" t="n">
        <v>-0.15351</v>
      </c>
      <c r="AF49" s="15" t="n">
        <v>-0.14289</v>
      </c>
      <c r="AG49" s="15" t="n">
        <v>0.10762</v>
      </c>
      <c r="AH49" s="15" t="n">
        <v>0.047382</v>
      </c>
      <c r="AI49" s="15" t="n">
        <v>0.44792</v>
      </c>
      <c r="AJ49" s="15" t="n">
        <v>-0.42871</v>
      </c>
      <c r="AK49" s="15" t="n">
        <v>-0.37848</v>
      </c>
      <c r="AL49" s="15" t="n">
        <v>-0.14259</v>
      </c>
      <c r="AM49" s="15" t="n">
        <v>-0.23272</v>
      </c>
      <c r="AN49" s="15" t="n">
        <v>-0.17223</v>
      </c>
      <c r="AO49" s="15" t="n">
        <v>-0.24124</v>
      </c>
      <c r="AP49" s="15" t="n">
        <v>-0.54981</v>
      </c>
      <c r="AQ49" s="15" t="n">
        <v>-0.49607</v>
      </c>
      <c r="AR49" s="15" t="n">
        <v>-0.03698</v>
      </c>
      <c r="AS49" s="15" t="n">
        <v>-0.55289</v>
      </c>
      <c r="AT49" s="15" t="n">
        <v>0.032226</v>
      </c>
      <c r="AU49" s="15" t="n">
        <v>0.14429</v>
      </c>
      <c r="AV49" s="15" t="n">
        <v>0.38038</v>
      </c>
      <c r="AW49" s="15" t="n">
        <v>0.59397</v>
      </c>
      <c r="AX49" s="15" t="n">
        <v>0.33292</v>
      </c>
      <c r="AY49" s="15" t="n">
        <v>1.1111</v>
      </c>
      <c r="AZ49" s="15" t="n">
        <v>0.31696</v>
      </c>
      <c r="BA49" s="15" t="n">
        <v>-0.21464</v>
      </c>
      <c r="BB49" s="15" t="n">
        <v>-0.57749</v>
      </c>
      <c r="BC49" s="15" t="n">
        <v>-0.15204</v>
      </c>
      <c r="BD49" s="15" t="n">
        <v>0.66197</v>
      </c>
      <c r="BE49" s="15" t="n">
        <v>0.5905</v>
      </c>
      <c r="BF49" s="15" t="n">
        <v>-0.18905</v>
      </c>
      <c r="BG49" s="15" t="n">
        <v>-1.588</v>
      </c>
      <c r="BH49" s="15" t="n">
        <v>-0.09948</v>
      </c>
      <c r="BI49" s="15" t="n">
        <v>0.23043</v>
      </c>
      <c r="BJ49" s="15" t="n">
        <v>0.49585</v>
      </c>
      <c r="BK49" s="15" t="n">
        <v>-0.0096664</v>
      </c>
      <c r="BL49" s="15" t="n">
        <v>0.17672</v>
      </c>
      <c r="BM49" s="15" t="n">
        <v>0.71916</v>
      </c>
      <c r="BN49" s="15" t="n">
        <v>-0.087477</v>
      </c>
      <c r="BO49" s="15" t="n">
        <v>-0.10038</v>
      </c>
      <c r="BP49" s="15" t="n">
        <v>0.42725</v>
      </c>
      <c r="BQ49" s="15" t="n">
        <v>-0.012915</v>
      </c>
      <c r="BR49" s="15" t="n">
        <v>0.26989</v>
      </c>
      <c r="BS49" s="15" t="n">
        <v>-0.41676</v>
      </c>
      <c r="BT49" s="15" t="n">
        <v>0.24658</v>
      </c>
      <c r="BU49" s="15" t="n">
        <v>0.18962</v>
      </c>
      <c r="BV49" s="15" t="n">
        <v>0.76084</v>
      </c>
      <c r="BW49" s="15" t="n">
        <v>0.010708</v>
      </c>
      <c r="BX49" s="15" t="n">
        <v>-0.3126</v>
      </c>
      <c r="BY49" s="15" t="n">
        <v>0.13681</v>
      </c>
      <c r="BZ49" s="15" t="n">
        <v>0.31582</v>
      </c>
      <c r="CA49" s="15" t="n">
        <v>-0.77794</v>
      </c>
      <c r="CB49" s="15" t="n">
        <v>0.28424</v>
      </c>
      <c r="CC49" s="15" t="n">
        <v>-0.14506</v>
      </c>
      <c r="CD49" s="15" t="n">
        <v>-0.4074</v>
      </c>
      <c r="CE49" s="15" t="n">
        <v>0.20466</v>
      </c>
      <c r="CF49" s="15" t="n">
        <v>-0.19225</v>
      </c>
      <c r="CG49" s="15" t="n">
        <v>0.27168</v>
      </c>
      <c r="CH49" s="15" t="n">
        <v>-0.30321</v>
      </c>
      <c r="CI49" s="15" t="n">
        <v>0.60747</v>
      </c>
      <c r="CJ49" s="15" t="n">
        <v>-0.6292</v>
      </c>
      <c r="CK49" s="15" t="n">
        <v>0.30375</v>
      </c>
      <c r="CL49" s="15" t="n">
        <v>-0.14735</v>
      </c>
      <c r="CM49" s="15" t="n">
        <v>-0.35724</v>
      </c>
      <c r="CN49" s="15" t="n">
        <v>-0.50839</v>
      </c>
      <c r="CO49" s="15" t="n">
        <v>-0.49662</v>
      </c>
      <c r="CP49" s="15" t="n">
        <v>0.33448</v>
      </c>
      <c r="CQ49" s="15" t="n">
        <v>-0.36297</v>
      </c>
      <c r="CR49" s="15" t="n">
        <v>0.13726</v>
      </c>
      <c r="CS49" s="15" t="n">
        <v>0.10648</v>
      </c>
      <c r="CT49" s="15" t="n">
        <v>-0.15741</v>
      </c>
      <c r="CU49" s="15" t="n">
        <v>-0.5136</v>
      </c>
      <c r="CV49" s="15" t="n">
        <v>0.086013</v>
      </c>
      <c r="CW49" s="15" t="n">
        <v>-0.10404</v>
      </c>
      <c r="CX49" s="15" t="n">
        <v>-0.071575</v>
      </c>
      <c r="CY49" s="15" t="n">
        <v>0.025429</v>
      </c>
    </row>
    <row r="50" customFormat="false" ht="15" hidden="false" customHeight="false" outlineLevel="0" collapsed="false">
      <c r="A50" s="4" t="s">
        <v>184</v>
      </c>
      <c r="B50" s="2" t="n">
        <f aca="false">COUNTIF('1.3 TF-IDF coseno'!$M$10:$M$123,A50)</f>
        <v>1</v>
      </c>
      <c r="C50" s="2" t="n">
        <f aca="false">COUNTIF('1.3 TF-IDF coseno'!$N$10:$N$102,A50)</f>
        <v>0</v>
      </c>
      <c r="D50" s="15" t="n">
        <v>-0.18733</v>
      </c>
      <c r="E50" s="15" t="n">
        <v>0.28094</v>
      </c>
      <c r="F50" s="15" t="n">
        <v>-0.35208</v>
      </c>
      <c r="G50" s="15" t="n">
        <v>0.82791</v>
      </c>
      <c r="H50" s="15" t="n">
        <v>-0.24303</v>
      </c>
      <c r="I50" s="15" t="n">
        <v>-0.18762</v>
      </c>
      <c r="J50" s="15" t="n">
        <v>-0.33438</v>
      </c>
      <c r="K50" s="15" t="n">
        <v>-0.52144</v>
      </c>
      <c r="L50" s="15" t="n">
        <v>0.21352</v>
      </c>
      <c r="M50" s="15" t="n">
        <v>0.62913</v>
      </c>
      <c r="N50" s="15" t="n">
        <v>-1.0258</v>
      </c>
      <c r="O50" s="15" t="n">
        <v>-0.37128</v>
      </c>
      <c r="P50" s="15" t="n">
        <v>0.54516</v>
      </c>
      <c r="Q50" s="15" t="n">
        <v>-0.43696</v>
      </c>
      <c r="R50" s="15" t="n">
        <v>-0.24954</v>
      </c>
      <c r="S50" s="15" t="n">
        <v>-0.7537</v>
      </c>
      <c r="T50" s="15" t="n">
        <v>1.1009</v>
      </c>
      <c r="U50" s="15" t="n">
        <v>0.25377</v>
      </c>
      <c r="V50" s="15" t="n">
        <v>-0.33874</v>
      </c>
      <c r="W50" s="15" t="n">
        <v>0.605</v>
      </c>
      <c r="X50" s="15" t="n">
        <v>-0.21777</v>
      </c>
      <c r="Y50" s="15" t="n">
        <v>0.13758</v>
      </c>
      <c r="Z50" s="15" t="n">
        <v>0.043681</v>
      </c>
      <c r="AA50" s="15" t="n">
        <v>-0.48204</v>
      </c>
      <c r="AB50" s="15" t="n">
        <v>-0.38835</v>
      </c>
      <c r="AC50" s="15" t="n">
        <v>-0.055742</v>
      </c>
      <c r="AD50" s="15" t="n">
        <v>0.20217</v>
      </c>
      <c r="AE50" s="15" t="n">
        <v>-0.47594</v>
      </c>
      <c r="AF50" s="15" t="n">
        <v>0.057754</v>
      </c>
      <c r="AG50" s="15" t="n">
        <v>0.084934</v>
      </c>
      <c r="AH50" s="15" t="n">
        <v>-0.71002</v>
      </c>
      <c r="AI50" s="15" t="n">
        <v>0.59572</v>
      </c>
      <c r="AJ50" s="15" t="n">
        <v>0.51122</v>
      </c>
      <c r="AK50" s="15" t="n">
        <v>-0.21099</v>
      </c>
      <c r="AL50" s="15" t="n">
        <v>0.11859</v>
      </c>
      <c r="AM50" s="15" t="n">
        <v>0.42502</v>
      </c>
      <c r="AN50" s="15" t="n">
        <v>-0.16131</v>
      </c>
      <c r="AO50" s="15" t="n">
        <v>-0.066406</v>
      </c>
      <c r="AP50" s="15" t="n">
        <v>-0.4031</v>
      </c>
      <c r="AQ50" s="15" t="n">
        <v>0.30819</v>
      </c>
      <c r="AR50" s="15" t="n">
        <v>-0.33286</v>
      </c>
      <c r="AS50" s="15" t="n">
        <v>-0.33903</v>
      </c>
      <c r="AT50" s="15" t="n">
        <v>-0.26115</v>
      </c>
      <c r="AU50" s="15" t="n">
        <v>-0.70052</v>
      </c>
      <c r="AV50" s="15" t="n">
        <v>-0.44355</v>
      </c>
      <c r="AW50" s="15" t="n">
        <v>-0.64565</v>
      </c>
      <c r="AX50" s="15" t="n">
        <v>-0.13993</v>
      </c>
      <c r="AY50" s="15" t="n">
        <v>0.19551</v>
      </c>
      <c r="AZ50" s="15" t="n">
        <v>-0.14628</v>
      </c>
      <c r="BA50" s="15" t="n">
        <v>-0.4916</v>
      </c>
      <c r="BB50" s="15" t="n">
        <v>-0.88763</v>
      </c>
      <c r="BC50" s="15" t="n">
        <v>-0.066161</v>
      </c>
      <c r="BD50" s="15" t="n">
        <v>-0.21947</v>
      </c>
      <c r="BE50" s="15" t="n">
        <v>0.7055</v>
      </c>
      <c r="BF50" s="15" t="n">
        <v>0.41478</v>
      </c>
      <c r="BG50" s="15" t="n">
        <v>0.027205</v>
      </c>
      <c r="BH50" s="15" t="n">
        <v>0.26578</v>
      </c>
      <c r="BI50" s="15" t="n">
        <v>-0.43836</v>
      </c>
      <c r="BJ50" s="15" t="n">
        <v>0.042414</v>
      </c>
      <c r="BK50" s="15" t="n">
        <v>-0.91934</v>
      </c>
      <c r="BL50" s="15" t="n">
        <v>0.0024384</v>
      </c>
      <c r="BM50" s="15" t="n">
        <v>0.70458</v>
      </c>
      <c r="BN50" s="15" t="n">
        <v>-0.16161</v>
      </c>
      <c r="BO50" s="15" t="n">
        <v>0.031099</v>
      </c>
      <c r="BP50" s="15" t="n">
        <v>0.3588</v>
      </c>
      <c r="BQ50" s="15" t="n">
        <v>-0.29645</v>
      </c>
      <c r="BR50" s="15" t="n">
        <v>0.55571</v>
      </c>
      <c r="BS50" s="15" t="n">
        <v>-0.31899</v>
      </c>
      <c r="BT50" s="15" t="n">
        <v>1.0327</v>
      </c>
      <c r="BU50" s="15" t="n">
        <v>-0.89076</v>
      </c>
      <c r="BV50" s="15" t="n">
        <v>0.79426</v>
      </c>
      <c r="BW50" s="15" t="n">
        <v>0.052059</v>
      </c>
      <c r="BX50" s="15" t="n">
        <v>-0.074254</v>
      </c>
      <c r="BY50" s="15" t="n">
        <v>-0.64687</v>
      </c>
      <c r="BZ50" s="15" t="n">
        <v>-0.23611</v>
      </c>
      <c r="CA50" s="15" t="n">
        <v>0.13804</v>
      </c>
      <c r="CB50" s="15" t="n">
        <v>-0.49276</v>
      </c>
      <c r="CC50" s="15" t="n">
        <v>-0.1837</v>
      </c>
      <c r="CD50" s="15" t="n">
        <v>-0.39498</v>
      </c>
      <c r="CE50" s="15" t="n">
        <v>0.73302</v>
      </c>
      <c r="CF50" s="15" t="n">
        <v>0.35393</v>
      </c>
      <c r="CG50" s="15" t="n">
        <v>0.52442</v>
      </c>
      <c r="CH50" s="15" t="n">
        <v>-0.77409</v>
      </c>
      <c r="CI50" s="15" t="n">
        <v>0.33004</v>
      </c>
      <c r="CJ50" s="15" t="n">
        <v>0.072335</v>
      </c>
      <c r="CK50" s="15" t="n">
        <v>0.32852</v>
      </c>
      <c r="CL50" s="15" t="n">
        <v>0.37017</v>
      </c>
      <c r="CM50" s="15" t="n">
        <v>0.83248</v>
      </c>
      <c r="CN50" s="15" t="n">
        <v>-0.59994</v>
      </c>
      <c r="CO50" s="15" t="n">
        <v>0.40392</v>
      </c>
      <c r="CP50" s="15" t="n">
        <v>-0.034209</v>
      </c>
      <c r="CQ50" s="15" t="n">
        <v>0.019927</v>
      </c>
      <c r="CR50" s="15" t="n">
        <v>0.16546</v>
      </c>
      <c r="CS50" s="15" t="n">
        <v>-0.95577</v>
      </c>
      <c r="CT50" s="15" t="n">
        <v>-0.42518</v>
      </c>
      <c r="CU50" s="15" t="n">
        <v>-0.68182</v>
      </c>
      <c r="CV50" s="15" t="n">
        <v>-0.55518</v>
      </c>
      <c r="CW50" s="15" t="n">
        <v>-0.58278</v>
      </c>
      <c r="CX50" s="15" t="n">
        <v>-0.089873</v>
      </c>
      <c r="CY50" s="15" t="n">
        <v>0.47204</v>
      </c>
    </row>
    <row r="51" customFormat="false" ht="15" hidden="false" customHeight="false" outlineLevel="0" collapsed="false">
      <c r="A51" s="4" t="s">
        <v>185</v>
      </c>
      <c r="B51" s="2" t="n">
        <f aca="false">COUNTIF('1.3 TF-IDF coseno'!$M$10:$M$123,A51)</f>
        <v>1</v>
      </c>
      <c r="C51" s="2" t="n">
        <f aca="false">COUNTIF('1.3 TF-IDF coseno'!$N$10:$N$102,A51)</f>
        <v>0</v>
      </c>
      <c r="D51" s="15" t="n">
        <v>-0.54039</v>
      </c>
      <c r="E51" s="15" t="n">
        <v>-0.65918</v>
      </c>
      <c r="F51" s="15" t="n">
        <v>0.4122</v>
      </c>
      <c r="G51" s="15" t="n">
        <v>0.16511</v>
      </c>
      <c r="H51" s="15" t="n">
        <v>0.27333</v>
      </c>
      <c r="I51" s="15" t="n">
        <v>1.1414</v>
      </c>
      <c r="J51" s="15" t="n">
        <v>-0.29553</v>
      </c>
      <c r="K51" s="15" t="n">
        <v>-0.41724</v>
      </c>
      <c r="L51" s="15" t="n">
        <v>0.15097</v>
      </c>
      <c r="M51" s="15" t="n">
        <v>0.79026</v>
      </c>
      <c r="N51" s="15" t="n">
        <v>-0.41913</v>
      </c>
      <c r="O51" s="15" t="n">
        <v>-0.49221</v>
      </c>
      <c r="P51" s="15" t="n">
        <v>0.64079</v>
      </c>
      <c r="Q51" s="15" t="n">
        <v>-0.18273</v>
      </c>
      <c r="R51" s="15" t="n">
        <v>0.4041</v>
      </c>
      <c r="S51" s="15" t="n">
        <v>0.16532</v>
      </c>
      <c r="T51" s="15" t="n">
        <v>0.36837</v>
      </c>
      <c r="U51" s="15" t="n">
        <v>0.29633</v>
      </c>
      <c r="V51" s="15" t="n">
        <v>-0.45816</v>
      </c>
      <c r="W51" s="15" t="n">
        <v>0.24513</v>
      </c>
      <c r="X51" s="15" t="n">
        <v>0.65509</v>
      </c>
      <c r="Y51" s="15" t="n">
        <v>0.29641</v>
      </c>
      <c r="Z51" s="15" t="n">
        <v>-0.8953</v>
      </c>
      <c r="AA51" s="15" t="n">
        <v>-0.26233</v>
      </c>
      <c r="AB51" s="15" t="n">
        <v>0.31334</v>
      </c>
      <c r="AC51" s="15" t="n">
        <v>0.42898</v>
      </c>
      <c r="AD51" s="15" t="n">
        <v>-0.37683</v>
      </c>
      <c r="AE51" s="15" t="n">
        <v>-0.37407</v>
      </c>
      <c r="AF51" s="15" t="n">
        <v>-0.39162</v>
      </c>
      <c r="AG51" s="15" t="n">
        <v>-0.065834</v>
      </c>
      <c r="AH51" s="15" t="n">
        <v>-0.076256</v>
      </c>
      <c r="AI51" s="15" t="n">
        <v>0.0049105</v>
      </c>
      <c r="AJ51" s="15" t="n">
        <v>-0.32452</v>
      </c>
      <c r="AK51" s="15" t="n">
        <v>-0.52829</v>
      </c>
      <c r="AL51" s="15" t="n">
        <v>0.13888</v>
      </c>
      <c r="AM51" s="15" t="n">
        <v>-0.78124</v>
      </c>
      <c r="AN51" s="15" t="n">
        <v>-0.00056442</v>
      </c>
      <c r="AO51" s="15" t="n">
        <v>0.34207</v>
      </c>
      <c r="AP51" s="15" t="n">
        <v>-0.65872</v>
      </c>
      <c r="AQ51" s="15" t="n">
        <v>-0.38198</v>
      </c>
      <c r="AR51" s="15" t="n">
        <v>-0.072618</v>
      </c>
      <c r="AS51" s="15" t="n">
        <v>-0.135</v>
      </c>
      <c r="AT51" s="15" t="n">
        <v>0.67086</v>
      </c>
      <c r="AU51" s="15" t="n">
        <v>-0.14546</v>
      </c>
      <c r="AV51" s="15" t="n">
        <v>-0.16206</v>
      </c>
      <c r="AW51" s="15" t="n">
        <v>-0.95045</v>
      </c>
      <c r="AX51" s="15" t="n">
        <v>0.12782</v>
      </c>
      <c r="AY51" s="15" t="n">
        <v>-0.022176</v>
      </c>
      <c r="AZ51" s="15" t="n">
        <v>0.1849</v>
      </c>
      <c r="BA51" s="15" t="n">
        <v>-0.96072</v>
      </c>
      <c r="BB51" s="15" t="n">
        <v>-0.68269</v>
      </c>
      <c r="BC51" s="15" t="n">
        <v>-0.38351</v>
      </c>
      <c r="BD51" s="15" t="n">
        <v>0.15551</v>
      </c>
      <c r="BE51" s="15" t="n">
        <v>1.213</v>
      </c>
      <c r="BF51" s="15" t="n">
        <v>0.36462</v>
      </c>
      <c r="BG51" s="15" t="n">
        <v>-1.5748</v>
      </c>
      <c r="BH51" s="15" t="n">
        <v>0.78932</v>
      </c>
      <c r="BI51" s="15" t="n">
        <v>-0.20892</v>
      </c>
      <c r="BJ51" s="15" t="n">
        <v>1.5326</v>
      </c>
      <c r="BK51" s="15" t="n">
        <v>-0.31671</v>
      </c>
      <c r="BL51" s="15" t="n">
        <v>1.3599</v>
      </c>
      <c r="BM51" s="15" t="n">
        <v>0.17928</v>
      </c>
      <c r="BN51" s="15" t="n">
        <v>-0.24028</v>
      </c>
      <c r="BO51" s="15" t="n">
        <v>-0.3829</v>
      </c>
      <c r="BP51" s="15" t="n">
        <v>1.0237</v>
      </c>
      <c r="BQ51" s="15" t="n">
        <v>0.25575</v>
      </c>
      <c r="BR51" s="15" t="n">
        <v>0.86515</v>
      </c>
      <c r="BS51" s="15" t="n">
        <v>-0.053195</v>
      </c>
      <c r="BT51" s="15" t="n">
        <v>-0.52654</v>
      </c>
      <c r="BU51" s="15" t="n">
        <v>-0.29914</v>
      </c>
      <c r="BV51" s="15" t="n">
        <v>0.48263</v>
      </c>
      <c r="BW51" s="15" t="n">
        <v>-0.018853</v>
      </c>
      <c r="BX51" s="15" t="n">
        <v>-0.47405</v>
      </c>
      <c r="BY51" s="15" t="n">
        <v>-0.20138</v>
      </c>
      <c r="BZ51" s="15" t="n">
        <v>-0.28857</v>
      </c>
      <c r="CA51" s="15" t="n">
        <v>0.081195</v>
      </c>
      <c r="CB51" s="15" t="n">
        <v>-0.065341</v>
      </c>
      <c r="CC51" s="15" t="n">
        <v>-0.1043</v>
      </c>
      <c r="CD51" s="15" t="n">
        <v>-1.1976</v>
      </c>
      <c r="CE51" s="15" t="n">
        <v>-0.5851</v>
      </c>
      <c r="CF51" s="15" t="n">
        <v>0.40471</v>
      </c>
      <c r="CG51" s="15" t="n">
        <v>0.49902</v>
      </c>
      <c r="CH51" s="15" t="n">
        <v>-0.19747</v>
      </c>
      <c r="CI51" s="15" t="n">
        <v>0.29122</v>
      </c>
      <c r="CJ51" s="15" t="n">
        <v>-1.4402</v>
      </c>
      <c r="CK51" s="15" t="n">
        <v>0.27611</v>
      </c>
      <c r="CL51" s="15" t="n">
        <v>0.29829</v>
      </c>
      <c r="CM51" s="15" t="n">
        <v>0.29742</v>
      </c>
      <c r="CN51" s="15" t="n">
        <v>-0.19554</v>
      </c>
      <c r="CO51" s="15" t="n">
        <v>-0.59016</v>
      </c>
      <c r="CP51" s="15" t="n">
        <v>-0.0037331</v>
      </c>
      <c r="CQ51" s="15" t="n">
        <v>-0.0085302</v>
      </c>
      <c r="CR51" s="15" t="n">
        <v>0.20927</v>
      </c>
      <c r="CS51" s="15" t="n">
        <v>0.41078</v>
      </c>
      <c r="CT51" s="15" t="n">
        <v>-0.31918</v>
      </c>
      <c r="CU51" s="15" t="n">
        <v>0.49358</v>
      </c>
      <c r="CV51" s="15" t="n">
        <v>-0.074391</v>
      </c>
      <c r="CW51" s="15" t="n">
        <v>-1.023</v>
      </c>
      <c r="CX51" s="15" t="n">
        <v>0.16404</v>
      </c>
      <c r="CY51" s="15" t="n">
        <v>0.16486</v>
      </c>
    </row>
    <row r="52" customFormat="false" ht="15" hidden="false" customHeight="false" outlineLevel="0" collapsed="false">
      <c r="A52" s="4" t="s">
        <v>186</v>
      </c>
      <c r="B52" s="2" t="n">
        <f aca="false">COUNTIF('1.3 TF-IDF coseno'!$M$10:$M$123,A52)</f>
        <v>1</v>
      </c>
      <c r="C52" s="2" t="n">
        <f aca="false">COUNTIF('1.3 TF-IDF coseno'!$N$10:$N$102,A52)</f>
        <v>0</v>
      </c>
      <c r="D52" s="15" t="n">
        <v>-0.14625</v>
      </c>
      <c r="E52" s="15" t="n">
        <v>-0.25935</v>
      </c>
      <c r="F52" s="15" t="n">
        <v>-0.073741</v>
      </c>
      <c r="G52" s="15" t="n">
        <v>0.31293</v>
      </c>
      <c r="H52" s="15" t="n">
        <v>-0.015646</v>
      </c>
      <c r="I52" s="15" t="n">
        <v>0.17894</v>
      </c>
      <c r="J52" s="15" t="n">
        <v>-0.42328</v>
      </c>
      <c r="K52" s="15" t="n">
        <v>0.50491</v>
      </c>
      <c r="L52" s="15" t="n">
        <v>-0.0010451</v>
      </c>
      <c r="M52" s="15" t="n">
        <v>-0.4108</v>
      </c>
      <c r="N52" s="15" t="n">
        <v>-0.14334</v>
      </c>
      <c r="O52" s="15" t="n">
        <v>-0.15785</v>
      </c>
      <c r="P52" s="15" t="n">
        <v>0.53426</v>
      </c>
      <c r="Q52" s="15" t="n">
        <v>-0.15297</v>
      </c>
      <c r="R52" s="15" t="n">
        <v>-0.33941</v>
      </c>
      <c r="S52" s="15" t="n">
        <v>0.011457</v>
      </c>
      <c r="T52" s="15" t="n">
        <v>0.36778</v>
      </c>
      <c r="U52" s="15" t="n">
        <v>0.42322</v>
      </c>
      <c r="V52" s="15" t="n">
        <v>-0.11948</v>
      </c>
      <c r="W52" s="15" t="n">
        <v>-0.5573</v>
      </c>
      <c r="X52" s="15" t="n">
        <v>0.14972</v>
      </c>
      <c r="Y52" s="15" t="n">
        <v>0.45887</v>
      </c>
      <c r="Z52" s="15" t="n">
        <v>0.49903</v>
      </c>
      <c r="AA52" s="15" t="n">
        <v>-0.1667</v>
      </c>
      <c r="AB52" s="15" t="n">
        <v>-0.6206</v>
      </c>
      <c r="AC52" s="15" t="n">
        <v>-0.64905</v>
      </c>
      <c r="AD52" s="15" t="n">
        <v>-0.50369</v>
      </c>
      <c r="AE52" s="15" t="n">
        <v>-0.74882</v>
      </c>
      <c r="AF52" s="15" t="n">
        <v>-0.83004</v>
      </c>
      <c r="AG52" s="15" t="n">
        <v>0.79226</v>
      </c>
      <c r="AH52" s="15" t="n">
        <v>0.55374</v>
      </c>
      <c r="AI52" s="15" t="n">
        <v>0.37832</v>
      </c>
      <c r="AJ52" s="15" t="n">
        <v>0.065056</v>
      </c>
      <c r="AK52" s="15" t="n">
        <v>-0.60412</v>
      </c>
      <c r="AL52" s="15" t="n">
        <v>0.22021</v>
      </c>
      <c r="AM52" s="15" t="n">
        <v>0.30042</v>
      </c>
      <c r="AN52" s="15" t="n">
        <v>-0.061202</v>
      </c>
      <c r="AO52" s="15" t="n">
        <v>-0.17033</v>
      </c>
      <c r="AP52" s="15" t="n">
        <v>-0.63409</v>
      </c>
      <c r="AQ52" s="15" t="n">
        <v>-0.42612</v>
      </c>
      <c r="AR52" s="15" t="n">
        <v>0.89896</v>
      </c>
      <c r="AS52" s="15" t="n">
        <v>-0.71236</v>
      </c>
      <c r="AT52" s="15" t="n">
        <v>-0.67829</v>
      </c>
      <c r="AU52" s="15" t="n">
        <v>0.31498</v>
      </c>
      <c r="AV52" s="15" t="n">
        <v>0.13901</v>
      </c>
      <c r="AW52" s="15" t="n">
        <v>-0.3013</v>
      </c>
      <c r="AX52" s="15" t="n">
        <v>0.089437</v>
      </c>
      <c r="AY52" s="15" t="n">
        <v>0.26186</v>
      </c>
      <c r="AZ52" s="15" t="n">
        <v>-0.34929</v>
      </c>
      <c r="BA52" s="15" t="n">
        <v>-1.1676</v>
      </c>
      <c r="BB52" s="15" t="n">
        <v>-0.45226</v>
      </c>
      <c r="BC52" s="15" t="n">
        <v>0.54228</v>
      </c>
      <c r="BD52" s="15" t="n">
        <v>0.33718</v>
      </c>
      <c r="BE52" s="15" t="n">
        <v>-0.18511</v>
      </c>
      <c r="BF52" s="15" t="n">
        <v>-0.052376</v>
      </c>
      <c r="BG52" s="15" t="n">
        <v>0.10967</v>
      </c>
      <c r="BH52" s="15" t="n">
        <v>0.35552</v>
      </c>
      <c r="BI52" s="15" t="n">
        <v>-0.30809</v>
      </c>
      <c r="BJ52" s="15" t="n">
        <v>1.3851</v>
      </c>
      <c r="BK52" s="15" t="n">
        <v>0.015281</v>
      </c>
      <c r="BL52" s="15" t="n">
        <v>0.20272</v>
      </c>
      <c r="BM52" s="15" t="n">
        <v>-0.52413</v>
      </c>
      <c r="BN52" s="15" t="n">
        <v>0.22856</v>
      </c>
      <c r="BO52" s="15" t="n">
        <v>0.12516</v>
      </c>
      <c r="BP52" s="15" t="n">
        <v>1.0318</v>
      </c>
      <c r="BQ52" s="15" t="n">
        <v>0.2609</v>
      </c>
      <c r="BR52" s="15" t="n">
        <v>0.2169</v>
      </c>
      <c r="BS52" s="15" t="n">
        <v>-0.18254</v>
      </c>
      <c r="BT52" s="15" t="n">
        <v>1.2119</v>
      </c>
      <c r="BU52" s="15" t="n">
        <v>-0.33485</v>
      </c>
      <c r="BV52" s="15" t="n">
        <v>0.16484</v>
      </c>
      <c r="BW52" s="15" t="n">
        <v>-1.0538</v>
      </c>
      <c r="BX52" s="15" t="n">
        <v>1.02</v>
      </c>
      <c r="BY52" s="15" t="n">
        <v>0.65688</v>
      </c>
      <c r="BZ52" s="15" t="n">
        <v>-0.0079847</v>
      </c>
      <c r="CA52" s="15" t="n">
        <v>-1.0504</v>
      </c>
      <c r="CB52" s="15" t="n">
        <v>-0.10117</v>
      </c>
      <c r="CC52" s="15" t="n">
        <v>-1.1314</v>
      </c>
      <c r="CD52" s="15" t="n">
        <v>-0.71672</v>
      </c>
      <c r="CE52" s="15" t="n">
        <v>-0.66829</v>
      </c>
      <c r="CF52" s="15" t="n">
        <v>0.87766</v>
      </c>
      <c r="CG52" s="15" t="n">
        <v>-0.52041</v>
      </c>
      <c r="CH52" s="15" t="n">
        <v>-0.46946</v>
      </c>
      <c r="CI52" s="15" t="n">
        <v>0.68225</v>
      </c>
      <c r="CJ52" s="15" t="n">
        <v>-0.88293</v>
      </c>
      <c r="CK52" s="15" t="n">
        <v>0.71705</v>
      </c>
      <c r="CL52" s="15" t="n">
        <v>0.18077</v>
      </c>
      <c r="CM52" s="15" t="n">
        <v>-0.15003</v>
      </c>
      <c r="CN52" s="15" t="n">
        <v>-0.42449</v>
      </c>
      <c r="CO52" s="15" t="n">
        <v>-0.69516</v>
      </c>
      <c r="CP52" s="15" t="n">
        <v>-0.33142</v>
      </c>
      <c r="CQ52" s="15" t="n">
        <v>-0.52409</v>
      </c>
      <c r="CR52" s="15" t="n">
        <v>-0.4123</v>
      </c>
      <c r="CS52" s="15" t="n">
        <v>-0.39749</v>
      </c>
      <c r="CT52" s="15" t="n">
        <v>0.24394</v>
      </c>
      <c r="CU52" s="15" t="n">
        <v>0.692</v>
      </c>
      <c r="CV52" s="15" t="n">
        <v>0.15789</v>
      </c>
      <c r="CW52" s="15" t="n">
        <v>-0.26756</v>
      </c>
      <c r="CX52" s="15" t="n">
        <v>0.36387</v>
      </c>
      <c r="CY52" s="15" t="n">
        <v>-0.066995</v>
      </c>
    </row>
    <row r="53" customFormat="false" ht="15" hidden="false" customHeight="false" outlineLevel="0" collapsed="false">
      <c r="A53" s="4" t="s">
        <v>187</v>
      </c>
      <c r="B53" s="2" t="n">
        <f aca="false">COUNTIF('1.3 TF-IDF coseno'!$M$10:$M$123,A53)</f>
        <v>2</v>
      </c>
      <c r="C53" s="2" t="n">
        <f aca="false">COUNTIF('1.3 TF-IDF coseno'!$N$10:$N$102,A53)</f>
        <v>0</v>
      </c>
      <c r="D53" s="15" t="n">
        <v>0.64812</v>
      </c>
      <c r="E53" s="15" t="n">
        <v>0.69878</v>
      </c>
      <c r="F53" s="15" t="n">
        <v>-0.39947</v>
      </c>
      <c r="G53" s="15" t="n">
        <v>0.77634</v>
      </c>
      <c r="H53" s="15" t="n">
        <v>-0.13132</v>
      </c>
      <c r="I53" s="15" t="n">
        <v>0.2024</v>
      </c>
      <c r="J53" s="15" t="n">
        <v>-0.33399</v>
      </c>
      <c r="K53" s="15" t="n">
        <v>-0.0066588</v>
      </c>
      <c r="L53" s="15" t="n">
        <v>0.061684</v>
      </c>
      <c r="M53" s="15" t="n">
        <v>0.1885</v>
      </c>
      <c r="N53" s="15" t="n">
        <v>-0.10559</v>
      </c>
      <c r="O53" s="15" t="n">
        <v>-0.31316</v>
      </c>
      <c r="P53" s="15" t="n">
        <v>-0.082495</v>
      </c>
      <c r="Q53" s="15" t="n">
        <v>-0.080517</v>
      </c>
      <c r="R53" s="15" t="n">
        <v>0.3858</v>
      </c>
      <c r="S53" s="15" t="n">
        <v>-0.10302</v>
      </c>
      <c r="T53" s="15" t="n">
        <v>0.049431</v>
      </c>
      <c r="U53" s="15" t="n">
        <v>0.17216</v>
      </c>
      <c r="V53" s="15" t="n">
        <v>-0.59079</v>
      </c>
      <c r="W53" s="15" t="n">
        <v>0.77068</v>
      </c>
      <c r="X53" s="15" t="n">
        <v>-1.2768</v>
      </c>
      <c r="Y53" s="15" t="n">
        <v>-0.25187</v>
      </c>
      <c r="Z53" s="15" t="n">
        <v>0.2195</v>
      </c>
      <c r="AA53" s="15" t="n">
        <v>-0.20176</v>
      </c>
      <c r="AB53" s="15" t="n">
        <v>-0.30581</v>
      </c>
      <c r="AC53" s="15" t="n">
        <v>-0.18518</v>
      </c>
      <c r="AD53" s="15" t="n">
        <v>0.010889</v>
      </c>
      <c r="AE53" s="15" t="n">
        <v>-0.07529</v>
      </c>
      <c r="AF53" s="15" t="n">
        <v>-0.34732</v>
      </c>
      <c r="AG53" s="15" t="n">
        <v>0.61998</v>
      </c>
      <c r="AH53" s="15" t="n">
        <v>-0.99703</v>
      </c>
      <c r="AI53" s="15" t="n">
        <v>1.0516</v>
      </c>
      <c r="AJ53" s="15" t="n">
        <v>-0.42071</v>
      </c>
      <c r="AK53" s="15" t="n">
        <v>-0.39635</v>
      </c>
      <c r="AL53" s="15" t="n">
        <v>0.32607</v>
      </c>
      <c r="AM53" s="15" t="n">
        <v>-0.40061</v>
      </c>
      <c r="AN53" s="15" t="n">
        <v>-0.46462</v>
      </c>
      <c r="AO53" s="15" t="n">
        <v>0.69904</v>
      </c>
      <c r="AP53" s="15" t="n">
        <v>0.29567</v>
      </c>
      <c r="AQ53" s="15" t="n">
        <v>-0.35309</v>
      </c>
      <c r="AR53" s="15" t="n">
        <v>-0.59074</v>
      </c>
      <c r="AS53" s="15" t="n">
        <v>0.28999</v>
      </c>
      <c r="AT53" s="15" t="n">
        <v>-0.25732</v>
      </c>
      <c r="AU53" s="15" t="n">
        <v>-0.1317</v>
      </c>
      <c r="AV53" s="15" t="n">
        <v>-0.69798</v>
      </c>
      <c r="AW53" s="15" t="n">
        <v>0.49818</v>
      </c>
      <c r="AX53" s="15" t="n">
        <v>0.41503</v>
      </c>
      <c r="AY53" s="15" t="n">
        <v>0.1487</v>
      </c>
      <c r="AZ53" s="15" t="n">
        <v>0.083347</v>
      </c>
      <c r="BA53" s="15" t="n">
        <v>-0.43543</v>
      </c>
      <c r="BB53" s="15" t="n">
        <v>-0.093969</v>
      </c>
      <c r="BC53" s="15" t="n">
        <v>-0.3543</v>
      </c>
      <c r="BD53" s="15" t="n">
        <v>0.014998</v>
      </c>
      <c r="BE53" s="15" t="n">
        <v>0.63593</v>
      </c>
      <c r="BF53" s="15" t="n">
        <v>0.54564</v>
      </c>
      <c r="BG53" s="15" t="n">
        <v>-1.8439</v>
      </c>
      <c r="BH53" s="15" t="n">
        <v>0.78842</v>
      </c>
      <c r="BI53" s="15" t="n">
        <v>-0.19836</v>
      </c>
      <c r="BJ53" s="15" t="n">
        <v>1.5707</v>
      </c>
      <c r="BK53" s="15" t="n">
        <v>0.25988</v>
      </c>
      <c r="BL53" s="15" t="n">
        <v>0.20875</v>
      </c>
      <c r="BM53" s="15" t="n">
        <v>0.7521</v>
      </c>
      <c r="BN53" s="15" t="n">
        <v>-0.085488</v>
      </c>
      <c r="BO53" s="15" t="n">
        <v>-0.70717</v>
      </c>
      <c r="BP53" s="15" t="n">
        <v>0.094104</v>
      </c>
      <c r="BQ53" s="15" t="n">
        <v>0.44485</v>
      </c>
      <c r="BR53" s="15" t="n">
        <v>0.087818</v>
      </c>
      <c r="BS53" s="15" t="n">
        <v>-0.34779</v>
      </c>
      <c r="BT53" s="15" t="n">
        <v>0.57148</v>
      </c>
      <c r="BU53" s="15" t="n">
        <v>0.18662</v>
      </c>
      <c r="BV53" s="15" t="n">
        <v>-0.29435</v>
      </c>
      <c r="BW53" s="15" t="n">
        <v>0.42928</v>
      </c>
      <c r="BX53" s="15" t="n">
        <v>0.28392</v>
      </c>
      <c r="BY53" s="15" t="n">
        <v>-0.61614</v>
      </c>
      <c r="BZ53" s="15" t="n">
        <v>-0.34108</v>
      </c>
      <c r="CA53" s="15" t="n">
        <v>0.58192</v>
      </c>
      <c r="CB53" s="15" t="n">
        <v>-0.16388</v>
      </c>
      <c r="CC53" s="15" t="n">
        <v>-0.0081997</v>
      </c>
      <c r="CD53" s="15" t="n">
        <v>-0.27162</v>
      </c>
      <c r="CE53" s="15" t="n">
        <v>-0.27112</v>
      </c>
      <c r="CF53" s="15" t="n">
        <v>-0.21471</v>
      </c>
      <c r="CG53" s="15" t="n">
        <v>0.37376</v>
      </c>
      <c r="CH53" s="15" t="n">
        <v>-0.5352</v>
      </c>
      <c r="CI53" s="15" t="n">
        <v>-0.060945</v>
      </c>
      <c r="CJ53" s="15" t="n">
        <v>-1.6317</v>
      </c>
      <c r="CK53" s="15" t="n">
        <v>0.85144</v>
      </c>
      <c r="CL53" s="15" t="n">
        <v>0.056035</v>
      </c>
      <c r="CM53" s="15" t="n">
        <v>-0.53861</v>
      </c>
      <c r="CN53" s="15" t="n">
        <v>-0.58383</v>
      </c>
      <c r="CO53" s="15" t="n">
        <v>-0.19612</v>
      </c>
      <c r="CP53" s="15" t="n">
        <v>-0.33941</v>
      </c>
      <c r="CQ53" s="15" t="n">
        <v>-0.3141</v>
      </c>
      <c r="CR53" s="15" t="n">
        <v>0.22999</v>
      </c>
      <c r="CS53" s="15" t="n">
        <v>0.32688</v>
      </c>
      <c r="CT53" s="15" t="n">
        <v>0.043012</v>
      </c>
      <c r="CU53" s="15" t="n">
        <v>-0.037482</v>
      </c>
      <c r="CV53" s="15" t="n">
        <v>-0.092067</v>
      </c>
      <c r="CW53" s="15" t="n">
        <v>-1.0734</v>
      </c>
      <c r="CX53" s="15" t="n">
        <v>0.8924</v>
      </c>
      <c r="CY53" s="15" t="n">
        <v>0.41776</v>
      </c>
    </row>
    <row r="54" customFormat="false" ht="15" hidden="false" customHeight="false" outlineLevel="0" collapsed="false">
      <c r="A54" s="4" t="s">
        <v>188</v>
      </c>
      <c r="B54" s="2" t="n">
        <f aca="false">COUNTIF('1.3 TF-IDF coseno'!$M$10:$M$123,A54)</f>
        <v>1</v>
      </c>
      <c r="C54" s="2" t="n">
        <f aca="false">COUNTIF('1.3 TF-IDF coseno'!$N$10:$N$102,A54)</f>
        <v>0</v>
      </c>
      <c r="D54" s="15" t="n">
        <v>0.35223</v>
      </c>
      <c r="E54" s="15" t="n">
        <v>0.55612</v>
      </c>
      <c r="F54" s="15" t="n">
        <v>-0.20235</v>
      </c>
      <c r="G54" s="15" t="n">
        <v>0.20955</v>
      </c>
      <c r="H54" s="15" t="n">
        <v>-0.4647</v>
      </c>
      <c r="I54" s="15" t="n">
        <v>-0.71854</v>
      </c>
      <c r="J54" s="15" t="n">
        <v>-0.29986</v>
      </c>
      <c r="K54" s="15" t="n">
        <v>-0.2601</v>
      </c>
      <c r="L54" s="15" t="n">
        <v>-0.3892</v>
      </c>
      <c r="M54" s="15" t="n">
        <v>0.68968</v>
      </c>
      <c r="N54" s="15" t="n">
        <v>-0.19597</v>
      </c>
      <c r="O54" s="15" t="n">
        <v>-0.85533</v>
      </c>
      <c r="P54" s="15" t="n">
        <v>0.231</v>
      </c>
      <c r="Q54" s="15" t="n">
        <v>-0.70279</v>
      </c>
      <c r="R54" s="15" t="n">
        <v>-0.33692</v>
      </c>
      <c r="S54" s="15" t="n">
        <v>-0.17174</v>
      </c>
      <c r="T54" s="15" t="n">
        <v>0.38299</v>
      </c>
      <c r="U54" s="15" t="n">
        <v>0.4057</v>
      </c>
      <c r="V54" s="15" t="n">
        <v>-0.7392</v>
      </c>
      <c r="W54" s="15" t="n">
        <v>0.55256</v>
      </c>
      <c r="X54" s="15" t="n">
        <v>-0.80162</v>
      </c>
      <c r="Y54" s="15" t="n">
        <v>-0.3747</v>
      </c>
      <c r="Z54" s="15" t="n">
        <v>0.40892</v>
      </c>
      <c r="AA54" s="15" t="n">
        <v>-0.83431</v>
      </c>
      <c r="AB54" s="15" t="n">
        <v>-0.022303</v>
      </c>
      <c r="AC54" s="15" t="n">
        <v>-0.44691</v>
      </c>
      <c r="AD54" s="15" t="n">
        <v>-0.39905</v>
      </c>
      <c r="AE54" s="15" t="n">
        <v>-0.34384</v>
      </c>
      <c r="AF54" s="15" t="n">
        <v>-0.46687</v>
      </c>
      <c r="AG54" s="15" t="n">
        <v>-0.050553</v>
      </c>
      <c r="AH54" s="15" t="n">
        <v>-1.0334</v>
      </c>
      <c r="AI54" s="15" t="n">
        <v>0.79409</v>
      </c>
      <c r="AJ54" s="15" t="n">
        <v>-0.63511</v>
      </c>
      <c r="AK54" s="15" t="n">
        <v>-0.65313</v>
      </c>
      <c r="AL54" s="15" t="n">
        <v>0.41444</v>
      </c>
      <c r="AM54" s="15" t="n">
        <v>-0.47263</v>
      </c>
      <c r="AN54" s="15" t="n">
        <v>-0.82829</v>
      </c>
      <c r="AO54" s="15" t="n">
        <v>0.35159</v>
      </c>
      <c r="AP54" s="15" t="n">
        <v>-0.39866</v>
      </c>
      <c r="AQ54" s="15" t="n">
        <v>-0.033067</v>
      </c>
      <c r="AR54" s="15" t="n">
        <v>-0.22882</v>
      </c>
      <c r="AS54" s="15" t="n">
        <v>-0.045398</v>
      </c>
      <c r="AT54" s="15" t="n">
        <v>0.02658</v>
      </c>
      <c r="AU54" s="15" t="n">
        <v>-0.37957</v>
      </c>
      <c r="AV54" s="15" t="n">
        <v>-0.60554</v>
      </c>
      <c r="AW54" s="15" t="n">
        <v>-0.065143</v>
      </c>
      <c r="AX54" s="15" t="n">
        <v>-0.035338</v>
      </c>
      <c r="AY54" s="15" t="n">
        <v>-0.24478</v>
      </c>
      <c r="AZ54" s="15" t="n">
        <v>0.32716</v>
      </c>
      <c r="BA54" s="15" t="n">
        <v>-0.74644</v>
      </c>
      <c r="BB54" s="15" t="n">
        <v>-0.63474</v>
      </c>
      <c r="BC54" s="15" t="n">
        <v>0.23654</v>
      </c>
      <c r="BD54" s="15" t="n">
        <v>-0.43071</v>
      </c>
      <c r="BE54" s="15" t="n">
        <v>1.5202</v>
      </c>
      <c r="BF54" s="15" t="n">
        <v>1.154</v>
      </c>
      <c r="BG54" s="15" t="n">
        <v>-1.1196</v>
      </c>
      <c r="BH54" s="15" t="n">
        <v>0.37879</v>
      </c>
      <c r="BI54" s="15" t="n">
        <v>-0.6229</v>
      </c>
      <c r="BJ54" s="15" t="n">
        <v>0.85566</v>
      </c>
      <c r="BK54" s="15" t="n">
        <v>0.17566</v>
      </c>
      <c r="BL54" s="15" t="n">
        <v>0.366</v>
      </c>
      <c r="BM54" s="15" t="n">
        <v>0.98267</v>
      </c>
      <c r="BN54" s="15" t="n">
        <v>-0.082634</v>
      </c>
      <c r="BO54" s="15" t="n">
        <v>-0.21008</v>
      </c>
      <c r="BP54" s="15" t="n">
        <v>-0.39794</v>
      </c>
      <c r="BQ54" s="15" t="n">
        <v>0.059748</v>
      </c>
      <c r="BR54" s="15" t="n">
        <v>0.30098</v>
      </c>
      <c r="BS54" s="15" t="n">
        <v>-0.78263</v>
      </c>
      <c r="BT54" s="15" t="n">
        <v>0.73317</v>
      </c>
      <c r="BU54" s="15" t="n">
        <v>0.36432</v>
      </c>
      <c r="BV54" s="15" t="n">
        <v>-0.22696</v>
      </c>
      <c r="BW54" s="15" t="n">
        <v>0.26463</v>
      </c>
      <c r="BX54" s="15" t="n">
        <v>0.16292</v>
      </c>
      <c r="BY54" s="15" t="n">
        <v>-0.42601</v>
      </c>
      <c r="BZ54" s="15" t="n">
        <v>0.42512</v>
      </c>
      <c r="CA54" s="15" t="n">
        <v>0.52849</v>
      </c>
      <c r="CB54" s="15" t="n">
        <v>-0.75683</v>
      </c>
      <c r="CC54" s="15" t="n">
        <v>0.37045</v>
      </c>
      <c r="CD54" s="15" t="n">
        <v>0.27746</v>
      </c>
      <c r="CE54" s="15" t="n">
        <v>-0.32332</v>
      </c>
      <c r="CF54" s="15" t="n">
        <v>0.35633</v>
      </c>
      <c r="CG54" s="15" t="n">
        <v>0.4512</v>
      </c>
      <c r="CH54" s="15" t="n">
        <v>-0.05032</v>
      </c>
      <c r="CI54" s="15" t="n">
        <v>-1.2018</v>
      </c>
      <c r="CJ54" s="15" t="n">
        <v>-1.9798</v>
      </c>
      <c r="CK54" s="15" t="n">
        <v>0.26203</v>
      </c>
      <c r="CL54" s="15" t="n">
        <v>0.25155</v>
      </c>
      <c r="CM54" s="15" t="n">
        <v>0.064687</v>
      </c>
      <c r="CN54" s="15" t="n">
        <v>-0.4419</v>
      </c>
      <c r="CO54" s="15" t="n">
        <v>-0.28692</v>
      </c>
      <c r="CP54" s="15" t="n">
        <v>-0.6217</v>
      </c>
      <c r="CQ54" s="15" t="n">
        <v>-0.20253</v>
      </c>
      <c r="CR54" s="15" t="n">
        <v>0.47079</v>
      </c>
      <c r="CS54" s="15" t="n">
        <v>0.70767</v>
      </c>
      <c r="CT54" s="15" t="n">
        <v>0.15766</v>
      </c>
      <c r="CU54" s="15" t="n">
        <v>-0.063923</v>
      </c>
      <c r="CV54" s="15" t="n">
        <v>-0.57791</v>
      </c>
      <c r="CW54" s="15" t="n">
        <v>-1.1458</v>
      </c>
      <c r="CX54" s="15" t="n">
        <v>0.81684</v>
      </c>
      <c r="CY54" s="15" t="n">
        <v>0.92373</v>
      </c>
    </row>
    <row r="55" customFormat="false" ht="15" hidden="false" customHeight="false" outlineLevel="0" collapsed="false">
      <c r="A55" s="4" t="s">
        <v>189</v>
      </c>
      <c r="B55" s="2" t="n">
        <f aca="false">COUNTIF('1.3 TF-IDF coseno'!$M$10:$M$123,A55)</f>
        <v>1</v>
      </c>
      <c r="C55" s="2" t="n">
        <f aca="false">COUNTIF('1.3 TF-IDF coseno'!$N$10:$N$102,A55)</f>
        <v>0</v>
      </c>
      <c r="D55" s="15" t="n">
        <v>-0.024692</v>
      </c>
      <c r="E55" s="15" t="n">
        <v>-0.75114</v>
      </c>
      <c r="F55" s="15" t="n">
        <v>-0.22042</v>
      </c>
      <c r="G55" s="15" t="n">
        <v>0.20875</v>
      </c>
      <c r="H55" s="15" t="n">
        <v>0.35377</v>
      </c>
      <c r="I55" s="15" t="n">
        <v>0.19901</v>
      </c>
      <c r="J55" s="15" t="n">
        <v>-0.33821</v>
      </c>
      <c r="K55" s="15" t="n">
        <v>-0.045568</v>
      </c>
      <c r="L55" s="15" t="n">
        <v>-0.089962</v>
      </c>
      <c r="M55" s="15" t="n">
        <v>0.39776</v>
      </c>
      <c r="N55" s="15" t="n">
        <v>0.25622</v>
      </c>
      <c r="O55" s="15" t="n">
        <v>-0.4125</v>
      </c>
      <c r="P55" s="15" t="n">
        <v>0.65134</v>
      </c>
      <c r="Q55" s="15" t="n">
        <v>0.26042</v>
      </c>
      <c r="R55" s="15" t="n">
        <v>-0.31498</v>
      </c>
      <c r="S55" s="15" t="n">
        <v>-0.13858</v>
      </c>
      <c r="T55" s="15" t="n">
        <v>0.017384</v>
      </c>
      <c r="U55" s="15" t="n">
        <v>-0.21324</v>
      </c>
      <c r="V55" s="15" t="n">
        <v>-0.48236</v>
      </c>
      <c r="W55" s="15" t="n">
        <v>0.75567</v>
      </c>
      <c r="X55" s="15" t="n">
        <v>-0.18774</v>
      </c>
      <c r="Y55" s="15" t="n">
        <v>-0.24881</v>
      </c>
      <c r="Z55" s="15" t="n">
        <v>0.22802</v>
      </c>
      <c r="AA55" s="15" t="n">
        <v>-1.1044</v>
      </c>
      <c r="AB55" s="15" t="n">
        <v>-0.98607</v>
      </c>
      <c r="AC55" s="15" t="n">
        <v>-0.02582</v>
      </c>
      <c r="AD55" s="15" t="n">
        <v>-0.12112</v>
      </c>
      <c r="AE55" s="15" t="n">
        <v>0.15173</v>
      </c>
      <c r="AF55" s="15" t="n">
        <v>0.16902</v>
      </c>
      <c r="AG55" s="15" t="n">
        <v>0.43901</v>
      </c>
      <c r="AH55" s="15" t="n">
        <v>0.25915</v>
      </c>
      <c r="AI55" s="15" t="n">
        <v>0.47741</v>
      </c>
      <c r="AJ55" s="15" t="n">
        <v>-0.075196</v>
      </c>
      <c r="AK55" s="15" t="n">
        <v>-0.040684</v>
      </c>
      <c r="AL55" s="15" t="n">
        <v>0.1654</v>
      </c>
      <c r="AM55" s="15" t="n">
        <v>-0.67993</v>
      </c>
      <c r="AN55" s="15" t="n">
        <v>0.047319</v>
      </c>
      <c r="AO55" s="15" t="n">
        <v>0.021262</v>
      </c>
      <c r="AP55" s="15" t="n">
        <v>-0.086293</v>
      </c>
      <c r="AQ55" s="15" t="n">
        <v>0.05691</v>
      </c>
      <c r="AR55" s="15" t="n">
        <v>-0.52615</v>
      </c>
      <c r="AS55" s="15" t="n">
        <v>0.42062</v>
      </c>
      <c r="AT55" s="15" t="n">
        <v>0.6768</v>
      </c>
      <c r="AU55" s="15" t="n">
        <v>-0.02849</v>
      </c>
      <c r="AV55" s="15" t="n">
        <v>0.30598</v>
      </c>
      <c r="AW55" s="15" t="n">
        <v>0.58439</v>
      </c>
      <c r="AX55" s="15" t="n">
        <v>0.26273</v>
      </c>
      <c r="AY55" s="15" t="n">
        <v>-0.34943</v>
      </c>
      <c r="AZ55" s="15" t="n">
        <v>-0.79555</v>
      </c>
      <c r="BA55" s="15" t="n">
        <v>-0.93101</v>
      </c>
      <c r="BB55" s="15" t="n">
        <v>0.23113</v>
      </c>
      <c r="BC55" s="15" t="n">
        <v>-0.24415</v>
      </c>
      <c r="BD55" s="15" t="n">
        <v>-0.35213</v>
      </c>
      <c r="BE55" s="15" t="n">
        <v>1.2296</v>
      </c>
      <c r="BF55" s="15" t="n">
        <v>-0.67024</v>
      </c>
      <c r="BG55" s="15" t="n">
        <v>-1.3369</v>
      </c>
      <c r="BH55" s="15" t="n">
        <v>0.47915</v>
      </c>
      <c r="BI55" s="15" t="n">
        <v>-0.052929</v>
      </c>
      <c r="BJ55" s="15" t="n">
        <v>1.4808</v>
      </c>
      <c r="BK55" s="15" t="n">
        <v>0.42315</v>
      </c>
      <c r="BL55" s="15" t="n">
        <v>0.0026377</v>
      </c>
      <c r="BM55" s="15" t="n">
        <v>0.11957</v>
      </c>
      <c r="BN55" s="15" t="n">
        <v>-0.11216</v>
      </c>
      <c r="BO55" s="15" t="n">
        <v>-0.19541</v>
      </c>
      <c r="BP55" s="15" t="n">
        <v>1.2975</v>
      </c>
      <c r="BQ55" s="15" t="n">
        <v>-0.02335</v>
      </c>
      <c r="BR55" s="15" t="n">
        <v>0.19115</v>
      </c>
      <c r="BS55" s="15" t="n">
        <v>0.5823</v>
      </c>
      <c r="BT55" s="15" t="n">
        <v>0.46602</v>
      </c>
      <c r="BU55" s="15" t="n">
        <v>0.075081</v>
      </c>
      <c r="BV55" s="15" t="n">
        <v>0.073435</v>
      </c>
      <c r="BW55" s="15" t="n">
        <v>-0.77124</v>
      </c>
      <c r="BX55" s="15" t="n">
        <v>-0.28698</v>
      </c>
      <c r="BY55" s="15" t="n">
        <v>0.017792</v>
      </c>
      <c r="BZ55" s="15" t="n">
        <v>0.20067</v>
      </c>
      <c r="CA55" s="15" t="n">
        <v>-0.60629</v>
      </c>
      <c r="CB55" s="15" t="n">
        <v>-0.081583</v>
      </c>
      <c r="CC55" s="15" t="n">
        <v>0.06316</v>
      </c>
      <c r="CD55" s="15" t="n">
        <v>-1.0051</v>
      </c>
      <c r="CE55" s="15" t="n">
        <v>0.13738</v>
      </c>
      <c r="CF55" s="15" t="n">
        <v>0.66279</v>
      </c>
      <c r="CG55" s="15" t="n">
        <v>0.58699</v>
      </c>
      <c r="CH55" s="15" t="n">
        <v>-0.65021</v>
      </c>
      <c r="CI55" s="15" t="n">
        <v>0.64628</v>
      </c>
      <c r="CJ55" s="15" t="n">
        <v>-1.0041</v>
      </c>
      <c r="CK55" s="15" t="n">
        <v>-0.026721</v>
      </c>
      <c r="CL55" s="15" t="n">
        <v>0.057268</v>
      </c>
      <c r="CM55" s="15" t="n">
        <v>-0.25418</v>
      </c>
      <c r="CN55" s="15" t="n">
        <v>-0.45233</v>
      </c>
      <c r="CO55" s="15" t="n">
        <v>-0.5524</v>
      </c>
      <c r="CP55" s="15" t="n">
        <v>0.066368</v>
      </c>
      <c r="CQ55" s="15" t="n">
        <v>-0.51174</v>
      </c>
      <c r="CR55" s="15" t="n">
        <v>0.11941</v>
      </c>
      <c r="CS55" s="15" t="n">
        <v>-0.14854</v>
      </c>
      <c r="CT55" s="15" t="n">
        <v>-0.023313</v>
      </c>
      <c r="CU55" s="15" t="n">
        <v>0.20382</v>
      </c>
      <c r="CV55" s="15" t="n">
        <v>-0.039194</v>
      </c>
      <c r="CW55" s="15" t="n">
        <v>-0.82628</v>
      </c>
      <c r="CX55" s="15" t="n">
        <v>0.87834</v>
      </c>
      <c r="CY55" s="15" t="n">
        <v>-0.47333</v>
      </c>
    </row>
    <row r="56" customFormat="false" ht="15" hidden="false" customHeight="false" outlineLevel="0" collapsed="false">
      <c r="A56" s="4" t="s">
        <v>97</v>
      </c>
      <c r="B56" s="2" t="n">
        <f aca="false">COUNTIF('1.3 TF-IDF coseno'!$M$10:$M$123,A56)</f>
        <v>1</v>
      </c>
      <c r="C56" s="2" t="n">
        <f aca="false">COUNTIF('1.3 TF-IDF coseno'!$N$10:$N$102,A56)</f>
        <v>1</v>
      </c>
      <c r="D56" s="15" t="n">
        <v>0.019595</v>
      </c>
      <c r="E56" s="15" t="n">
        <v>-0.29586</v>
      </c>
      <c r="F56" s="15" t="n">
        <v>0.75131</v>
      </c>
      <c r="G56" s="15" t="n">
        <v>0.027566</v>
      </c>
      <c r="H56" s="15" t="n">
        <v>-0.030225</v>
      </c>
      <c r="I56" s="15" t="n">
        <v>0.35877</v>
      </c>
      <c r="J56" s="15" t="n">
        <v>-0.55438</v>
      </c>
      <c r="K56" s="15" t="n">
        <v>-0.51512</v>
      </c>
      <c r="L56" s="15" t="n">
        <v>-0.082784</v>
      </c>
      <c r="M56" s="15" t="n">
        <v>0.79715</v>
      </c>
      <c r="N56" s="15" t="n">
        <v>-0.28746</v>
      </c>
      <c r="O56" s="15" t="n">
        <v>0.48547</v>
      </c>
      <c r="P56" s="15" t="n">
        <v>0.76676</v>
      </c>
      <c r="Q56" s="15" t="n">
        <v>-0.39427</v>
      </c>
      <c r="R56" s="15" t="n">
        <v>-1.8077</v>
      </c>
      <c r="S56" s="15" t="n">
        <v>-0.11683</v>
      </c>
      <c r="T56" s="15" t="n">
        <v>0.74676</v>
      </c>
      <c r="U56" s="15" t="n">
        <v>0.56051</v>
      </c>
      <c r="V56" s="15" t="n">
        <v>-0.95797</v>
      </c>
      <c r="W56" s="15" t="n">
        <v>0.53218</v>
      </c>
      <c r="X56" s="15" t="n">
        <v>-0.6944</v>
      </c>
      <c r="Y56" s="15" t="n">
        <v>-0.41573</v>
      </c>
      <c r="Z56" s="15" t="n">
        <v>-0.080851</v>
      </c>
      <c r="AA56" s="15" t="n">
        <v>-0.78348</v>
      </c>
      <c r="AB56" s="15" t="n">
        <v>0.54912</v>
      </c>
      <c r="AC56" s="15" t="n">
        <v>0.34357</v>
      </c>
      <c r="AD56" s="15" t="n">
        <v>-0.064431</v>
      </c>
      <c r="AE56" s="15" t="n">
        <v>-0.08898</v>
      </c>
      <c r="AF56" s="15" t="n">
        <v>0.041447</v>
      </c>
      <c r="AG56" s="15" t="n">
        <v>-0.098313</v>
      </c>
      <c r="AH56" s="15" t="n">
        <v>0.78315</v>
      </c>
      <c r="AI56" s="15" t="n">
        <v>0.24579</v>
      </c>
      <c r="AJ56" s="15" t="n">
        <v>-0.2568</v>
      </c>
      <c r="AK56" s="15" t="n">
        <v>0.34068</v>
      </c>
      <c r="AL56" s="15" t="n">
        <v>0.61464</v>
      </c>
      <c r="AM56" s="15" t="n">
        <v>-0.78277</v>
      </c>
      <c r="AN56" s="15" t="n">
        <v>0.31</v>
      </c>
      <c r="AO56" s="15" t="n">
        <v>0.51711</v>
      </c>
      <c r="AP56" s="15" t="n">
        <v>-0.47999</v>
      </c>
      <c r="AQ56" s="15" t="n">
        <v>-0.45936</v>
      </c>
      <c r="AR56" s="15" t="n">
        <v>-0.17943</v>
      </c>
      <c r="AS56" s="15" t="n">
        <v>-0.78261</v>
      </c>
      <c r="AT56" s="15" t="n">
        <v>0.45543</v>
      </c>
      <c r="AU56" s="15" t="n">
        <v>-0.32778</v>
      </c>
      <c r="AV56" s="15" t="n">
        <v>-0.60798</v>
      </c>
      <c r="AW56" s="15" t="n">
        <v>-0.19573</v>
      </c>
      <c r="AX56" s="15" t="n">
        <v>0.5031</v>
      </c>
      <c r="AY56" s="15" t="n">
        <v>-0.51879</v>
      </c>
      <c r="AZ56" s="15" t="n">
        <v>-0.79855</v>
      </c>
      <c r="BA56" s="15" t="n">
        <v>-1.3637</v>
      </c>
      <c r="BB56" s="15" t="n">
        <v>0.68697</v>
      </c>
      <c r="BC56" s="15" t="n">
        <v>0.37545</v>
      </c>
      <c r="BD56" s="15" t="n">
        <v>-0.44461</v>
      </c>
      <c r="BE56" s="15" t="n">
        <v>1.2267</v>
      </c>
      <c r="BF56" s="15" t="n">
        <v>0.35858</v>
      </c>
      <c r="BG56" s="15" t="n">
        <v>-0.82677</v>
      </c>
      <c r="BH56" s="15" t="n">
        <v>1.2713</v>
      </c>
      <c r="BI56" s="15" t="n">
        <v>-0.68065</v>
      </c>
      <c r="BJ56" s="15" t="n">
        <v>0.83964</v>
      </c>
      <c r="BK56" s="15" t="n">
        <v>0.089333</v>
      </c>
      <c r="BL56" s="15" t="n">
        <v>0.17884</v>
      </c>
      <c r="BM56" s="15" t="n">
        <v>-0.4532</v>
      </c>
      <c r="BN56" s="15" t="n">
        <v>-0.5079</v>
      </c>
      <c r="BO56" s="15" t="n">
        <v>-0.09842</v>
      </c>
      <c r="BP56" s="15" t="n">
        <v>0.57653</v>
      </c>
      <c r="BQ56" s="15" t="n">
        <v>0.21754</v>
      </c>
      <c r="BR56" s="15" t="n">
        <v>0.37033</v>
      </c>
      <c r="BS56" s="15" t="n">
        <v>0.095765</v>
      </c>
      <c r="BT56" s="15" t="n">
        <v>0.70339</v>
      </c>
      <c r="BU56" s="15" t="n">
        <v>-0.017315</v>
      </c>
      <c r="BV56" s="15" t="n">
        <v>0.71019</v>
      </c>
      <c r="BW56" s="15" t="n">
        <v>0.83819</v>
      </c>
      <c r="BX56" s="15" t="n">
        <v>0.64902</v>
      </c>
      <c r="BY56" s="15" t="n">
        <v>-0.29357</v>
      </c>
      <c r="BZ56" s="15" t="n">
        <v>1.0266</v>
      </c>
      <c r="CA56" s="15" t="n">
        <v>-0.10583</v>
      </c>
      <c r="CB56" s="15" t="n">
        <v>-0.16206</v>
      </c>
      <c r="CC56" s="15" t="n">
        <v>0.45105</v>
      </c>
      <c r="CD56" s="15" t="n">
        <v>-0.70762</v>
      </c>
      <c r="CE56" s="15" t="n">
        <v>0.027103</v>
      </c>
      <c r="CF56" s="15" t="n">
        <v>0.11836</v>
      </c>
      <c r="CG56" s="15" t="n">
        <v>0.58905</v>
      </c>
      <c r="CH56" s="15" t="n">
        <v>0.3979</v>
      </c>
      <c r="CI56" s="15" t="n">
        <v>0.46238</v>
      </c>
      <c r="CJ56" s="15" t="n">
        <v>-0.45784</v>
      </c>
      <c r="CK56" s="15" t="n">
        <v>0.31261</v>
      </c>
      <c r="CL56" s="15" t="n">
        <v>0.036834</v>
      </c>
      <c r="CM56" s="15" t="n">
        <v>0.658</v>
      </c>
      <c r="CN56" s="15" t="n">
        <v>0.022705</v>
      </c>
      <c r="CO56" s="15" t="n">
        <v>-0.55105</v>
      </c>
      <c r="CP56" s="15" t="n">
        <v>-0.087664</v>
      </c>
      <c r="CQ56" s="15" t="n">
        <v>-0.048875</v>
      </c>
      <c r="CR56" s="15" t="n">
        <v>-0.27951</v>
      </c>
      <c r="CS56" s="15" t="n">
        <v>0.93726</v>
      </c>
      <c r="CT56" s="15" t="n">
        <v>0.17492</v>
      </c>
      <c r="CU56" s="15" t="n">
        <v>0.70363</v>
      </c>
      <c r="CV56" s="15" t="n">
        <v>0.013576</v>
      </c>
      <c r="CW56" s="15" t="n">
        <v>-1.178</v>
      </c>
      <c r="CX56" s="15" t="n">
        <v>0.34424</v>
      </c>
      <c r="CY56" s="15" t="n">
        <v>1.4379</v>
      </c>
    </row>
    <row r="57" customFormat="false" ht="15" hidden="false" customHeight="false" outlineLevel="0" collapsed="false">
      <c r="A57" s="4" t="s">
        <v>190</v>
      </c>
      <c r="B57" s="2" t="n">
        <f aca="false">COUNTIF('1.3 TF-IDF coseno'!$M$10:$M$123,A57)</f>
        <v>1</v>
      </c>
      <c r="C57" s="2" t="n">
        <f aca="false">COUNTIF('1.3 TF-IDF coseno'!$N$10:$N$102,A57)</f>
        <v>0</v>
      </c>
      <c r="D57" s="15" t="n">
        <v>-0.22406</v>
      </c>
      <c r="E57" s="15" t="n">
        <v>-0.14606</v>
      </c>
      <c r="F57" s="15" t="n">
        <v>-0.63171</v>
      </c>
      <c r="G57" s="15" t="n">
        <v>0.91747</v>
      </c>
      <c r="H57" s="15" t="n">
        <v>0.56923</v>
      </c>
      <c r="I57" s="15" t="n">
        <v>-0.24496</v>
      </c>
      <c r="J57" s="15" t="n">
        <v>0.14662</v>
      </c>
      <c r="K57" s="15" t="n">
        <v>0.087186</v>
      </c>
      <c r="L57" s="15" t="n">
        <v>-0.074074</v>
      </c>
      <c r="M57" s="15" t="n">
        <v>0.32621</v>
      </c>
      <c r="N57" s="15" t="n">
        <v>0.53533</v>
      </c>
      <c r="O57" s="15" t="n">
        <v>0.16691</v>
      </c>
      <c r="P57" s="15" t="n">
        <v>0.40044</v>
      </c>
      <c r="Q57" s="15" t="n">
        <v>-0.28389</v>
      </c>
      <c r="R57" s="15" t="n">
        <v>-0.48426</v>
      </c>
      <c r="S57" s="15" t="n">
        <v>-0.75374</v>
      </c>
      <c r="T57" s="15" t="n">
        <v>0.63011</v>
      </c>
      <c r="U57" s="15" t="n">
        <v>0.77153</v>
      </c>
      <c r="V57" s="15" t="n">
        <v>-0.7529</v>
      </c>
      <c r="W57" s="15" t="n">
        <v>-0.74302</v>
      </c>
      <c r="X57" s="15" t="n">
        <v>0.37479</v>
      </c>
      <c r="Y57" s="15" t="n">
        <v>-0.51878</v>
      </c>
      <c r="Z57" s="15" t="n">
        <v>0.38533</v>
      </c>
      <c r="AA57" s="15" t="n">
        <v>-0.069912</v>
      </c>
      <c r="AB57" s="15" t="n">
        <v>-0.13952</v>
      </c>
      <c r="AC57" s="15" t="n">
        <v>0.31545</v>
      </c>
      <c r="AD57" s="15" t="n">
        <v>-0.64043</v>
      </c>
      <c r="AE57" s="15" t="n">
        <v>-0.28783</v>
      </c>
      <c r="AF57" s="15" t="n">
        <v>0.36187</v>
      </c>
      <c r="AG57" s="15" t="n">
        <v>0.34707</v>
      </c>
      <c r="AH57" s="15" t="n">
        <v>-0.30776</v>
      </c>
      <c r="AI57" s="15" t="n">
        <v>1.125</v>
      </c>
      <c r="AJ57" s="15" t="n">
        <v>-0.26086</v>
      </c>
      <c r="AK57" s="15" t="n">
        <v>0.38405</v>
      </c>
      <c r="AL57" s="15" t="n">
        <v>1.0748</v>
      </c>
      <c r="AM57" s="15" t="n">
        <v>-0.40053</v>
      </c>
      <c r="AN57" s="15" t="n">
        <v>-0.63034</v>
      </c>
      <c r="AO57" s="15" t="n">
        <v>-0.31242</v>
      </c>
      <c r="AP57" s="15" t="n">
        <v>-0.5258</v>
      </c>
      <c r="AQ57" s="15" t="n">
        <v>0.29458</v>
      </c>
      <c r="AR57" s="15" t="n">
        <v>-0.94458</v>
      </c>
      <c r="AS57" s="15" t="n">
        <v>-0.2351</v>
      </c>
      <c r="AT57" s="15" t="n">
        <v>-0.062566</v>
      </c>
      <c r="AU57" s="15" t="n">
        <v>-0.012789</v>
      </c>
      <c r="AV57" s="15" t="n">
        <v>0.18505</v>
      </c>
      <c r="AW57" s="15" t="n">
        <v>0.16538</v>
      </c>
      <c r="AX57" s="15" t="n">
        <v>0.25287</v>
      </c>
      <c r="AY57" s="15" t="n">
        <v>-0.20076</v>
      </c>
      <c r="AZ57" s="15" t="n">
        <v>0.37913</v>
      </c>
      <c r="BA57" s="15" t="n">
        <v>-0.38377</v>
      </c>
      <c r="BB57" s="15" t="n">
        <v>-0.53662</v>
      </c>
      <c r="BC57" s="15" t="n">
        <v>0.012578</v>
      </c>
      <c r="BD57" s="15" t="n">
        <v>0.51443</v>
      </c>
      <c r="BE57" s="15" t="n">
        <v>1.1588</v>
      </c>
      <c r="BF57" s="15" t="n">
        <v>0.3506</v>
      </c>
      <c r="BG57" s="15" t="n">
        <v>-1.3181</v>
      </c>
      <c r="BH57" s="15" t="n">
        <v>-0.24335</v>
      </c>
      <c r="BI57" s="15" t="n">
        <v>-0.071631</v>
      </c>
      <c r="BJ57" s="15" t="n">
        <v>0.58546</v>
      </c>
      <c r="BK57" s="15" t="n">
        <v>0.2482</v>
      </c>
      <c r="BL57" s="15" t="n">
        <v>0.28403</v>
      </c>
      <c r="BM57" s="15" t="n">
        <v>0.29101</v>
      </c>
      <c r="BN57" s="15" t="n">
        <v>0.31506</v>
      </c>
      <c r="BO57" s="15" t="n">
        <v>0.16204</v>
      </c>
      <c r="BP57" s="15" t="n">
        <v>0.57417</v>
      </c>
      <c r="BQ57" s="15" t="n">
        <v>-0.086312</v>
      </c>
      <c r="BR57" s="15" t="n">
        <v>-0.48149</v>
      </c>
      <c r="BS57" s="15" t="n">
        <v>0.50624</v>
      </c>
      <c r="BT57" s="15" t="n">
        <v>-0.087194</v>
      </c>
      <c r="BU57" s="15" t="n">
        <v>0.15434</v>
      </c>
      <c r="BV57" s="15" t="n">
        <v>0.39733</v>
      </c>
      <c r="BW57" s="15" t="n">
        <v>0.058882</v>
      </c>
      <c r="BX57" s="15" t="n">
        <v>-0.27696</v>
      </c>
      <c r="BY57" s="15" t="n">
        <v>0.31712</v>
      </c>
      <c r="BZ57" s="15" t="n">
        <v>-0.5104</v>
      </c>
      <c r="CA57" s="15" t="n">
        <v>-0.46145</v>
      </c>
      <c r="CB57" s="15" t="n">
        <v>-0.68042</v>
      </c>
      <c r="CC57" s="15" t="n">
        <v>-0.19188</v>
      </c>
      <c r="CD57" s="15" t="n">
        <v>-0.90883</v>
      </c>
      <c r="CE57" s="15" t="n">
        <v>0.33952</v>
      </c>
      <c r="CF57" s="15" t="n">
        <v>0.28534</v>
      </c>
      <c r="CG57" s="15" t="n">
        <v>0.31343</v>
      </c>
      <c r="CH57" s="15" t="n">
        <v>-0.7345</v>
      </c>
      <c r="CI57" s="15" t="n">
        <v>0.50846</v>
      </c>
      <c r="CJ57" s="15" t="n">
        <v>-1.2814</v>
      </c>
      <c r="CK57" s="15" t="n">
        <v>-0.41321</v>
      </c>
      <c r="CL57" s="15" t="n">
        <v>0.83324</v>
      </c>
      <c r="CM57" s="15" t="n">
        <v>0.092319</v>
      </c>
      <c r="CN57" s="15" t="n">
        <v>-0.60177</v>
      </c>
      <c r="CO57" s="15" t="n">
        <v>0.102</v>
      </c>
      <c r="CP57" s="15" t="n">
        <v>-0.24476</v>
      </c>
      <c r="CQ57" s="15" t="n">
        <v>-0.24784</v>
      </c>
      <c r="CR57" s="15" t="n">
        <v>-0.11199</v>
      </c>
      <c r="CS57" s="15" t="n">
        <v>0.041615</v>
      </c>
      <c r="CT57" s="15" t="n">
        <v>0.03521</v>
      </c>
      <c r="CU57" s="15" t="n">
        <v>0.51712</v>
      </c>
      <c r="CV57" s="15" t="n">
        <v>-0.3982</v>
      </c>
      <c r="CW57" s="15" t="n">
        <v>0.35166</v>
      </c>
      <c r="CX57" s="15" t="n">
        <v>0.30621</v>
      </c>
      <c r="CY57" s="15" t="n">
        <v>-0.35426</v>
      </c>
    </row>
    <row r="58" customFormat="false" ht="15" hidden="false" customHeight="false" outlineLevel="0" collapsed="false">
      <c r="A58" s="4" t="s">
        <v>191</v>
      </c>
      <c r="B58" s="2" t="n">
        <f aca="false">COUNTIF('1.3 TF-IDF coseno'!$M$10:$M$123,A58)</f>
        <v>1</v>
      </c>
      <c r="C58" s="2" t="n">
        <f aca="false">COUNTIF('1.3 TF-IDF coseno'!$N$10:$N$102,A58)</f>
        <v>0</v>
      </c>
      <c r="D58" s="15" t="n">
        <v>-0.54508</v>
      </c>
      <c r="E58" s="15" t="n">
        <v>0.085623</v>
      </c>
      <c r="F58" s="15" t="n">
        <v>-0.28438</v>
      </c>
      <c r="G58" s="15" t="n">
        <v>0.81733</v>
      </c>
      <c r="H58" s="15" t="n">
        <v>0.074466</v>
      </c>
      <c r="I58" s="15" t="n">
        <v>0.12945</v>
      </c>
      <c r="J58" s="15" t="n">
        <v>-0.39459</v>
      </c>
      <c r="K58" s="15" t="n">
        <v>0.026076</v>
      </c>
      <c r="L58" s="15" t="n">
        <v>0.35764</v>
      </c>
      <c r="M58" s="15" t="n">
        <v>0.68529</v>
      </c>
      <c r="N58" s="15" t="n">
        <v>-0.43893</v>
      </c>
      <c r="O58" s="15" t="n">
        <v>-0.43992</v>
      </c>
      <c r="P58" s="15" t="n">
        <v>-0.25289</v>
      </c>
      <c r="Q58" s="15" t="n">
        <v>-0.38142</v>
      </c>
      <c r="R58" s="15" t="n">
        <v>-0.45436</v>
      </c>
      <c r="S58" s="15" t="n">
        <v>0.081769</v>
      </c>
      <c r="T58" s="15" t="n">
        <v>0.66419</v>
      </c>
      <c r="U58" s="15" t="n">
        <v>0.71042</v>
      </c>
      <c r="V58" s="15" t="n">
        <v>0.14503</v>
      </c>
      <c r="W58" s="15" t="n">
        <v>0.10454</v>
      </c>
      <c r="X58" s="15" t="n">
        <v>0.13068</v>
      </c>
      <c r="Y58" s="15" t="n">
        <v>-0.39912</v>
      </c>
      <c r="Z58" s="15" t="n">
        <v>0.24054</v>
      </c>
      <c r="AA58" s="15" t="n">
        <v>-0.12655</v>
      </c>
      <c r="AB58" s="15" t="n">
        <v>0.14403</v>
      </c>
      <c r="AC58" s="15" t="n">
        <v>-0.19747</v>
      </c>
      <c r="AD58" s="15" t="n">
        <v>0.29937</v>
      </c>
      <c r="AE58" s="15" t="n">
        <v>0.18181</v>
      </c>
      <c r="AF58" s="15" t="n">
        <v>0.159</v>
      </c>
      <c r="AG58" s="15" t="n">
        <v>-0.172</v>
      </c>
      <c r="AH58" s="15" t="n">
        <v>-0.16201</v>
      </c>
      <c r="AI58" s="15" t="n">
        <v>0.9328</v>
      </c>
      <c r="AJ58" s="15" t="n">
        <v>-0.21592</v>
      </c>
      <c r="AK58" s="15" t="n">
        <v>-0.59708</v>
      </c>
      <c r="AL58" s="15" t="n">
        <v>-0.25116</v>
      </c>
      <c r="AM58" s="15" t="n">
        <v>-0.4628</v>
      </c>
      <c r="AN58" s="15" t="n">
        <v>0.17387</v>
      </c>
      <c r="AO58" s="15" t="n">
        <v>-0.16765</v>
      </c>
      <c r="AP58" s="15" t="n">
        <v>-0.17895</v>
      </c>
      <c r="AQ58" s="15" t="n">
        <v>-0.59158</v>
      </c>
      <c r="AR58" s="15" t="n">
        <v>-0.24572</v>
      </c>
      <c r="AS58" s="15" t="n">
        <v>-0.3252</v>
      </c>
      <c r="AT58" s="15" t="n">
        <v>-0.30769</v>
      </c>
      <c r="AU58" s="15" t="n">
        <v>-0.28468</v>
      </c>
      <c r="AV58" s="15" t="n">
        <v>-0.74018</v>
      </c>
      <c r="AW58" s="15" t="n">
        <v>1.0014</v>
      </c>
      <c r="AX58" s="15" t="n">
        <v>0.019476</v>
      </c>
      <c r="AY58" s="15" t="n">
        <v>1.1378</v>
      </c>
      <c r="AZ58" s="15" t="n">
        <v>-0.4717</v>
      </c>
      <c r="BA58" s="15" t="n">
        <v>-0.059565</v>
      </c>
      <c r="BB58" s="15" t="n">
        <v>-0.70637</v>
      </c>
      <c r="BC58" s="15" t="n">
        <v>0.23619</v>
      </c>
      <c r="BD58" s="15" t="n">
        <v>0.54254</v>
      </c>
      <c r="BE58" s="15" t="n">
        <v>0.77886</v>
      </c>
      <c r="BF58" s="15" t="n">
        <v>0.47181</v>
      </c>
      <c r="BG58" s="15" t="n">
        <v>-1.3766</v>
      </c>
      <c r="BH58" s="15" t="n">
        <v>0.32645</v>
      </c>
      <c r="BI58" s="15" t="n">
        <v>-0.088876</v>
      </c>
      <c r="BJ58" s="15" t="n">
        <v>0.71799</v>
      </c>
      <c r="BK58" s="15" t="n">
        <v>-0.17519</v>
      </c>
      <c r="BL58" s="15" t="n">
        <v>0.060425</v>
      </c>
      <c r="BM58" s="15" t="n">
        <v>0.16735</v>
      </c>
      <c r="BN58" s="15" t="n">
        <v>0.098728</v>
      </c>
      <c r="BO58" s="15" t="n">
        <v>-0.45532</v>
      </c>
      <c r="BP58" s="15" t="n">
        <v>0.47415</v>
      </c>
      <c r="BQ58" s="15" t="n">
        <v>0.75007</v>
      </c>
      <c r="BR58" s="15" t="n">
        <v>-0.1013</v>
      </c>
      <c r="BS58" s="15" t="n">
        <v>-0.19118</v>
      </c>
      <c r="BT58" s="15" t="n">
        <v>-0.059377</v>
      </c>
      <c r="BU58" s="15" t="n">
        <v>-0.16732</v>
      </c>
      <c r="BV58" s="15" t="n">
        <v>0.6076</v>
      </c>
      <c r="BW58" s="15" t="n">
        <v>-0.11072</v>
      </c>
      <c r="BX58" s="15" t="n">
        <v>-0.36926</v>
      </c>
      <c r="BY58" s="15" t="n">
        <v>-0.23943</v>
      </c>
      <c r="BZ58" s="15" t="n">
        <v>0.81874</v>
      </c>
      <c r="CA58" s="15" t="n">
        <v>-1.2075</v>
      </c>
      <c r="CB58" s="15" t="n">
        <v>-0.096934</v>
      </c>
      <c r="CC58" s="15" t="n">
        <v>-0.28638</v>
      </c>
      <c r="CD58" s="15" t="n">
        <v>-0.3109</v>
      </c>
      <c r="CE58" s="15" t="n">
        <v>0.18752</v>
      </c>
      <c r="CF58" s="15" t="n">
        <v>-0.10751</v>
      </c>
      <c r="CG58" s="15" t="n">
        <v>0.20549</v>
      </c>
      <c r="CH58" s="15" t="n">
        <v>-0.98253</v>
      </c>
      <c r="CI58" s="15" t="n">
        <v>0.030931</v>
      </c>
      <c r="CJ58" s="15" t="n">
        <v>-0.63678</v>
      </c>
      <c r="CK58" s="15" t="n">
        <v>0.59619</v>
      </c>
      <c r="CL58" s="15" t="n">
        <v>0.33969</v>
      </c>
      <c r="CM58" s="15" t="n">
        <v>0.0037316</v>
      </c>
      <c r="CN58" s="15" t="n">
        <v>-0.54216</v>
      </c>
      <c r="CO58" s="15" t="n">
        <v>-0.65091</v>
      </c>
      <c r="CP58" s="15" t="n">
        <v>-0.0031017</v>
      </c>
      <c r="CQ58" s="15" t="n">
        <v>0.12474</v>
      </c>
      <c r="CR58" s="15" t="n">
        <v>-0.076992</v>
      </c>
      <c r="CS58" s="15" t="n">
        <v>-0.67311</v>
      </c>
      <c r="CT58" s="15" t="n">
        <v>-0.10189</v>
      </c>
      <c r="CU58" s="15" t="n">
        <v>-1.0249</v>
      </c>
      <c r="CV58" s="15" t="n">
        <v>0.23243</v>
      </c>
      <c r="CW58" s="15" t="n">
        <v>-0.4452</v>
      </c>
      <c r="CX58" s="15" t="n">
        <v>-0.18137</v>
      </c>
      <c r="CY58" s="15" t="n">
        <v>0.17904</v>
      </c>
    </row>
    <row r="59" customFormat="false" ht="15" hidden="false" customHeight="false" outlineLevel="0" collapsed="false">
      <c r="A59" s="4" t="s">
        <v>192</v>
      </c>
      <c r="B59" s="2" t="n">
        <f aca="false">COUNTIF('1.3 TF-IDF coseno'!$M$10:$M$123,A59)</f>
        <v>1</v>
      </c>
      <c r="C59" s="2" t="n">
        <f aca="false">COUNTIF('1.3 TF-IDF coseno'!$N$10:$N$102,A59)</f>
        <v>0</v>
      </c>
      <c r="D59" s="15" t="n">
        <v>0.44374</v>
      </c>
      <c r="E59" s="15" t="n">
        <v>0.67311</v>
      </c>
      <c r="F59" s="15" t="n">
        <v>-0.51096</v>
      </c>
      <c r="G59" s="15" t="n">
        <v>0.20882</v>
      </c>
      <c r="H59" s="15" t="n">
        <v>-0.10662</v>
      </c>
      <c r="I59" s="15" t="n">
        <v>0.55098</v>
      </c>
      <c r="J59" s="15" t="n">
        <v>-0.035593</v>
      </c>
      <c r="K59" s="15" t="n">
        <v>0.25126</v>
      </c>
      <c r="L59" s="15" t="n">
        <v>-0.32789</v>
      </c>
      <c r="M59" s="15" t="n">
        <v>1.0762</v>
      </c>
      <c r="N59" s="15" t="n">
        <v>-0.49637</v>
      </c>
      <c r="O59" s="15" t="n">
        <v>-0.4298</v>
      </c>
      <c r="P59" s="15" t="n">
        <v>0.36764</v>
      </c>
      <c r="Q59" s="15" t="n">
        <v>0.57894</v>
      </c>
      <c r="R59" s="15" t="n">
        <v>-0.25027</v>
      </c>
      <c r="S59" s="15" t="n">
        <v>-0.41021</v>
      </c>
      <c r="T59" s="15" t="n">
        <v>0.086998</v>
      </c>
      <c r="U59" s="15" t="n">
        <v>-0.16843</v>
      </c>
      <c r="V59" s="15" t="n">
        <v>-0.85764</v>
      </c>
      <c r="W59" s="15" t="n">
        <v>1.0404</v>
      </c>
      <c r="X59" s="15" t="n">
        <v>-1.0314</v>
      </c>
      <c r="Y59" s="15" t="n">
        <v>0.095147</v>
      </c>
      <c r="Z59" s="15" t="n">
        <v>0.30729</v>
      </c>
      <c r="AA59" s="15" t="n">
        <v>0.12348</v>
      </c>
      <c r="AB59" s="15" t="n">
        <v>0.22745</v>
      </c>
      <c r="AC59" s="15" t="n">
        <v>-0.52157</v>
      </c>
      <c r="AD59" s="15" t="n">
        <v>-0.72478</v>
      </c>
      <c r="AE59" s="15" t="n">
        <v>-1.0843</v>
      </c>
      <c r="AF59" s="15" t="n">
        <v>0.035966</v>
      </c>
      <c r="AG59" s="15" t="n">
        <v>0.62985</v>
      </c>
      <c r="AH59" s="15" t="n">
        <v>-1.0991</v>
      </c>
      <c r="AI59" s="15" t="n">
        <v>0.67161</v>
      </c>
      <c r="AJ59" s="15" t="n">
        <v>0.33797</v>
      </c>
      <c r="AK59" s="15" t="n">
        <v>0.14551</v>
      </c>
      <c r="AL59" s="15" t="n">
        <v>-0.90049</v>
      </c>
      <c r="AM59" s="15" t="n">
        <v>-0.064415</v>
      </c>
      <c r="AN59" s="15" t="n">
        <v>-0.75247</v>
      </c>
      <c r="AO59" s="15" t="n">
        <v>0.21741</v>
      </c>
      <c r="AP59" s="15" t="n">
        <v>0.51594</v>
      </c>
      <c r="AQ59" s="15" t="n">
        <v>-0.46291</v>
      </c>
      <c r="AR59" s="15" t="n">
        <v>-0.77598</v>
      </c>
      <c r="AS59" s="15" t="n">
        <v>0.40705</v>
      </c>
      <c r="AT59" s="15" t="n">
        <v>0.1889</v>
      </c>
      <c r="AU59" s="15" t="n">
        <v>-0.43402</v>
      </c>
      <c r="AV59" s="15" t="n">
        <v>0.23202</v>
      </c>
      <c r="AW59" s="15" t="n">
        <v>-0.081453</v>
      </c>
      <c r="AX59" s="15" t="n">
        <v>-0.3882</v>
      </c>
      <c r="AY59" s="15" t="n">
        <v>-0.34444</v>
      </c>
      <c r="AZ59" s="15" t="n">
        <v>0.080225</v>
      </c>
      <c r="BA59" s="15" t="n">
        <v>-0.28274</v>
      </c>
      <c r="BB59" s="15" t="n">
        <v>-0.38869</v>
      </c>
      <c r="BC59" s="15" t="n">
        <v>-0.58152</v>
      </c>
      <c r="BD59" s="15" t="n">
        <v>-0.25558</v>
      </c>
      <c r="BE59" s="15" t="n">
        <v>1.0027</v>
      </c>
      <c r="BF59" s="15" t="n">
        <v>-0.11114</v>
      </c>
      <c r="BG59" s="15" t="n">
        <v>-1.5402</v>
      </c>
      <c r="BH59" s="15" t="n">
        <v>-0.16761</v>
      </c>
      <c r="BI59" s="15" t="n">
        <v>-0.26558</v>
      </c>
      <c r="BJ59" s="15" t="n">
        <v>0.9325</v>
      </c>
      <c r="BK59" s="15" t="n">
        <v>0.069397</v>
      </c>
      <c r="BL59" s="15" t="n">
        <v>0.96618</v>
      </c>
      <c r="BM59" s="15" t="n">
        <v>0.15449</v>
      </c>
      <c r="BN59" s="15" t="n">
        <v>-0.22905</v>
      </c>
      <c r="BO59" s="15" t="n">
        <v>-0.1761</v>
      </c>
      <c r="BP59" s="15" t="n">
        <v>0.13225</v>
      </c>
      <c r="BQ59" s="15" t="n">
        <v>-0.55741</v>
      </c>
      <c r="BR59" s="15" t="n">
        <v>0.9234</v>
      </c>
      <c r="BS59" s="15" t="n">
        <v>-0.04845</v>
      </c>
      <c r="BT59" s="15" t="n">
        <v>0.50202</v>
      </c>
      <c r="BU59" s="15" t="n">
        <v>1.0144</v>
      </c>
      <c r="BV59" s="15" t="n">
        <v>-0.1256</v>
      </c>
      <c r="BW59" s="15" t="n">
        <v>0.30486</v>
      </c>
      <c r="BX59" s="15" t="n">
        <v>0.090808</v>
      </c>
      <c r="BY59" s="15" t="n">
        <v>0.17642</v>
      </c>
      <c r="BZ59" s="15" t="n">
        <v>-0.23146</v>
      </c>
      <c r="CA59" s="15" t="n">
        <v>0.68386</v>
      </c>
      <c r="CB59" s="15" t="n">
        <v>0.37269</v>
      </c>
      <c r="CC59" s="15" t="n">
        <v>-0.37316</v>
      </c>
      <c r="CD59" s="15" t="n">
        <v>-0.025728</v>
      </c>
      <c r="CE59" s="15" t="n">
        <v>-1.0279</v>
      </c>
      <c r="CF59" s="15" t="n">
        <v>-0.33142</v>
      </c>
      <c r="CG59" s="15" t="n">
        <v>0.036028</v>
      </c>
      <c r="CH59" s="15" t="n">
        <v>-0.24925</v>
      </c>
      <c r="CI59" s="15" t="n">
        <v>-1.4405</v>
      </c>
      <c r="CJ59" s="15" t="n">
        <v>-1.6267</v>
      </c>
      <c r="CK59" s="15" t="n">
        <v>0.082284</v>
      </c>
      <c r="CL59" s="15" t="n">
        <v>-0.080153</v>
      </c>
      <c r="CM59" s="15" t="n">
        <v>-0.50802</v>
      </c>
      <c r="CN59" s="15" t="n">
        <v>0.031885</v>
      </c>
      <c r="CO59" s="15" t="n">
        <v>-0.60546</v>
      </c>
      <c r="CP59" s="15" t="n">
        <v>0.2908</v>
      </c>
      <c r="CQ59" s="15" t="n">
        <v>0.036842</v>
      </c>
      <c r="CR59" s="15" t="n">
        <v>0.55328</v>
      </c>
      <c r="CS59" s="15" t="n">
        <v>0.66784</v>
      </c>
      <c r="CT59" s="15" t="n">
        <v>-0.42574</v>
      </c>
      <c r="CU59" s="15" t="n">
        <v>0.53331</v>
      </c>
      <c r="CV59" s="15" t="n">
        <v>0.053644</v>
      </c>
      <c r="CW59" s="15" t="n">
        <v>-0.66522</v>
      </c>
      <c r="CX59" s="15" t="n">
        <v>-0.10012</v>
      </c>
      <c r="CY59" s="15" t="n">
        <v>-0.17729</v>
      </c>
    </row>
    <row r="60" customFormat="false" ht="15" hidden="false" customHeight="false" outlineLevel="0" collapsed="false">
      <c r="A60" s="4" t="s">
        <v>193</v>
      </c>
      <c r="B60" s="2" t="n">
        <f aca="false">COUNTIF('1.3 TF-IDF coseno'!$M$10:$M$123,A60)</f>
        <v>1</v>
      </c>
      <c r="C60" s="2" t="n">
        <f aca="false">COUNTIF('1.3 TF-IDF coseno'!$N$10:$N$102,A60)</f>
        <v>0</v>
      </c>
      <c r="D60" s="15" t="n">
        <v>0.56269</v>
      </c>
      <c r="E60" s="15" t="n">
        <v>-0.29359</v>
      </c>
      <c r="F60" s="15" t="n">
        <v>-0.25903</v>
      </c>
      <c r="G60" s="15" t="n">
        <v>0.2061</v>
      </c>
      <c r="H60" s="15" t="n">
        <v>-0.3461</v>
      </c>
      <c r="I60" s="15" t="n">
        <v>0.37589</v>
      </c>
      <c r="J60" s="15" t="n">
        <v>0.14506</v>
      </c>
      <c r="K60" s="15" t="n">
        <v>-0.57088</v>
      </c>
      <c r="L60" s="15" t="n">
        <v>-0.90083</v>
      </c>
      <c r="M60" s="15" t="n">
        <v>0.19506</v>
      </c>
      <c r="N60" s="15" t="n">
        <v>0.26717</v>
      </c>
      <c r="O60" s="15" t="n">
        <v>-1.393</v>
      </c>
      <c r="P60" s="15" t="n">
        <v>0.878</v>
      </c>
      <c r="Q60" s="15" t="n">
        <v>-0.14264</v>
      </c>
      <c r="R60" s="15" t="n">
        <v>-0.71422</v>
      </c>
      <c r="S60" s="15" t="n">
        <v>0.095461</v>
      </c>
      <c r="T60" s="15" t="n">
        <v>1.2468</v>
      </c>
      <c r="U60" s="15" t="n">
        <v>0.38657</v>
      </c>
      <c r="V60" s="15" t="n">
        <v>-0.014578</v>
      </c>
      <c r="W60" s="15" t="n">
        <v>0.68942</v>
      </c>
      <c r="X60" s="15" t="n">
        <v>-0.69206</v>
      </c>
      <c r="Y60" s="15" t="n">
        <v>0.41037</v>
      </c>
      <c r="Z60" s="15" t="n">
        <v>0.13325</v>
      </c>
      <c r="AA60" s="15" t="n">
        <v>-0.3948</v>
      </c>
      <c r="AB60" s="15" t="n">
        <v>0.13658</v>
      </c>
      <c r="AC60" s="15" t="n">
        <v>-0.55936</v>
      </c>
      <c r="AD60" s="15" t="n">
        <v>0.080945</v>
      </c>
      <c r="AE60" s="15" t="n">
        <v>-1.2585</v>
      </c>
      <c r="AF60" s="15" t="n">
        <v>0.54398</v>
      </c>
      <c r="AG60" s="15" t="n">
        <v>0.17343</v>
      </c>
      <c r="AH60" s="15" t="n">
        <v>-0.97913</v>
      </c>
      <c r="AI60" s="15" t="n">
        <v>0.84029</v>
      </c>
      <c r="AJ60" s="15" t="n">
        <v>-0.60495</v>
      </c>
      <c r="AK60" s="15" t="n">
        <v>-0.49078</v>
      </c>
      <c r="AL60" s="15" t="n">
        <v>0.3443</v>
      </c>
      <c r="AM60" s="15" t="n">
        <v>-0.012573</v>
      </c>
      <c r="AN60" s="15" t="n">
        <v>-1.0144</v>
      </c>
      <c r="AO60" s="15" t="n">
        <v>0.80372</v>
      </c>
      <c r="AP60" s="15" t="n">
        <v>-0.26061</v>
      </c>
      <c r="AQ60" s="15" t="n">
        <v>0.0662</v>
      </c>
      <c r="AR60" s="15" t="n">
        <v>0.14586</v>
      </c>
      <c r="AS60" s="15" t="n">
        <v>0.22081</v>
      </c>
      <c r="AT60" s="15" t="n">
        <v>0.14576</v>
      </c>
      <c r="AU60" s="15" t="n">
        <v>-0.34968</v>
      </c>
      <c r="AV60" s="15" t="n">
        <v>0.14797</v>
      </c>
      <c r="AW60" s="15" t="n">
        <v>-0.17799</v>
      </c>
      <c r="AX60" s="15" t="n">
        <v>0.15572</v>
      </c>
      <c r="AY60" s="15" t="n">
        <v>-0.52772</v>
      </c>
      <c r="AZ60" s="15" t="n">
        <v>0.16334</v>
      </c>
      <c r="BA60" s="15" t="n">
        <v>-0.54096</v>
      </c>
      <c r="BB60" s="15" t="n">
        <v>-0.74919</v>
      </c>
      <c r="BC60" s="15" t="n">
        <v>-0.53568</v>
      </c>
      <c r="BD60" s="15" t="n">
        <v>-0.57424</v>
      </c>
      <c r="BE60" s="15" t="n">
        <v>0.6511</v>
      </c>
      <c r="BF60" s="15" t="n">
        <v>0.67955</v>
      </c>
      <c r="BG60" s="15" t="n">
        <v>-1.8175</v>
      </c>
      <c r="BH60" s="15" t="n">
        <v>0.055125</v>
      </c>
      <c r="BI60" s="15" t="n">
        <v>-0.64067</v>
      </c>
      <c r="BJ60" s="15" t="n">
        <v>1.5057</v>
      </c>
      <c r="BK60" s="15" t="n">
        <v>0.95057</v>
      </c>
      <c r="BL60" s="15" t="n">
        <v>0.036192</v>
      </c>
      <c r="BM60" s="15" t="n">
        <v>0.56674</v>
      </c>
      <c r="BN60" s="15" t="n">
        <v>-0.92267</v>
      </c>
      <c r="BO60" s="15" t="n">
        <v>-0.026297</v>
      </c>
      <c r="BP60" s="15" t="n">
        <v>0.45529</v>
      </c>
      <c r="BQ60" s="15" t="n">
        <v>-0.32638</v>
      </c>
      <c r="BR60" s="15" t="n">
        <v>0.044945</v>
      </c>
      <c r="BS60" s="15" t="n">
        <v>0.16976</v>
      </c>
      <c r="BT60" s="15" t="n">
        <v>0.56132</v>
      </c>
      <c r="BU60" s="15" t="n">
        <v>0.36823</v>
      </c>
      <c r="BV60" s="15" t="n">
        <v>-0.2524</v>
      </c>
      <c r="BW60" s="15" t="n">
        <v>-0.0017464</v>
      </c>
      <c r="BX60" s="15" t="n">
        <v>0.1453</v>
      </c>
      <c r="BY60" s="15" t="n">
        <v>0.36659</v>
      </c>
      <c r="BZ60" s="15" t="n">
        <v>-0.063373</v>
      </c>
      <c r="CA60" s="15" t="n">
        <v>0.15189</v>
      </c>
      <c r="CB60" s="15" t="n">
        <v>0.45001</v>
      </c>
      <c r="CC60" s="15" t="n">
        <v>0.028299</v>
      </c>
      <c r="CD60" s="15" t="n">
        <v>-0.44997</v>
      </c>
      <c r="CE60" s="15" t="n">
        <v>-1.0153</v>
      </c>
      <c r="CF60" s="15" t="n">
        <v>0.78465</v>
      </c>
      <c r="CG60" s="15" t="n">
        <v>0.18967</v>
      </c>
      <c r="CH60" s="15" t="n">
        <v>0.58588</v>
      </c>
      <c r="CI60" s="15" t="n">
        <v>-0.090864</v>
      </c>
      <c r="CJ60" s="15" t="n">
        <v>-1.0684</v>
      </c>
      <c r="CK60" s="15" t="n">
        <v>-0.13654</v>
      </c>
      <c r="CL60" s="15" t="n">
        <v>-0.64746</v>
      </c>
      <c r="CM60" s="15" t="n">
        <v>0.45592</v>
      </c>
      <c r="CN60" s="15" t="n">
        <v>-0.0069468</v>
      </c>
      <c r="CO60" s="15" t="n">
        <v>-0.60783</v>
      </c>
      <c r="CP60" s="15" t="n">
        <v>-0.25013</v>
      </c>
      <c r="CQ60" s="15" t="n">
        <v>0.013189</v>
      </c>
      <c r="CR60" s="15" t="n">
        <v>-0.27407</v>
      </c>
      <c r="CS60" s="15" t="n">
        <v>0.23559</v>
      </c>
      <c r="CT60" s="15" t="n">
        <v>0.20152</v>
      </c>
      <c r="CU60" s="15" t="n">
        <v>0.46655</v>
      </c>
      <c r="CV60" s="15" t="n">
        <v>-0.93031</v>
      </c>
      <c r="CW60" s="15" t="n">
        <v>0.20036</v>
      </c>
      <c r="CX60" s="15" t="n">
        <v>0.89667</v>
      </c>
      <c r="CY60" s="15" t="n">
        <v>0.028655</v>
      </c>
    </row>
    <row r="61" customFormat="false" ht="15" hidden="false" customHeight="false" outlineLevel="0" collapsed="false">
      <c r="A61" s="4" t="s">
        <v>194</v>
      </c>
      <c r="B61" s="2" t="n">
        <f aca="false">COUNTIF('1.3 TF-IDF coseno'!$M$10:$M$123,A61)</f>
        <v>1</v>
      </c>
      <c r="C61" s="2" t="n">
        <f aca="false">COUNTIF('1.3 TF-IDF coseno'!$N$10:$N$102,A61)</f>
        <v>0</v>
      </c>
      <c r="D61" s="15" t="n">
        <v>0.1313</v>
      </c>
      <c r="E61" s="15" t="n">
        <v>0.33375</v>
      </c>
      <c r="F61" s="15" t="n">
        <v>-0.095992</v>
      </c>
      <c r="G61" s="15" t="n">
        <v>0.52787</v>
      </c>
      <c r="H61" s="15" t="n">
        <v>0.62998</v>
      </c>
      <c r="I61" s="15" t="n">
        <v>-1.3223</v>
      </c>
      <c r="J61" s="15" t="n">
        <v>-0.042407</v>
      </c>
      <c r="K61" s="15" t="n">
        <v>0.45094</v>
      </c>
      <c r="L61" s="15" t="n">
        <v>0.055055</v>
      </c>
      <c r="M61" s="15" t="n">
        <v>0.43993</v>
      </c>
      <c r="N61" s="15" t="n">
        <v>-0.20101</v>
      </c>
      <c r="O61" s="15" t="n">
        <v>-0.52011</v>
      </c>
      <c r="P61" s="15" t="n">
        <v>0.2459</v>
      </c>
      <c r="Q61" s="15" t="n">
        <v>-0.38699</v>
      </c>
      <c r="R61" s="15" t="n">
        <v>0.28618</v>
      </c>
      <c r="S61" s="15" t="n">
        <v>-0.35855</v>
      </c>
      <c r="T61" s="15" t="n">
        <v>0.079951</v>
      </c>
      <c r="U61" s="15" t="n">
        <v>0.038203</v>
      </c>
      <c r="V61" s="15" t="n">
        <v>-0.32937</v>
      </c>
      <c r="W61" s="15" t="n">
        <v>0.085553</v>
      </c>
      <c r="X61" s="15" t="n">
        <v>-0.65535</v>
      </c>
      <c r="Y61" s="15" t="n">
        <v>-0.17822</v>
      </c>
      <c r="Z61" s="15" t="n">
        <v>-0.070652</v>
      </c>
      <c r="AA61" s="15" t="n">
        <v>0.2407</v>
      </c>
      <c r="AB61" s="15" t="n">
        <v>-0.59411</v>
      </c>
      <c r="AC61" s="15" t="n">
        <v>0.27116</v>
      </c>
      <c r="AD61" s="15" t="n">
        <v>0.19711</v>
      </c>
      <c r="AE61" s="15" t="n">
        <v>-0.079591</v>
      </c>
      <c r="AF61" s="15" t="n">
        <v>-1.1648</v>
      </c>
      <c r="AG61" s="15" t="n">
        <v>0.44909</v>
      </c>
      <c r="AH61" s="15" t="n">
        <v>-1.2067</v>
      </c>
      <c r="AI61" s="15" t="n">
        <v>0.8448</v>
      </c>
      <c r="AJ61" s="15" t="n">
        <v>-0.11339</v>
      </c>
      <c r="AK61" s="15" t="n">
        <v>0.027953</v>
      </c>
      <c r="AL61" s="15" t="n">
        <v>-0.10144</v>
      </c>
      <c r="AM61" s="15" t="n">
        <v>-0.19139</v>
      </c>
      <c r="AN61" s="15" t="n">
        <v>0.20451</v>
      </c>
      <c r="AO61" s="15" t="n">
        <v>0.67898</v>
      </c>
      <c r="AP61" s="15" t="n">
        <v>-0.60232</v>
      </c>
      <c r="AQ61" s="15" t="n">
        <v>0.076071</v>
      </c>
      <c r="AR61" s="15" t="n">
        <v>-0.73811</v>
      </c>
      <c r="AS61" s="15" t="n">
        <v>-0.46511</v>
      </c>
      <c r="AT61" s="15" t="n">
        <v>-0.098988</v>
      </c>
      <c r="AU61" s="15" t="n">
        <v>0.14212</v>
      </c>
      <c r="AV61" s="15" t="n">
        <v>0.35802</v>
      </c>
      <c r="AW61" s="15" t="n">
        <v>0.079433</v>
      </c>
      <c r="AX61" s="15" t="n">
        <v>0.36309</v>
      </c>
      <c r="AY61" s="15" t="n">
        <v>0.35731</v>
      </c>
      <c r="AZ61" s="15" t="n">
        <v>-0.50885</v>
      </c>
      <c r="BA61" s="15" t="n">
        <v>-0.52532</v>
      </c>
      <c r="BB61" s="15" t="n">
        <v>-0.42422</v>
      </c>
      <c r="BC61" s="15" t="n">
        <v>0.026367</v>
      </c>
      <c r="BD61" s="15" t="n">
        <v>-0.078353</v>
      </c>
      <c r="BE61" s="15" t="n">
        <v>0.93074</v>
      </c>
      <c r="BF61" s="15" t="n">
        <v>0.5797</v>
      </c>
      <c r="BG61" s="15" t="n">
        <v>-2.1415</v>
      </c>
      <c r="BH61" s="15" t="n">
        <v>-0.2674</v>
      </c>
      <c r="BI61" s="15" t="n">
        <v>-0.13862</v>
      </c>
      <c r="BJ61" s="15" t="n">
        <v>1.9782</v>
      </c>
      <c r="BK61" s="15" t="n">
        <v>0.11955</v>
      </c>
      <c r="BL61" s="15" t="n">
        <v>-0.48676</v>
      </c>
      <c r="BM61" s="15" t="n">
        <v>0.089488</v>
      </c>
      <c r="BN61" s="15" t="n">
        <v>-0.23171</v>
      </c>
      <c r="BO61" s="15" t="n">
        <v>0.0108</v>
      </c>
      <c r="BP61" s="15" t="n">
        <v>0.88897</v>
      </c>
      <c r="BQ61" s="15" t="n">
        <v>0.17477</v>
      </c>
      <c r="BR61" s="15" t="n">
        <v>-0.13363</v>
      </c>
      <c r="BS61" s="15" t="n">
        <v>0.28618</v>
      </c>
      <c r="BT61" s="15" t="n">
        <v>1.1447</v>
      </c>
      <c r="BU61" s="15" t="n">
        <v>-0.27118</v>
      </c>
      <c r="BV61" s="15" t="n">
        <v>0.75552</v>
      </c>
      <c r="BW61" s="15" t="n">
        <v>0.089674</v>
      </c>
      <c r="BX61" s="15" t="n">
        <v>-0.17841</v>
      </c>
      <c r="BY61" s="15" t="n">
        <v>-1.1969</v>
      </c>
      <c r="BZ61" s="15" t="n">
        <v>0.26617</v>
      </c>
      <c r="CA61" s="15" t="n">
        <v>-0.42645</v>
      </c>
      <c r="CB61" s="15" t="n">
        <v>-0.46274</v>
      </c>
      <c r="CC61" s="15" t="n">
        <v>0.45859</v>
      </c>
      <c r="CD61" s="15" t="n">
        <v>-1.1594</v>
      </c>
      <c r="CE61" s="15" t="n">
        <v>-0.033954</v>
      </c>
      <c r="CF61" s="15" t="n">
        <v>0.31404</v>
      </c>
      <c r="CG61" s="15" t="n">
        <v>0.95328</v>
      </c>
      <c r="CH61" s="15" t="n">
        <v>-0.042734</v>
      </c>
      <c r="CI61" s="15" t="n">
        <v>0.56367</v>
      </c>
      <c r="CJ61" s="15" t="n">
        <v>-1.4059</v>
      </c>
      <c r="CK61" s="15" t="n">
        <v>1.1308</v>
      </c>
      <c r="CL61" s="15" t="n">
        <v>-0.17155</v>
      </c>
      <c r="CM61" s="15" t="n">
        <v>-0.67812</v>
      </c>
      <c r="CN61" s="15" t="n">
        <v>0.084745</v>
      </c>
      <c r="CO61" s="15" t="n">
        <v>-0.75649</v>
      </c>
      <c r="CP61" s="15" t="n">
        <v>0.45106</v>
      </c>
      <c r="CQ61" s="15" t="n">
        <v>-0.35356</v>
      </c>
      <c r="CR61" s="15" t="n">
        <v>-0.23232</v>
      </c>
      <c r="CS61" s="15" t="n">
        <v>0.046161</v>
      </c>
      <c r="CT61" s="15" t="n">
        <v>-0.070882</v>
      </c>
      <c r="CU61" s="15" t="n">
        <v>0.42952</v>
      </c>
      <c r="CV61" s="15" t="n">
        <v>-0.27663</v>
      </c>
      <c r="CW61" s="15" t="n">
        <v>-0.73742</v>
      </c>
      <c r="CX61" s="15" t="n">
        <v>1.224</v>
      </c>
      <c r="CY61" s="15" t="n">
        <v>-0.074404</v>
      </c>
    </row>
    <row r="62" customFormat="false" ht="15" hidden="false" customHeight="false" outlineLevel="0" collapsed="false">
      <c r="A62" s="4" t="s">
        <v>195</v>
      </c>
      <c r="B62" s="2" t="n">
        <f aca="false">COUNTIF('1.3 TF-IDF coseno'!$M$10:$M$123,A62)</f>
        <v>1</v>
      </c>
      <c r="C62" s="2" t="n">
        <f aca="false">COUNTIF('1.3 TF-IDF coseno'!$N$10:$N$102,A62)</f>
        <v>0</v>
      </c>
      <c r="D62" s="15" t="n">
        <v>0.121</v>
      </c>
      <c r="E62" s="15" t="n">
        <v>-0.1358</v>
      </c>
      <c r="F62" s="15" t="n">
        <v>-1.0476</v>
      </c>
      <c r="G62" s="15" t="n">
        <v>-0.15347</v>
      </c>
      <c r="H62" s="15" t="n">
        <v>0.38006</v>
      </c>
      <c r="I62" s="15" t="n">
        <v>-0.14187</v>
      </c>
      <c r="J62" s="15" t="n">
        <v>-0.50009</v>
      </c>
      <c r="K62" s="15" t="n">
        <v>0.5951</v>
      </c>
      <c r="L62" s="15" t="n">
        <v>-0.06607</v>
      </c>
      <c r="M62" s="15" t="n">
        <v>0.53622</v>
      </c>
      <c r="N62" s="15" t="n">
        <v>0.043783</v>
      </c>
      <c r="O62" s="15" t="n">
        <v>-0.16734</v>
      </c>
      <c r="P62" s="15" t="n">
        <v>0.90246</v>
      </c>
      <c r="Q62" s="15" t="n">
        <v>-0.059523</v>
      </c>
      <c r="R62" s="15" t="n">
        <v>-0.4068</v>
      </c>
      <c r="S62" s="15" t="n">
        <v>0.19529</v>
      </c>
      <c r="T62" s="15" t="n">
        <v>-0.069116</v>
      </c>
      <c r="U62" s="15" t="n">
        <v>0.25348</v>
      </c>
      <c r="V62" s="15" t="n">
        <v>-0.76344</v>
      </c>
      <c r="W62" s="15" t="n">
        <v>0.44799</v>
      </c>
      <c r="X62" s="15" t="n">
        <v>-0.18426</v>
      </c>
      <c r="Y62" s="15" t="n">
        <v>0.020684</v>
      </c>
      <c r="Z62" s="15" t="n">
        <v>0.44316</v>
      </c>
      <c r="AA62" s="15" t="n">
        <v>-0.17511</v>
      </c>
      <c r="AB62" s="15" t="n">
        <v>-1.1352</v>
      </c>
      <c r="AC62" s="15" t="n">
        <v>0.11078</v>
      </c>
      <c r="AD62" s="15" t="n">
        <v>-0.4876</v>
      </c>
      <c r="AE62" s="15" t="n">
        <v>0.097485</v>
      </c>
      <c r="AF62" s="15" t="n">
        <v>-0.3032</v>
      </c>
      <c r="AG62" s="15" t="n">
        <v>0.38988</v>
      </c>
      <c r="AH62" s="15" t="n">
        <v>-0.73316</v>
      </c>
      <c r="AI62" s="15" t="n">
        <v>0.16842</v>
      </c>
      <c r="AJ62" s="15" t="n">
        <v>-0.3081</v>
      </c>
      <c r="AK62" s="15" t="n">
        <v>-0.26963</v>
      </c>
      <c r="AL62" s="15" t="n">
        <v>-0.070239</v>
      </c>
      <c r="AM62" s="15" t="n">
        <v>-0.035017</v>
      </c>
      <c r="AN62" s="15" t="n">
        <v>0.33423</v>
      </c>
      <c r="AO62" s="15" t="n">
        <v>-0.14445</v>
      </c>
      <c r="AP62" s="15" t="n">
        <v>-1.0929</v>
      </c>
      <c r="AQ62" s="15" t="n">
        <v>-0.44195</v>
      </c>
      <c r="AR62" s="15" t="n">
        <v>-0.43379</v>
      </c>
      <c r="AS62" s="15" t="n">
        <v>-0.19069</v>
      </c>
      <c r="AT62" s="15" t="n">
        <v>0.2697</v>
      </c>
      <c r="AU62" s="15" t="n">
        <v>0.18855</v>
      </c>
      <c r="AV62" s="15" t="n">
        <v>0.15503</v>
      </c>
      <c r="AW62" s="15" t="n">
        <v>-0.37182</v>
      </c>
      <c r="AX62" s="15" t="n">
        <v>-0.070817</v>
      </c>
      <c r="AY62" s="15" t="n">
        <v>-0.2118</v>
      </c>
      <c r="AZ62" s="15" t="n">
        <v>0.16227</v>
      </c>
      <c r="BA62" s="15" t="n">
        <v>-0.83012</v>
      </c>
      <c r="BB62" s="15" t="n">
        <v>0.51912</v>
      </c>
      <c r="BC62" s="15" t="n">
        <v>0.34153</v>
      </c>
      <c r="BD62" s="15" t="n">
        <v>-0.2946</v>
      </c>
      <c r="BE62" s="15" t="n">
        <v>0.92195</v>
      </c>
      <c r="BF62" s="15" t="n">
        <v>0.13094</v>
      </c>
      <c r="BG62" s="15" t="n">
        <v>-1.2815</v>
      </c>
      <c r="BH62" s="15" t="n">
        <v>0.29019</v>
      </c>
      <c r="BI62" s="15" t="n">
        <v>-0.4785</v>
      </c>
      <c r="BJ62" s="15" t="n">
        <v>2.062</v>
      </c>
      <c r="BK62" s="15" t="n">
        <v>0.51267</v>
      </c>
      <c r="BL62" s="15" t="n">
        <v>-0.70321</v>
      </c>
      <c r="BM62" s="15" t="n">
        <v>0.53947</v>
      </c>
      <c r="BN62" s="15" t="n">
        <v>0.33108</v>
      </c>
      <c r="BO62" s="15" t="n">
        <v>-0.59896</v>
      </c>
      <c r="BP62" s="15" t="n">
        <v>0.74042</v>
      </c>
      <c r="BQ62" s="15" t="n">
        <v>0.28834</v>
      </c>
      <c r="BR62" s="15" t="n">
        <v>0.52225</v>
      </c>
      <c r="BS62" s="15" t="n">
        <v>-0.3164</v>
      </c>
      <c r="BT62" s="15" t="n">
        <v>1.5189</v>
      </c>
      <c r="BU62" s="15" t="n">
        <v>0.10229</v>
      </c>
      <c r="BV62" s="15" t="n">
        <v>0.30012</v>
      </c>
      <c r="BW62" s="15" t="n">
        <v>-1.3107</v>
      </c>
      <c r="BX62" s="15" t="n">
        <v>0.079119</v>
      </c>
      <c r="BY62" s="15" t="n">
        <v>-0.22555</v>
      </c>
      <c r="BZ62" s="15" t="n">
        <v>-0.23871</v>
      </c>
      <c r="CA62" s="15" t="n">
        <v>-0.23122</v>
      </c>
      <c r="CB62" s="15" t="n">
        <v>0.10724</v>
      </c>
      <c r="CC62" s="15" t="n">
        <v>0.094974</v>
      </c>
      <c r="CD62" s="15" t="n">
        <v>-0.8363</v>
      </c>
      <c r="CE62" s="15" t="n">
        <v>0.23816</v>
      </c>
      <c r="CF62" s="15" t="n">
        <v>0.41712</v>
      </c>
      <c r="CG62" s="15" t="n">
        <v>0.39773</v>
      </c>
      <c r="CH62" s="15" t="n">
        <v>0.53825</v>
      </c>
      <c r="CI62" s="15" t="n">
        <v>0.17263</v>
      </c>
      <c r="CJ62" s="15" t="n">
        <v>-1.5948</v>
      </c>
      <c r="CK62" s="15" t="n">
        <v>0.38164</v>
      </c>
      <c r="CL62" s="15" t="n">
        <v>-0.21758</v>
      </c>
      <c r="CM62" s="15" t="n">
        <v>0.17171</v>
      </c>
      <c r="CN62" s="15" t="n">
        <v>0.40641</v>
      </c>
      <c r="CO62" s="15" t="n">
        <v>-0.36807</v>
      </c>
      <c r="CP62" s="15" t="n">
        <v>-1.045</v>
      </c>
      <c r="CQ62" s="15" t="n">
        <v>-0.35445</v>
      </c>
      <c r="CR62" s="15" t="n">
        <v>0.52489</v>
      </c>
      <c r="CS62" s="15" t="n">
        <v>0.10485</v>
      </c>
      <c r="CT62" s="15" t="n">
        <v>0.14778</v>
      </c>
      <c r="CU62" s="15" t="n">
        <v>-0.010415</v>
      </c>
      <c r="CV62" s="15" t="n">
        <v>-0.53194</v>
      </c>
      <c r="CW62" s="15" t="n">
        <v>-0.61598</v>
      </c>
      <c r="CX62" s="15" t="n">
        <v>1.063</v>
      </c>
      <c r="CY62" s="15" t="n">
        <v>0.40539</v>
      </c>
    </row>
    <row r="63" customFormat="false" ht="15" hidden="false" customHeight="false" outlineLevel="0" collapsed="false">
      <c r="A63" s="4" t="s">
        <v>61</v>
      </c>
      <c r="B63" s="2" t="n">
        <f aca="false">COUNTIF('1.3 TF-IDF coseno'!$M$10:$M$123,A63)</f>
        <v>2</v>
      </c>
      <c r="C63" s="2" t="n">
        <f aca="false">COUNTIF('1.3 TF-IDF coseno'!$N$10:$N$102,A63)</f>
        <v>7</v>
      </c>
      <c r="D63" s="15" t="n">
        <v>0.045108</v>
      </c>
      <c r="E63" s="15" t="n">
        <v>0.0083492</v>
      </c>
      <c r="F63" s="15" t="n">
        <v>1.0102</v>
      </c>
      <c r="G63" s="15" t="n">
        <v>0.038761</v>
      </c>
      <c r="H63" s="15" t="n">
        <v>-0.30003</v>
      </c>
      <c r="I63" s="15" t="n">
        <v>0.10823</v>
      </c>
      <c r="J63" s="15" t="n">
        <v>0.26686</v>
      </c>
      <c r="K63" s="15" t="n">
        <v>-0.17974</v>
      </c>
      <c r="L63" s="15" t="n">
        <v>0.67932</v>
      </c>
      <c r="M63" s="15" t="n">
        <v>-0.084417</v>
      </c>
      <c r="N63" s="15" t="n">
        <v>1.062</v>
      </c>
      <c r="O63" s="15" t="n">
        <v>0.76798</v>
      </c>
      <c r="P63" s="15" t="n">
        <v>-0.11493</v>
      </c>
      <c r="Q63" s="15" t="n">
        <v>0.23955</v>
      </c>
      <c r="R63" s="15" t="n">
        <v>0.077192</v>
      </c>
      <c r="S63" s="15" t="n">
        <v>0.21395</v>
      </c>
      <c r="T63" s="15" t="n">
        <v>-0.078771</v>
      </c>
      <c r="U63" s="15" t="n">
        <v>0.43098</v>
      </c>
      <c r="V63" s="15" t="n">
        <v>-0.11153</v>
      </c>
      <c r="W63" s="15" t="n">
        <v>0.66881</v>
      </c>
      <c r="X63" s="15" t="n">
        <v>0.36504</v>
      </c>
      <c r="Y63" s="15" t="n">
        <v>0.67177</v>
      </c>
      <c r="Z63" s="15" t="n">
        <v>0.088447</v>
      </c>
      <c r="AA63" s="15" t="n">
        <v>0.62206</v>
      </c>
      <c r="AB63" s="15" t="n">
        <v>-0.17987</v>
      </c>
      <c r="AC63" s="15" t="n">
        <v>0.86789</v>
      </c>
      <c r="AD63" s="15" t="n">
        <v>0.30889</v>
      </c>
      <c r="AE63" s="15" t="n">
        <v>-0.5903</v>
      </c>
      <c r="AF63" s="15" t="n">
        <v>0.60903</v>
      </c>
      <c r="AG63" s="15" t="n">
        <v>-0.05802</v>
      </c>
      <c r="AH63" s="15" t="n">
        <v>-0.88395</v>
      </c>
      <c r="AI63" s="15" t="n">
        <v>0.71948</v>
      </c>
      <c r="AJ63" s="15" t="n">
        <v>0.89163</v>
      </c>
      <c r="AK63" s="15" t="n">
        <v>0.40236</v>
      </c>
      <c r="AL63" s="15" t="n">
        <v>0.22299</v>
      </c>
      <c r="AM63" s="15" t="n">
        <v>0.096691</v>
      </c>
      <c r="AN63" s="15" t="n">
        <v>-0.4288</v>
      </c>
      <c r="AO63" s="15" t="n">
        <v>-0.063899</v>
      </c>
      <c r="AP63" s="15" t="n">
        <v>0.40101</v>
      </c>
      <c r="AQ63" s="15" t="n">
        <v>-1.1798</v>
      </c>
      <c r="AR63" s="15" t="n">
        <v>0.47658</v>
      </c>
      <c r="AS63" s="15" t="n">
        <v>0.47404</v>
      </c>
      <c r="AT63" s="15" t="n">
        <v>-0.29498</v>
      </c>
      <c r="AU63" s="15" t="n">
        <v>-0.37048</v>
      </c>
      <c r="AV63" s="15" t="n">
        <v>0.164</v>
      </c>
      <c r="AW63" s="15" t="n">
        <v>-1.0603</v>
      </c>
      <c r="AX63" s="15" t="n">
        <v>-0.33258</v>
      </c>
      <c r="AY63" s="15" t="n">
        <v>0.062372</v>
      </c>
      <c r="AZ63" s="15" t="n">
        <v>0.15286</v>
      </c>
      <c r="BA63" s="15" t="n">
        <v>-0.32601</v>
      </c>
      <c r="BB63" s="15" t="n">
        <v>-0.31319</v>
      </c>
      <c r="BC63" s="15" t="n">
        <v>0.053811</v>
      </c>
      <c r="BD63" s="15" t="n">
        <v>-0.13754</v>
      </c>
      <c r="BE63" s="15" t="n">
        <v>0.0059301</v>
      </c>
      <c r="BF63" s="15" t="n">
        <v>0.11415</v>
      </c>
      <c r="BG63" s="15" t="n">
        <v>-0.62634</v>
      </c>
      <c r="BH63" s="15" t="n">
        <v>0.68874</v>
      </c>
      <c r="BI63" s="15" t="n">
        <v>0.99291</v>
      </c>
      <c r="BJ63" s="15" t="n">
        <v>0.26393</v>
      </c>
      <c r="BK63" s="15" t="n">
        <v>0.92959</v>
      </c>
      <c r="BL63" s="15" t="n">
        <v>-0.18993</v>
      </c>
      <c r="BM63" s="15" t="n">
        <v>0.22622</v>
      </c>
      <c r="BN63" s="15" t="n">
        <v>-1.0052</v>
      </c>
      <c r="BO63" s="15" t="n">
        <v>0.64348</v>
      </c>
      <c r="BP63" s="15" t="n">
        <v>0.39322</v>
      </c>
      <c r="BQ63" s="15" t="n">
        <v>0.76444</v>
      </c>
      <c r="BR63" s="15" t="n">
        <v>-0.014274</v>
      </c>
      <c r="BS63" s="15" t="n">
        <v>0.39557</v>
      </c>
      <c r="BT63" s="15" t="n">
        <v>-0.11599</v>
      </c>
      <c r="BU63" s="15" t="n">
        <v>0.39713</v>
      </c>
      <c r="BV63" s="15" t="n">
        <v>0.383</v>
      </c>
      <c r="BW63" s="15" t="n">
        <v>0.24651</v>
      </c>
      <c r="BX63" s="15" t="n">
        <v>0.016404</v>
      </c>
      <c r="BY63" s="15" t="n">
        <v>0.10253</v>
      </c>
      <c r="BZ63" s="15" t="n">
        <v>-0.1576</v>
      </c>
      <c r="CA63" s="15" t="n">
        <v>0.60561</v>
      </c>
      <c r="CB63" s="15" t="n">
        <v>-0.11524</v>
      </c>
      <c r="CC63" s="15" t="n">
        <v>0.2444</v>
      </c>
      <c r="CD63" s="15" t="n">
        <v>-0.14561</v>
      </c>
      <c r="CE63" s="15" t="n">
        <v>0.060226</v>
      </c>
      <c r="CF63" s="15" t="n">
        <v>0.41371</v>
      </c>
      <c r="CG63" s="15" t="n">
        <v>-0.5334</v>
      </c>
      <c r="CH63" s="15" t="n">
        <v>-0.81093</v>
      </c>
      <c r="CI63" s="15" t="n">
        <v>-0.122</v>
      </c>
      <c r="CJ63" s="15" t="n">
        <v>-1.6253</v>
      </c>
      <c r="CK63" s="15" t="n">
        <v>0.80678</v>
      </c>
      <c r="CL63" s="15" t="n">
        <v>-0.56526</v>
      </c>
      <c r="CM63" s="15" t="n">
        <v>0.034835</v>
      </c>
      <c r="CN63" s="15" t="n">
        <v>-0.1021</v>
      </c>
      <c r="CO63" s="15" t="n">
        <v>0.14043</v>
      </c>
      <c r="CP63" s="15" t="n">
        <v>0.7914</v>
      </c>
      <c r="CQ63" s="15" t="n">
        <v>-0.32816</v>
      </c>
      <c r="CR63" s="15" t="n">
        <v>0.63491</v>
      </c>
      <c r="CS63" s="15" t="n">
        <v>0.75464</v>
      </c>
      <c r="CT63" s="15" t="n">
        <v>0.23997</v>
      </c>
      <c r="CU63" s="15" t="n">
        <v>-0.29328</v>
      </c>
      <c r="CV63" s="15" t="n">
        <v>-1.0098</v>
      </c>
      <c r="CW63" s="15" t="n">
        <v>-1.0907</v>
      </c>
      <c r="CX63" s="15" t="n">
        <v>-0.19687</v>
      </c>
      <c r="CY63" s="15" t="n">
        <v>-0.030289</v>
      </c>
    </row>
    <row r="64" customFormat="false" ht="15" hidden="false" customHeight="false" outlineLevel="0" collapsed="false">
      <c r="A64" s="4" t="s">
        <v>196</v>
      </c>
      <c r="B64" s="2" t="n">
        <f aca="false">COUNTIF('1.3 TF-IDF coseno'!$M$10:$M$123,A64)</f>
        <v>1</v>
      </c>
      <c r="C64" s="2" t="n">
        <f aca="false">COUNTIF('1.3 TF-IDF coseno'!$N$10:$N$102,A64)</f>
        <v>0</v>
      </c>
      <c r="D64" s="15" t="n">
        <v>0.32417</v>
      </c>
      <c r="E64" s="15" t="n">
        <v>-0.26046</v>
      </c>
      <c r="F64" s="15" t="n">
        <v>0.27934</v>
      </c>
      <c r="G64" s="15" t="n">
        <v>0.17756</v>
      </c>
      <c r="H64" s="15" t="n">
        <v>1.3509</v>
      </c>
      <c r="I64" s="15" t="n">
        <v>-0.46807</v>
      </c>
      <c r="J64" s="15" t="n">
        <v>-0.10457</v>
      </c>
      <c r="K64" s="15" t="n">
        <v>-0.35458</v>
      </c>
      <c r="L64" s="15" t="n">
        <v>0.37348</v>
      </c>
      <c r="M64" s="15" t="n">
        <v>-0.011415</v>
      </c>
      <c r="N64" s="15" t="n">
        <v>0.62777</v>
      </c>
      <c r="O64" s="15" t="n">
        <v>-0.6786</v>
      </c>
      <c r="P64" s="15" t="n">
        <v>-0.31597</v>
      </c>
      <c r="Q64" s="15" t="n">
        <v>-0.24136</v>
      </c>
      <c r="R64" s="15" t="n">
        <v>0.57816</v>
      </c>
      <c r="S64" s="15" t="n">
        <v>0.028394</v>
      </c>
      <c r="T64" s="15" t="n">
        <v>0.72121</v>
      </c>
      <c r="U64" s="15" t="n">
        <v>0.54938</v>
      </c>
      <c r="V64" s="15" t="n">
        <v>1.0585</v>
      </c>
      <c r="W64" s="15" t="n">
        <v>-0.13086</v>
      </c>
      <c r="X64" s="15" t="n">
        <v>-0.63988</v>
      </c>
      <c r="Y64" s="15" t="n">
        <v>-0.35112</v>
      </c>
      <c r="Z64" s="15" t="n">
        <v>0.81661</v>
      </c>
      <c r="AA64" s="15" t="n">
        <v>-0.1147</v>
      </c>
      <c r="AB64" s="15" t="n">
        <v>0.46513</v>
      </c>
      <c r="AC64" s="15" t="n">
        <v>-0.29397</v>
      </c>
      <c r="AD64" s="15" t="n">
        <v>1.6272</v>
      </c>
      <c r="AE64" s="15" t="n">
        <v>0.33977</v>
      </c>
      <c r="AF64" s="15" t="n">
        <v>0.083249</v>
      </c>
      <c r="AG64" s="15" t="n">
        <v>0.2497</v>
      </c>
      <c r="AH64" s="15" t="n">
        <v>0.49611</v>
      </c>
      <c r="AI64" s="15" t="n">
        <v>1.1215</v>
      </c>
      <c r="AJ64" s="15" t="n">
        <v>-0.91623</v>
      </c>
      <c r="AK64" s="15" t="n">
        <v>0.34742</v>
      </c>
      <c r="AL64" s="15" t="n">
        <v>0.90424</v>
      </c>
      <c r="AM64" s="15" t="n">
        <v>-0.44305</v>
      </c>
      <c r="AN64" s="15" t="n">
        <v>-0.61038</v>
      </c>
      <c r="AO64" s="15" t="n">
        <v>0.076198</v>
      </c>
      <c r="AP64" s="15" t="n">
        <v>0.56052</v>
      </c>
      <c r="AQ64" s="15" t="n">
        <v>-1.082</v>
      </c>
      <c r="AR64" s="15" t="n">
        <v>0.051764</v>
      </c>
      <c r="AS64" s="15" t="n">
        <v>-0.13786</v>
      </c>
      <c r="AT64" s="15" t="n">
        <v>-1.0047</v>
      </c>
      <c r="AU64" s="15" t="n">
        <v>0.61591</v>
      </c>
      <c r="AV64" s="15" t="n">
        <v>-1.2024</v>
      </c>
      <c r="AW64" s="15" t="n">
        <v>-0.216</v>
      </c>
      <c r="AX64" s="15" t="n">
        <v>0.23898</v>
      </c>
      <c r="AY64" s="15" t="n">
        <v>-0.06555</v>
      </c>
      <c r="AZ64" s="15" t="n">
        <v>0.58693</v>
      </c>
      <c r="BA64" s="15" t="n">
        <v>-0.17422</v>
      </c>
      <c r="BB64" s="15" t="n">
        <v>-0.048278</v>
      </c>
      <c r="BC64" s="15" t="n">
        <v>0.20409</v>
      </c>
      <c r="BD64" s="15" t="n">
        <v>-0.4702</v>
      </c>
      <c r="BE64" s="15" t="n">
        <v>0.17617</v>
      </c>
      <c r="BF64" s="15" t="n">
        <v>0.65848</v>
      </c>
      <c r="BG64" s="15" t="n">
        <v>-2.141</v>
      </c>
      <c r="BH64" s="15" t="n">
        <v>-0.11297</v>
      </c>
      <c r="BI64" s="15" t="n">
        <v>-0.34388</v>
      </c>
      <c r="BJ64" s="15" t="n">
        <v>1.8924</v>
      </c>
      <c r="BK64" s="15" t="n">
        <v>-0.37728</v>
      </c>
      <c r="BL64" s="15" t="n">
        <v>0.37648</v>
      </c>
      <c r="BM64" s="15" t="n">
        <v>0.54419</v>
      </c>
      <c r="BN64" s="15" t="n">
        <v>-0.62173</v>
      </c>
      <c r="BO64" s="15" t="n">
        <v>-0.38952</v>
      </c>
      <c r="BP64" s="15" t="n">
        <v>0.33868</v>
      </c>
      <c r="BQ64" s="15" t="n">
        <v>0.25381</v>
      </c>
      <c r="BR64" s="15" t="n">
        <v>-0.013603</v>
      </c>
      <c r="BS64" s="15" t="n">
        <v>0.098738</v>
      </c>
      <c r="BT64" s="15" t="n">
        <v>0.27623</v>
      </c>
      <c r="BU64" s="15" t="n">
        <v>-0.074448</v>
      </c>
      <c r="BV64" s="15" t="n">
        <v>0.39217</v>
      </c>
      <c r="BW64" s="15" t="n">
        <v>0.37015</v>
      </c>
      <c r="BX64" s="15" t="n">
        <v>1.0344</v>
      </c>
      <c r="BY64" s="15" t="n">
        <v>0.069256</v>
      </c>
      <c r="BZ64" s="15" t="n">
        <v>-0.023636</v>
      </c>
      <c r="CA64" s="15" t="n">
        <v>-0.1406</v>
      </c>
      <c r="CB64" s="15" t="n">
        <v>0.21966</v>
      </c>
      <c r="CC64" s="15" t="n">
        <v>0.42273</v>
      </c>
      <c r="CD64" s="15" t="n">
        <v>-0.21536</v>
      </c>
      <c r="CE64" s="15" t="n">
        <v>-0.41055</v>
      </c>
      <c r="CF64" s="15" t="n">
        <v>1.1053</v>
      </c>
      <c r="CG64" s="15" t="n">
        <v>-0.70255</v>
      </c>
      <c r="CH64" s="15" t="n">
        <v>0.26111</v>
      </c>
      <c r="CI64" s="15" t="n">
        <v>0.68756</v>
      </c>
      <c r="CJ64" s="15" t="n">
        <v>-1.5353</v>
      </c>
      <c r="CK64" s="15" t="n">
        <v>0.21038</v>
      </c>
      <c r="CL64" s="15" t="n">
        <v>0.80882</v>
      </c>
      <c r="CM64" s="15" t="n">
        <v>-0.64884</v>
      </c>
      <c r="CN64" s="15" t="n">
        <v>0.32443</v>
      </c>
      <c r="CO64" s="15" t="n">
        <v>-0.065216</v>
      </c>
      <c r="CP64" s="15" t="n">
        <v>0.30618</v>
      </c>
      <c r="CQ64" s="15" t="n">
        <v>0.89622</v>
      </c>
      <c r="CR64" s="15" t="n">
        <v>-0.002391</v>
      </c>
      <c r="CS64" s="15" t="n">
        <v>-0.34912</v>
      </c>
      <c r="CT64" s="15" t="n">
        <v>-0.45826</v>
      </c>
      <c r="CU64" s="15" t="n">
        <v>-0.83061</v>
      </c>
      <c r="CV64" s="15" t="n">
        <v>0.27478</v>
      </c>
      <c r="CW64" s="15" t="n">
        <v>-0.56073</v>
      </c>
      <c r="CX64" s="15" t="n">
        <v>1.2333</v>
      </c>
      <c r="CY64" s="15" t="n">
        <v>0.097157</v>
      </c>
    </row>
    <row r="65" customFormat="false" ht="15" hidden="false" customHeight="false" outlineLevel="0" collapsed="false">
      <c r="A65" s="4" t="s">
        <v>197</v>
      </c>
      <c r="B65" s="2" t="n">
        <f aca="false">COUNTIF('1.3 TF-IDF coseno'!$M$10:$M$123,A65)</f>
        <v>1</v>
      </c>
      <c r="C65" s="2" t="n">
        <f aca="false">COUNTIF('1.3 TF-IDF coseno'!$N$10:$N$102,A65)</f>
        <v>0</v>
      </c>
      <c r="D65" s="15" t="n">
        <v>0.18809</v>
      </c>
      <c r="E65" s="15" t="n">
        <v>1.3096</v>
      </c>
      <c r="F65" s="15" t="n">
        <v>-0.5283</v>
      </c>
      <c r="G65" s="15" t="n">
        <v>0.64461</v>
      </c>
      <c r="H65" s="15" t="n">
        <v>-0.10787</v>
      </c>
      <c r="I65" s="15" t="n">
        <v>0.065845</v>
      </c>
      <c r="J65" s="15" t="n">
        <v>0.010774</v>
      </c>
      <c r="K65" s="15" t="n">
        <v>-0.086898</v>
      </c>
      <c r="L65" s="15" t="n">
        <v>-0.29966</v>
      </c>
      <c r="M65" s="15" t="n">
        <v>1.047</v>
      </c>
      <c r="N65" s="15" t="n">
        <v>-0.3642</v>
      </c>
      <c r="O65" s="15" t="n">
        <v>-0.7996</v>
      </c>
      <c r="P65" s="15" t="n">
        <v>-0.64099</v>
      </c>
      <c r="Q65" s="15" t="n">
        <v>-0.99794</v>
      </c>
      <c r="R65" s="15" t="n">
        <v>0.47032</v>
      </c>
      <c r="S65" s="15" t="n">
        <v>-0.067805</v>
      </c>
      <c r="T65" s="15" t="n">
        <v>-0.05312</v>
      </c>
      <c r="U65" s="15" t="n">
        <v>0.16212</v>
      </c>
      <c r="V65" s="15" t="n">
        <v>-0.39519</v>
      </c>
      <c r="W65" s="15" t="n">
        <v>0.41784</v>
      </c>
      <c r="X65" s="15" t="n">
        <v>-1.1696</v>
      </c>
      <c r="Y65" s="15" t="n">
        <v>0.038462</v>
      </c>
      <c r="Z65" s="15" t="n">
        <v>0.45995</v>
      </c>
      <c r="AA65" s="15" t="n">
        <v>0.16451</v>
      </c>
      <c r="AB65" s="15" t="n">
        <v>-0.1879</v>
      </c>
      <c r="AC65" s="15" t="n">
        <v>-0.17084</v>
      </c>
      <c r="AD65" s="15" t="n">
        <v>0.56558</v>
      </c>
      <c r="AE65" s="15" t="n">
        <v>-0.21269</v>
      </c>
      <c r="AF65" s="15" t="n">
        <v>-0.77207</v>
      </c>
      <c r="AG65" s="15" t="n">
        <v>-0.0095535</v>
      </c>
      <c r="AH65" s="15" t="n">
        <v>-0.39899</v>
      </c>
      <c r="AI65" s="15" t="n">
        <v>0.86291</v>
      </c>
      <c r="AJ65" s="15" t="n">
        <v>0.23782</v>
      </c>
      <c r="AK65" s="15" t="n">
        <v>0.5134</v>
      </c>
      <c r="AL65" s="15" t="n">
        <v>0.53836</v>
      </c>
      <c r="AM65" s="15" t="n">
        <v>-0.23675</v>
      </c>
      <c r="AN65" s="15" t="n">
        <v>-0.58733</v>
      </c>
      <c r="AO65" s="15" t="n">
        <v>0.73899</v>
      </c>
      <c r="AP65" s="15" t="n">
        <v>-0.16412</v>
      </c>
      <c r="AQ65" s="15" t="n">
        <v>0.39701</v>
      </c>
      <c r="AR65" s="15" t="n">
        <v>-0.6012</v>
      </c>
      <c r="AS65" s="15" t="n">
        <v>0.25941</v>
      </c>
      <c r="AT65" s="15" t="n">
        <v>-0.99317</v>
      </c>
      <c r="AU65" s="15" t="n">
        <v>-0.23471</v>
      </c>
      <c r="AV65" s="15" t="n">
        <v>-0.011671</v>
      </c>
      <c r="AW65" s="15" t="n">
        <v>-0.3706</v>
      </c>
      <c r="AX65" s="15" t="n">
        <v>0.29775</v>
      </c>
      <c r="AY65" s="15" t="n">
        <v>-0.33784</v>
      </c>
      <c r="AZ65" s="15" t="n">
        <v>-0.85208</v>
      </c>
      <c r="BA65" s="15" t="n">
        <v>-0.70917</v>
      </c>
      <c r="BB65" s="15" t="n">
        <v>-0.79607</v>
      </c>
      <c r="BC65" s="15" t="n">
        <v>-0.099818</v>
      </c>
      <c r="BD65" s="15" t="n">
        <v>-0.41694</v>
      </c>
      <c r="BE65" s="15" t="n">
        <v>1.0774</v>
      </c>
      <c r="BF65" s="15" t="n">
        <v>0.29685</v>
      </c>
      <c r="BG65" s="15" t="n">
        <v>-0.54571</v>
      </c>
      <c r="BH65" s="15" t="n">
        <v>-0.018827</v>
      </c>
      <c r="BI65" s="15" t="n">
        <v>-1.1039</v>
      </c>
      <c r="BJ65" s="15" t="n">
        <v>0.86153</v>
      </c>
      <c r="BK65" s="15" t="n">
        <v>-0.33457</v>
      </c>
      <c r="BL65" s="15" t="n">
        <v>0.34532</v>
      </c>
      <c r="BM65" s="15" t="n">
        <v>-0.35512</v>
      </c>
      <c r="BN65" s="15" t="n">
        <v>-0.27651</v>
      </c>
      <c r="BO65" s="15" t="n">
        <v>-0.68416</v>
      </c>
      <c r="BP65" s="15" t="n">
        <v>-0.2886</v>
      </c>
      <c r="BQ65" s="15" t="n">
        <v>0.79306</v>
      </c>
      <c r="BR65" s="15" t="n">
        <v>-0.10239</v>
      </c>
      <c r="BS65" s="15" t="n">
        <v>-0.56605</v>
      </c>
      <c r="BT65" s="15" t="n">
        <v>1.6074</v>
      </c>
      <c r="BU65" s="15" t="n">
        <v>0.20896</v>
      </c>
      <c r="BV65" s="15" t="n">
        <v>0.54981</v>
      </c>
      <c r="BW65" s="15" t="n">
        <v>0.37376</v>
      </c>
      <c r="BX65" s="15" t="n">
        <v>0.90322</v>
      </c>
      <c r="BY65" s="15" t="n">
        <v>0.43499</v>
      </c>
      <c r="BZ65" s="15" t="n">
        <v>-0.17728</v>
      </c>
      <c r="CA65" s="15" t="n">
        <v>0.41805</v>
      </c>
      <c r="CB65" s="15" t="n">
        <v>-0.60576</v>
      </c>
      <c r="CC65" s="15" t="n">
        <v>0.29573</v>
      </c>
      <c r="CD65" s="15" t="n">
        <v>-0.89518</v>
      </c>
      <c r="CE65" s="15" t="n">
        <v>-1.486</v>
      </c>
      <c r="CF65" s="15" t="n">
        <v>-0.60143</v>
      </c>
      <c r="CG65" s="15" t="n">
        <v>0.58614</v>
      </c>
      <c r="CH65" s="15" t="n">
        <v>0.80939</v>
      </c>
      <c r="CI65" s="15" t="n">
        <v>-0.86301</v>
      </c>
      <c r="CJ65" s="15" t="n">
        <v>-1.3588</v>
      </c>
      <c r="CK65" s="15" t="n">
        <v>0.3064</v>
      </c>
      <c r="CL65" s="15" t="n">
        <v>0.028454</v>
      </c>
      <c r="CM65" s="15" t="n">
        <v>-0.97402</v>
      </c>
      <c r="CN65" s="15" t="n">
        <v>0.26846</v>
      </c>
      <c r="CO65" s="15" t="n">
        <v>0.54125</v>
      </c>
      <c r="CP65" s="15" t="n">
        <v>-0.021819</v>
      </c>
      <c r="CQ65" s="15" t="n">
        <v>0.2614</v>
      </c>
      <c r="CR65" s="15" t="n">
        <v>0.12237</v>
      </c>
      <c r="CS65" s="15" t="n">
        <v>0.48778</v>
      </c>
      <c r="CT65" s="15" t="n">
        <v>-0.54243</v>
      </c>
      <c r="CU65" s="15" t="n">
        <v>-0.54299</v>
      </c>
      <c r="CV65" s="15" t="n">
        <v>0.16738</v>
      </c>
      <c r="CW65" s="15" t="n">
        <v>-0.78078</v>
      </c>
      <c r="CX65" s="15" t="n">
        <v>0.13878</v>
      </c>
      <c r="CY65" s="15" t="n">
        <v>0.30849</v>
      </c>
    </row>
    <row r="66" customFormat="false" ht="15" hidden="false" customHeight="false" outlineLevel="0" collapsed="false">
      <c r="A66" s="4" t="s">
        <v>198</v>
      </c>
      <c r="B66" s="2" t="n">
        <f aca="false">COUNTIF('1.3 TF-IDF coseno'!$M$10:$M$123,A66)</f>
        <v>1</v>
      </c>
      <c r="C66" s="2" t="n">
        <f aca="false">COUNTIF('1.3 TF-IDF coseno'!$N$10:$N$102,A66)</f>
        <v>0</v>
      </c>
      <c r="D66" s="15" t="n">
        <v>-0.15116</v>
      </c>
      <c r="E66" s="15" t="n">
        <v>0.46262</v>
      </c>
      <c r="F66" s="15" t="n">
        <v>-0.047987</v>
      </c>
      <c r="G66" s="15" t="n">
        <v>-0.016291</v>
      </c>
      <c r="H66" s="15" t="n">
        <v>0.73176</v>
      </c>
      <c r="I66" s="15" t="n">
        <v>-0.25632</v>
      </c>
      <c r="J66" s="15" t="n">
        <v>0.036997</v>
      </c>
      <c r="K66" s="15" t="n">
        <v>0.32174</v>
      </c>
      <c r="L66" s="15" t="n">
        <v>-0.21721</v>
      </c>
      <c r="M66" s="15" t="n">
        <v>-0.44177</v>
      </c>
      <c r="N66" s="15" t="n">
        <v>0.71624</v>
      </c>
      <c r="O66" s="15" t="n">
        <v>-0.40379</v>
      </c>
      <c r="P66" s="15" t="n">
        <v>0.086993</v>
      </c>
      <c r="Q66" s="15" t="n">
        <v>0.30484</v>
      </c>
      <c r="R66" s="15" t="n">
        <v>0.49399</v>
      </c>
      <c r="S66" s="15" t="n">
        <v>-0.38325</v>
      </c>
      <c r="T66" s="15" t="n">
        <v>0.36319</v>
      </c>
      <c r="U66" s="15" t="n">
        <v>-0.38422</v>
      </c>
      <c r="V66" s="15" t="n">
        <v>-0.44991</v>
      </c>
      <c r="W66" s="15" t="n">
        <v>0.13803</v>
      </c>
      <c r="X66" s="15" t="n">
        <v>-0.17521</v>
      </c>
      <c r="Y66" s="15" t="n">
        <v>-0.64772</v>
      </c>
      <c r="Z66" s="15" t="n">
        <v>0.21084</v>
      </c>
      <c r="AA66" s="15" t="n">
        <v>-0.36569</v>
      </c>
      <c r="AB66" s="15" t="n">
        <v>-0.59949</v>
      </c>
      <c r="AC66" s="15" t="n">
        <v>-0.68663</v>
      </c>
      <c r="AD66" s="15" t="n">
        <v>-0.25281</v>
      </c>
      <c r="AE66" s="15" t="n">
        <v>-0.02135</v>
      </c>
      <c r="AF66" s="15" t="n">
        <v>-0.67209</v>
      </c>
      <c r="AG66" s="15" t="n">
        <v>-0.1477</v>
      </c>
      <c r="AH66" s="15" t="n">
        <v>0.10211</v>
      </c>
      <c r="AI66" s="15" t="n">
        <v>0.53403</v>
      </c>
      <c r="AJ66" s="15" t="n">
        <v>-0.5733</v>
      </c>
      <c r="AK66" s="15" t="n">
        <v>0.13609</v>
      </c>
      <c r="AL66" s="15" t="n">
        <v>0.26817</v>
      </c>
      <c r="AM66" s="15" t="n">
        <v>0.37792</v>
      </c>
      <c r="AN66" s="15" t="n">
        <v>0.16641</v>
      </c>
      <c r="AO66" s="15" t="n">
        <v>0.45531</v>
      </c>
      <c r="AP66" s="15" t="n">
        <v>-0.29727</v>
      </c>
      <c r="AQ66" s="15" t="n">
        <v>0.039572</v>
      </c>
      <c r="AR66" s="15" t="n">
        <v>-0.043079</v>
      </c>
      <c r="AS66" s="15" t="n">
        <v>-0.091806</v>
      </c>
      <c r="AT66" s="15" t="n">
        <v>0.038402</v>
      </c>
      <c r="AU66" s="15" t="n">
        <v>0.15137</v>
      </c>
      <c r="AV66" s="15" t="n">
        <v>0.43383</v>
      </c>
      <c r="AW66" s="15" t="n">
        <v>-0.42569</v>
      </c>
      <c r="AX66" s="15" t="n">
        <v>0.051466</v>
      </c>
      <c r="AY66" s="15" t="n">
        <v>-0.4228</v>
      </c>
      <c r="AZ66" s="15" t="n">
        <v>0.3208</v>
      </c>
      <c r="BA66" s="15" t="n">
        <v>-0.46762</v>
      </c>
      <c r="BB66" s="15" t="n">
        <v>0.012301</v>
      </c>
      <c r="BC66" s="15" t="n">
        <v>0.39233</v>
      </c>
      <c r="BD66" s="15" t="n">
        <v>0.33418</v>
      </c>
      <c r="BE66" s="15" t="n">
        <v>0.64944</v>
      </c>
      <c r="BF66" s="15" t="n">
        <v>0.19963</v>
      </c>
      <c r="BG66" s="15" t="n">
        <v>-1.9215</v>
      </c>
      <c r="BH66" s="15" t="n">
        <v>0.11965</v>
      </c>
      <c r="BI66" s="15" t="n">
        <v>-0.84662</v>
      </c>
      <c r="BJ66" s="15" t="n">
        <v>1.5414</v>
      </c>
      <c r="BK66" s="15" t="n">
        <v>0.26238</v>
      </c>
      <c r="BL66" s="15" t="n">
        <v>-0.067383</v>
      </c>
      <c r="BM66" s="15" t="n">
        <v>0.17661</v>
      </c>
      <c r="BN66" s="15" t="n">
        <v>-0.045331</v>
      </c>
      <c r="BO66" s="15" t="n">
        <v>0.22042</v>
      </c>
      <c r="BP66" s="15" t="n">
        <v>0.80901</v>
      </c>
      <c r="BQ66" s="15" t="n">
        <v>-0.67832</v>
      </c>
      <c r="BR66" s="15" t="n">
        <v>-0.082049</v>
      </c>
      <c r="BS66" s="15" t="n">
        <v>0.066068</v>
      </c>
      <c r="BT66" s="15" t="n">
        <v>0.32373</v>
      </c>
      <c r="BU66" s="15" t="n">
        <v>0.12959</v>
      </c>
      <c r="BV66" s="15" t="n">
        <v>-0.18734</v>
      </c>
      <c r="BW66" s="15" t="n">
        <v>0.02703</v>
      </c>
      <c r="BX66" s="15" t="n">
        <v>0.37912</v>
      </c>
      <c r="BY66" s="15" t="n">
        <v>-0.26728</v>
      </c>
      <c r="BZ66" s="15" t="n">
        <v>0.80644</v>
      </c>
      <c r="CA66" s="15" t="n">
        <v>0.59921</v>
      </c>
      <c r="CB66" s="15" t="n">
        <v>0.33814</v>
      </c>
      <c r="CC66" s="15" t="n">
        <v>0.13777</v>
      </c>
      <c r="CD66" s="15" t="n">
        <v>-1.0366</v>
      </c>
      <c r="CE66" s="15" t="n">
        <v>-0.12457</v>
      </c>
      <c r="CF66" s="15" t="n">
        <v>0.67912</v>
      </c>
      <c r="CG66" s="15" t="n">
        <v>0.10298</v>
      </c>
      <c r="CH66" s="15" t="n">
        <v>-0.27243</v>
      </c>
      <c r="CI66" s="15" t="n">
        <v>-0.35681</v>
      </c>
      <c r="CJ66" s="15" t="n">
        <v>-1.3974</v>
      </c>
      <c r="CK66" s="15" t="n">
        <v>0.36715</v>
      </c>
      <c r="CL66" s="15" t="n">
        <v>0.50044</v>
      </c>
      <c r="CM66" s="15" t="n">
        <v>0.27281</v>
      </c>
      <c r="CN66" s="15" t="n">
        <v>-0.20118</v>
      </c>
      <c r="CO66" s="15" t="n">
        <v>0.17562</v>
      </c>
      <c r="CP66" s="15" t="n">
        <v>-0.049993</v>
      </c>
      <c r="CQ66" s="15" t="n">
        <v>-0.5308</v>
      </c>
      <c r="CR66" s="15" t="n">
        <v>0.060384</v>
      </c>
      <c r="CS66" s="15" t="n">
        <v>-0.48423</v>
      </c>
      <c r="CT66" s="15" t="n">
        <v>-0.027026</v>
      </c>
      <c r="CU66" s="15" t="n">
        <v>-0.060032</v>
      </c>
      <c r="CV66" s="15" t="n">
        <v>-0.065637</v>
      </c>
      <c r="CW66" s="15" t="n">
        <v>-0.22795</v>
      </c>
      <c r="CX66" s="15" t="n">
        <v>0.30367</v>
      </c>
      <c r="CY66" s="15" t="n">
        <v>0.37996</v>
      </c>
    </row>
    <row r="67" customFormat="false" ht="15" hidden="false" customHeight="false" outlineLevel="0" collapsed="false">
      <c r="A67" s="4" t="s">
        <v>199</v>
      </c>
      <c r="B67" s="2" t="n">
        <f aca="false">COUNTIF('1.3 TF-IDF coseno'!$M$10:$M$123,A67)</f>
        <v>1</v>
      </c>
      <c r="C67" s="2" t="n">
        <f aca="false">COUNTIF('1.3 TF-IDF coseno'!$N$10:$N$102,A67)</f>
        <v>0</v>
      </c>
      <c r="D67" s="15" t="n">
        <v>-0.08455</v>
      </c>
      <c r="E67" s="15" t="n">
        <v>0.45529</v>
      </c>
      <c r="F67" s="15" t="n">
        <v>-0.21251</v>
      </c>
      <c r="G67" s="15" t="n">
        <v>0.62606</v>
      </c>
      <c r="H67" s="15" t="n">
        <v>-0.37429</v>
      </c>
      <c r="I67" s="15" t="n">
        <v>-0.010842</v>
      </c>
      <c r="J67" s="15" t="n">
        <v>0.40669</v>
      </c>
      <c r="K67" s="15" t="n">
        <v>-0.6178</v>
      </c>
      <c r="L67" s="15" t="n">
        <v>-0.35592</v>
      </c>
      <c r="M67" s="15" t="n">
        <v>-0.38416</v>
      </c>
      <c r="N67" s="15" t="n">
        <v>0.66849</v>
      </c>
      <c r="O67" s="15" t="n">
        <v>-0.39188</v>
      </c>
      <c r="P67" s="15" t="n">
        <v>-0.61222</v>
      </c>
      <c r="Q67" s="15" t="n">
        <v>0.60194</v>
      </c>
      <c r="R67" s="15" t="n">
        <v>0.38033</v>
      </c>
      <c r="S67" s="15" t="n">
        <v>-0.46272</v>
      </c>
      <c r="T67" s="15" t="n">
        <v>0.80067</v>
      </c>
      <c r="U67" s="15" t="n">
        <v>-0.42049</v>
      </c>
      <c r="V67" s="15" t="n">
        <v>-0.53887</v>
      </c>
      <c r="W67" s="15" t="n">
        <v>0.24796</v>
      </c>
      <c r="X67" s="15" t="n">
        <v>-0.27672</v>
      </c>
      <c r="Y67" s="15" t="n">
        <v>-0.62014</v>
      </c>
      <c r="Z67" s="15" t="n">
        <v>-0.057122</v>
      </c>
      <c r="AA67" s="15" t="n">
        <v>0.82515</v>
      </c>
      <c r="AB67" s="15" t="n">
        <v>0.29378</v>
      </c>
      <c r="AC67" s="15" t="n">
        <v>-0.065463</v>
      </c>
      <c r="AD67" s="15" t="n">
        <v>-0.53224</v>
      </c>
      <c r="AE67" s="15" t="n">
        <v>0.34789</v>
      </c>
      <c r="AF67" s="15" t="n">
        <v>1.4863</v>
      </c>
      <c r="AG67" s="15" t="n">
        <v>0.4542</v>
      </c>
      <c r="AH67" s="15" t="n">
        <v>0.43674</v>
      </c>
      <c r="AI67" s="15" t="n">
        <v>-0.040758</v>
      </c>
      <c r="AJ67" s="15" t="n">
        <v>0.33122</v>
      </c>
      <c r="AK67" s="15" t="n">
        <v>0.45415</v>
      </c>
      <c r="AL67" s="15" t="n">
        <v>0.60877</v>
      </c>
      <c r="AM67" s="15" t="n">
        <v>0.70933</v>
      </c>
      <c r="AN67" s="15" t="n">
        <v>0.37987</v>
      </c>
      <c r="AO67" s="15" t="n">
        <v>0.4503</v>
      </c>
      <c r="AP67" s="15" t="n">
        <v>0.083341</v>
      </c>
      <c r="AQ67" s="15" t="n">
        <v>0.028772</v>
      </c>
      <c r="AR67" s="15" t="n">
        <v>-0.5028</v>
      </c>
      <c r="AS67" s="15" t="n">
        <v>-0.46288</v>
      </c>
      <c r="AT67" s="15" t="n">
        <v>0.41911</v>
      </c>
      <c r="AU67" s="15" t="n">
        <v>-0.35616</v>
      </c>
      <c r="AV67" s="15" t="n">
        <v>0.59366</v>
      </c>
      <c r="AW67" s="15" t="n">
        <v>-0.2233</v>
      </c>
      <c r="AX67" s="15" t="n">
        <v>0.513</v>
      </c>
      <c r="AY67" s="15" t="n">
        <v>0.24204</v>
      </c>
      <c r="AZ67" s="15" t="n">
        <v>0.6622</v>
      </c>
      <c r="BA67" s="15" t="n">
        <v>-0.48547</v>
      </c>
      <c r="BB67" s="15" t="n">
        <v>-0.16577</v>
      </c>
      <c r="BC67" s="15" t="n">
        <v>-0.14948</v>
      </c>
      <c r="BD67" s="15" t="n">
        <v>0.016838</v>
      </c>
      <c r="BE67" s="15" t="n">
        <v>0.86981</v>
      </c>
      <c r="BF67" s="15" t="n">
        <v>-0.22912</v>
      </c>
      <c r="BG67" s="15" t="n">
        <v>-1.8266</v>
      </c>
      <c r="BH67" s="15" t="n">
        <v>-0.33797</v>
      </c>
      <c r="BI67" s="15" t="n">
        <v>0.17975</v>
      </c>
      <c r="BJ67" s="15" t="n">
        <v>1.3377</v>
      </c>
      <c r="BK67" s="15" t="n">
        <v>0.36274</v>
      </c>
      <c r="BL67" s="15" t="n">
        <v>0.30327</v>
      </c>
      <c r="BM67" s="15" t="n">
        <v>0.92926</v>
      </c>
      <c r="BN67" s="15" t="n">
        <v>0.25621</v>
      </c>
      <c r="BO67" s="15" t="n">
        <v>-0.057627</v>
      </c>
      <c r="BP67" s="15" t="n">
        <v>0.73877</v>
      </c>
      <c r="BQ67" s="15" t="n">
        <v>-0.24526</v>
      </c>
      <c r="BR67" s="15" t="n">
        <v>-0.75319</v>
      </c>
      <c r="BS67" s="15" t="n">
        <v>0.76045</v>
      </c>
      <c r="BT67" s="15" t="n">
        <v>-0.37904</v>
      </c>
      <c r="BU67" s="15" t="n">
        <v>0.54863</v>
      </c>
      <c r="BV67" s="15" t="n">
        <v>0.692</v>
      </c>
      <c r="BW67" s="15" t="n">
        <v>-1.0675</v>
      </c>
      <c r="BX67" s="15" t="n">
        <v>0.2411</v>
      </c>
      <c r="BY67" s="15" t="n">
        <v>0.51729</v>
      </c>
      <c r="BZ67" s="15" t="n">
        <v>-0.041005</v>
      </c>
      <c r="CA67" s="15" t="n">
        <v>-0.040768</v>
      </c>
      <c r="CB67" s="15" t="n">
        <v>-0.25297</v>
      </c>
      <c r="CC67" s="15" t="n">
        <v>0.87442</v>
      </c>
      <c r="CD67" s="15" t="n">
        <v>-1.0145</v>
      </c>
      <c r="CE67" s="15" t="n">
        <v>0.35536</v>
      </c>
      <c r="CF67" s="15" t="n">
        <v>0.8966</v>
      </c>
      <c r="CG67" s="15" t="n">
        <v>-0.063441</v>
      </c>
      <c r="CH67" s="15" t="n">
        <v>0.14934</v>
      </c>
      <c r="CI67" s="15" t="n">
        <v>0.91704</v>
      </c>
      <c r="CJ67" s="15" t="n">
        <v>-0.97311</v>
      </c>
      <c r="CK67" s="15" t="n">
        <v>0.82753</v>
      </c>
      <c r="CL67" s="15" t="n">
        <v>-0.77719</v>
      </c>
      <c r="CM67" s="15" t="n">
        <v>-2.2521</v>
      </c>
      <c r="CN67" s="15" t="n">
        <v>0.14541</v>
      </c>
      <c r="CO67" s="15" t="n">
        <v>-0.47768</v>
      </c>
      <c r="CP67" s="15" t="n">
        <v>-0.33207</v>
      </c>
      <c r="CQ67" s="15" t="n">
        <v>-0.29158</v>
      </c>
      <c r="CR67" s="15" t="n">
        <v>0.59115</v>
      </c>
      <c r="CS67" s="15" t="n">
        <v>1.3463</v>
      </c>
      <c r="CT67" s="15" t="n">
        <v>-0.21752</v>
      </c>
      <c r="CU67" s="15" t="n">
        <v>-0.30181</v>
      </c>
      <c r="CV67" s="15" t="n">
        <v>-0.088306</v>
      </c>
      <c r="CW67" s="15" t="n">
        <v>-0.2824</v>
      </c>
      <c r="CX67" s="15" t="n">
        <v>0.0725</v>
      </c>
      <c r="CY67" s="15" t="n">
        <v>-0.46879</v>
      </c>
    </row>
    <row r="68" customFormat="false" ht="15" hidden="false" customHeight="false" outlineLevel="0" collapsed="false">
      <c r="A68" s="4" t="s">
        <v>200</v>
      </c>
      <c r="B68" s="2" t="n">
        <f aca="false">COUNTIF('1.3 TF-IDF coseno'!$M$10:$M$123,A68)</f>
        <v>1</v>
      </c>
      <c r="C68" s="2" t="n">
        <f aca="false">COUNTIF('1.3 TF-IDF coseno'!$N$10:$N$102,A68)</f>
        <v>0</v>
      </c>
      <c r="D68" s="15" t="n">
        <v>0.41768</v>
      </c>
      <c r="E68" s="15" t="n">
        <v>0.53969</v>
      </c>
      <c r="F68" s="15" t="n">
        <v>-0.068672</v>
      </c>
      <c r="G68" s="15" t="n">
        <v>-0.27072</v>
      </c>
      <c r="H68" s="15" t="n">
        <v>-0.37432</v>
      </c>
      <c r="I68" s="15" t="n">
        <v>1.0553</v>
      </c>
      <c r="J68" s="15" t="n">
        <v>-0.57105</v>
      </c>
      <c r="K68" s="15" t="n">
        <v>-1.0129</v>
      </c>
      <c r="L68" s="15" t="n">
        <v>-0.32042</v>
      </c>
      <c r="M68" s="15" t="n">
        <v>0.33087</v>
      </c>
      <c r="N68" s="15" t="n">
        <v>-0.7958</v>
      </c>
      <c r="O68" s="15" t="n">
        <v>0.19387</v>
      </c>
      <c r="P68" s="15" t="n">
        <v>0.9719</v>
      </c>
      <c r="Q68" s="15" t="n">
        <v>-0.01531</v>
      </c>
      <c r="R68" s="15" t="n">
        <v>0.26241</v>
      </c>
      <c r="S68" s="15" t="n">
        <v>-0.73848</v>
      </c>
      <c r="T68" s="15" t="n">
        <v>-0.29767</v>
      </c>
      <c r="U68" s="15" t="n">
        <v>0.56678</v>
      </c>
      <c r="V68" s="15" t="n">
        <v>-1.3947</v>
      </c>
      <c r="W68" s="15" t="n">
        <v>0.39017</v>
      </c>
      <c r="X68" s="15" t="n">
        <v>0.36882</v>
      </c>
      <c r="Y68" s="15" t="n">
        <v>-0.6997</v>
      </c>
      <c r="Z68" s="15" t="n">
        <v>0.32553</v>
      </c>
      <c r="AA68" s="15" t="n">
        <v>0.29309</v>
      </c>
      <c r="AB68" s="15" t="n">
        <v>-0.6337</v>
      </c>
      <c r="AC68" s="15" t="n">
        <v>-0.33369</v>
      </c>
      <c r="AD68" s="15" t="n">
        <v>0.40436</v>
      </c>
      <c r="AE68" s="15" t="n">
        <v>-0.43872</v>
      </c>
      <c r="AF68" s="15" t="n">
        <v>0.023836</v>
      </c>
      <c r="AG68" s="15" t="n">
        <v>0.31653</v>
      </c>
      <c r="AH68" s="15" t="n">
        <v>0.065048</v>
      </c>
      <c r="AI68" s="15" t="n">
        <v>0.4221</v>
      </c>
      <c r="AJ68" s="15" t="n">
        <v>-0.47739</v>
      </c>
      <c r="AK68" s="15" t="n">
        <v>-0.26682</v>
      </c>
      <c r="AL68" s="15" t="n">
        <v>-0.39056</v>
      </c>
      <c r="AM68" s="15" t="n">
        <v>0.1117</v>
      </c>
      <c r="AN68" s="15" t="n">
        <v>0.13966</v>
      </c>
      <c r="AO68" s="15" t="n">
        <v>0.14384</v>
      </c>
      <c r="AP68" s="15" t="n">
        <v>-0.35151</v>
      </c>
      <c r="AQ68" s="15" t="n">
        <v>-0.68311</v>
      </c>
      <c r="AR68" s="15" t="n">
        <v>-1.2023</v>
      </c>
      <c r="AS68" s="15" t="n">
        <v>-0.093779</v>
      </c>
      <c r="AT68" s="15" t="n">
        <v>0.59342</v>
      </c>
      <c r="AU68" s="15" t="n">
        <v>0.066816</v>
      </c>
      <c r="AV68" s="15" t="n">
        <v>-1.2794</v>
      </c>
      <c r="AW68" s="15" t="n">
        <v>-1.0701</v>
      </c>
      <c r="AX68" s="15" t="n">
        <v>0.27481</v>
      </c>
      <c r="AY68" s="15" t="n">
        <v>0.48432</v>
      </c>
      <c r="AZ68" s="15" t="n">
        <v>-0.25927</v>
      </c>
      <c r="BA68" s="15" t="n">
        <v>-0.83982</v>
      </c>
      <c r="BB68" s="15" t="n">
        <v>0.71269</v>
      </c>
      <c r="BC68" s="15" t="n">
        <v>0.40552</v>
      </c>
      <c r="BD68" s="15" t="n">
        <v>0.29586</v>
      </c>
      <c r="BE68" s="15" t="n">
        <v>0.46437</v>
      </c>
      <c r="BF68" s="15" t="n">
        <v>0.47882</v>
      </c>
      <c r="BG68" s="15" t="n">
        <v>-0.60239</v>
      </c>
      <c r="BH68" s="15" t="n">
        <v>1.1139</v>
      </c>
      <c r="BI68" s="15" t="n">
        <v>-0.098797</v>
      </c>
      <c r="BJ68" s="15" t="n">
        <v>0.90428</v>
      </c>
      <c r="BK68" s="15" t="n">
        <v>0.32659</v>
      </c>
      <c r="BL68" s="15" t="n">
        <v>0.30804</v>
      </c>
      <c r="BM68" s="15" t="n">
        <v>0.37113</v>
      </c>
      <c r="BN68" s="15" t="n">
        <v>0.46491</v>
      </c>
      <c r="BO68" s="15" t="n">
        <v>-0.61094</v>
      </c>
      <c r="BP68" s="15" t="n">
        <v>0.46028</v>
      </c>
      <c r="BQ68" s="15" t="n">
        <v>-0.13619</v>
      </c>
      <c r="BR68" s="15" t="n">
        <v>0.13395</v>
      </c>
      <c r="BS68" s="15" t="n">
        <v>-0.67588</v>
      </c>
      <c r="BT68" s="15" t="n">
        <v>0.19625</v>
      </c>
      <c r="BU68" s="15" t="n">
        <v>-0.67863</v>
      </c>
      <c r="BV68" s="15" t="n">
        <v>-0.49895</v>
      </c>
      <c r="BW68" s="15" t="n">
        <v>0.31544</v>
      </c>
      <c r="BX68" s="15" t="n">
        <v>0.54235</v>
      </c>
      <c r="BY68" s="15" t="n">
        <v>-0.15909</v>
      </c>
      <c r="BZ68" s="15" t="n">
        <v>-0.50834</v>
      </c>
      <c r="CA68" s="15" t="n">
        <v>-0.40346</v>
      </c>
      <c r="CB68" s="15" t="n">
        <v>-0.19353</v>
      </c>
      <c r="CC68" s="15" t="n">
        <v>-0.54128</v>
      </c>
      <c r="CD68" s="15" t="n">
        <v>-0.80089</v>
      </c>
      <c r="CE68" s="15" t="n">
        <v>0.11603</v>
      </c>
      <c r="CF68" s="15" t="n">
        <v>-0.92566</v>
      </c>
      <c r="CG68" s="15" t="n">
        <v>0.64329</v>
      </c>
      <c r="CH68" s="15" t="n">
        <v>0.055358</v>
      </c>
      <c r="CI68" s="15" t="n">
        <v>0.21648</v>
      </c>
      <c r="CJ68" s="15" t="n">
        <v>-0.73329</v>
      </c>
      <c r="CK68" s="15" t="n">
        <v>-0.071843</v>
      </c>
      <c r="CL68" s="15" t="n">
        <v>-0.78807</v>
      </c>
      <c r="CM68" s="15" t="n">
        <v>0.40429</v>
      </c>
      <c r="CN68" s="15" t="n">
        <v>-0.25433</v>
      </c>
      <c r="CO68" s="15" t="n">
        <v>0.13369</v>
      </c>
      <c r="CP68" s="15" t="n">
        <v>-0.80108</v>
      </c>
      <c r="CQ68" s="15" t="n">
        <v>-0.37923</v>
      </c>
      <c r="CR68" s="15" t="n">
        <v>0.33475</v>
      </c>
      <c r="CS68" s="15" t="n">
        <v>0.12206</v>
      </c>
      <c r="CT68" s="15" t="n">
        <v>-0.33333</v>
      </c>
      <c r="CU68" s="15" t="n">
        <v>-0.48941</v>
      </c>
      <c r="CV68" s="15" t="n">
        <v>-1.0284</v>
      </c>
      <c r="CW68" s="15" t="n">
        <v>-1.3931</v>
      </c>
      <c r="CX68" s="15" t="n">
        <v>0.24207</v>
      </c>
      <c r="CY68" s="15" t="n">
        <v>0.72387</v>
      </c>
    </row>
    <row r="69" customFormat="false" ht="15" hidden="false" customHeight="false" outlineLevel="0" collapsed="false">
      <c r="A69" s="4" t="s">
        <v>201</v>
      </c>
      <c r="B69" s="2" t="n">
        <f aca="false">COUNTIF('1.3 TF-IDF coseno'!$M$10:$M$123,A69)</f>
        <v>1</v>
      </c>
      <c r="C69" s="2" t="n">
        <f aca="false">COUNTIF('1.3 TF-IDF coseno'!$N$10:$N$102,A69)</f>
        <v>0</v>
      </c>
      <c r="D69" s="15" t="n">
        <v>0.33864</v>
      </c>
      <c r="E69" s="15" t="n">
        <v>0.59663</v>
      </c>
      <c r="F69" s="15" t="n">
        <v>0.53322</v>
      </c>
      <c r="G69" s="15" t="n">
        <v>0.31404</v>
      </c>
      <c r="H69" s="15" t="n">
        <v>0.15321</v>
      </c>
      <c r="I69" s="15" t="n">
        <v>0.31749</v>
      </c>
      <c r="J69" s="15" t="n">
        <v>-0.4294</v>
      </c>
      <c r="K69" s="15" t="n">
        <v>-0.2915</v>
      </c>
      <c r="L69" s="15" t="n">
        <v>-0.0021047</v>
      </c>
      <c r="M69" s="15" t="n">
        <v>-0.39309</v>
      </c>
      <c r="N69" s="15" t="n">
        <v>-0.85441</v>
      </c>
      <c r="O69" s="15" t="n">
        <v>-0.080708</v>
      </c>
      <c r="P69" s="15" t="n">
        <v>1.2118</v>
      </c>
      <c r="Q69" s="15" t="n">
        <v>0.069316</v>
      </c>
      <c r="R69" s="15" t="n">
        <v>0.0080613</v>
      </c>
      <c r="S69" s="15" t="n">
        <v>0.87888</v>
      </c>
      <c r="T69" s="15" t="n">
        <v>0.031908</v>
      </c>
      <c r="U69" s="15" t="n">
        <v>0.58655</v>
      </c>
      <c r="V69" s="15" t="n">
        <v>-0.54892</v>
      </c>
      <c r="W69" s="15" t="n">
        <v>-0.0078468</v>
      </c>
      <c r="X69" s="15" t="n">
        <v>0.17327</v>
      </c>
      <c r="Y69" s="15" t="n">
        <v>-0.26693</v>
      </c>
      <c r="Z69" s="15" t="n">
        <v>0.42802</v>
      </c>
      <c r="AA69" s="15" t="n">
        <v>0.066123</v>
      </c>
      <c r="AB69" s="15" t="n">
        <v>0.51847</v>
      </c>
      <c r="AC69" s="15" t="n">
        <v>0.77226</v>
      </c>
      <c r="AD69" s="15" t="n">
        <v>0.20608</v>
      </c>
      <c r="AE69" s="15" t="n">
        <v>-0.45836</v>
      </c>
      <c r="AF69" s="15" t="n">
        <v>0.35485</v>
      </c>
      <c r="AG69" s="15" t="n">
        <v>0.71547</v>
      </c>
      <c r="AH69" s="15" t="n">
        <v>0.60855</v>
      </c>
      <c r="AI69" s="15" t="n">
        <v>0.20254</v>
      </c>
      <c r="AJ69" s="15" t="n">
        <v>-0.48756</v>
      </c>
      <c r="AK69" s="15" t="n">
        <v>0.57974</v>
      </c>
      <c r="AL69" s="15" t="n">
        <v>0.086728</v>
      </c>
      <c r="AM69" s="15" t="n">
        <v>-0.51852</v>
      </c>
      <c r="AN69" s="15" t="n">
        <v>-0.37274</v>
      </c>
      <c r="AO69" s="15" t="n">
        <v>1.0014</v>
      </c>
      <c r="AP69" s="15" t="n">
        <v>-0.29259</v>
      </c>
      <c r="AQ69" s="15" t="n">
        <v>0.3229</v>
      </c>
      <c r="AR69" s="15" t="n">
        <v>-0.97563</v>
      </c>
      <c r="AS69" s="15" t="n">
        <v>-0.22288</v>
      </c>
      <c r="AT69" s="15" t="n">
        <v>-0.23335</v>
      </c>
      <c r="AU69" s="15" t="n">
        <v>-0.26891</v>
      </c>
      <c r="AV69" s="15" t="n">
        <v>0.14612</v>
      </c>
      <c r="AW69" s="15" t="n">
        <v>0.12004</v>
      </c>
      <c r="AX69" s="15" t="n">
        <v>-0.20402</v>
      </c>
      <c r="AY69" s="15" t="n">
        <v>-0.094647</v>
      </c>
      <c r="AZ69" s="15" t="n">
        <v>-1.5402</v>
      </c>
      <c r="BA69" s="15" t="n">
        <v>-0.05951</v>
      </c>
      <c r="BB69" s="15" t="n">
        <v>1.0887</v>
      </c>
      <c r="BC69" s="15" t="n">
        <v>-0.24998</v>
      </c>
      <c r="BD69" s="15" t="n">
        <v>-0.25808</v>
      </c>
      <c r="BE69" s="15" t="n">
        <v>1.2798</v>
      </c>
      <c r="BF69" s="15" t="n">
        <v>-0.12849</v>
      </c>
      <c r="BG69" s="15" t="n">
        <v>-1.4511</v>
      </c>
      <c r="BH69" s="15" t="n">
        <v>-0.24686</v>
      </c>
      <c r="BI69" s="15" t="n">
        <v>-0.095046</v>
      </c>
      <c r="BJ69" s="15" t="n">
        <v>1.7425</v>
      </c>
      <c r="BK69" s="15" t="n">
        <v>0.11977</v>
      </c>
      <c r="BL69" s="15" t="n">
        <v>-0.19206</v>
      </c>
      <c r="BM69" s="15" t="n">
        <v>0.44368</v>
      </c>
      <c r="BN69" s="15" t="n">
        <v>-0.16453</v>
      </c>
      <c r="BO69" s="15" t="n">
        <v>-0.76663</v>
      </c>
      <c r="BP69" s="15" t="n">
        <v>1.11</v>
      </c>
      <c r="BQ69" s="15" t="n">
        <v>0.46748</v>
      </c>
      <c r="BR69" s="15" t="n">
        <v>-0.024673</v>
      </c>
      <c r="BS69" s="15" t="n">
        <v>0.0047179</v>
      </c>
      <c r="BT69" s="15" t="n">
        <v>0.69761</v>
      </c>
      <c r="BU69" s="15" t="n">
        <v>-0.22975</v>
      </c>
      <c r="BV69" s="15" t="n">
        <v>0.64385</v>
      </c>
      <c r="BW69" s="15" t="n">
        <v>-0.089847</v>
      </c>
      <c r="BX69" s="15" t="n">
        <v>0.078711</v>
      </c>
      <c r="BY69" s="15" t="n">
        <v>-0.041255</v>
      </c>
      <c r="BZ69" s="15" t="n">
        <v>0.53239</v>
      </c>
      <c r="CA69" s="15" t="n">
        <v>-0.39945</v>
      </c>
      <c r="CB69" s="15" t="n">
        <v>-0.46565</v>
      </c>
      <c r="CC69" s="15" t="n">
        <v>-0.27601</v>
      </c>
      <c r="CD69" s="15" t="n">
        <v>-1.5407</v>
      </c>
      <c r="CE69" s="15" t="n">
        <v>0.53639</v>
      </c>
      <c r="CF69" s="15" t="n">
        <v>0.50511</v>
      </c>
      <c r="CG69" s="15" t="n">
        <v>0.97199</v>
      </c>
      <c r="CH69" s="15" t="n">
        <v>0.12057</v>
      </c>
      <c r="CI69" s="15" t="n">
        <v>0.6172</v>
      </c>
      <c r="CJ69" s="15" t="n">
        <v>-2.1424</v>
      </c>
      <c r="CK69" s="15" t="n">
        <v>0.66596</v>
      </c>
      <c r="CL69" s="15" t="n">
        <v>0.3706</v>
      </c>
      <c r="CM69" s="15" t="n">
        <v>0.26115</v>
      </c>
      <c r="CN69" s="15" t="n">
        <v>-0.13408</v>
      </c>
      <c r="CO69" s="15" t="n">
        <v>-0.39319</v>
      </c>
      <c r="CP69" s="15" t="n">
        <v>0.63069</v>
      </c>
      <c r="CQ69" s="15" t="n">
        <v>-0.54047</v>
      </c>
      <c r="CR69" s="15" t="n">
        <v>0.15467</v>
      </c>
      <c r="CS69" s="15" t="n">
        <v>0.40616</v>
      </c>
      <c r="CT69" s="15" t="n">
        <v>0.10424</v>
      </c>
      <c r="CU69" s="15" t="n">
        <v>-0.047552</v>
      </c>
      <c r="CV69" s="15" t="n">
        <v>-0.81695</v>
      </c>
      <c r="CW69" s="15" t="n">
        <v>-1.1976</v>
      </c>
      <c r="CX69" s="15" t="n">
        <v>0.69475</v>
      </c>
      <c r="CY69" s="15" t="n">
        <v>-0.19884</v>
      </c>
    </row>
    <row r="70" customFormat="false" ht="15" hidden="false" customHeight="false" outlineLevel="0" collapsed="false">
      <c r="A70" s="4" t="s">
        <v>202</v>
      </c>
      <c r="B70" s="2" t="n">
        <f aca="false">COUNTIF('1.3 TF-IDF coseno'!$M$10:$M$123,A70)</f>
        <v>1</v>
      </c>
      <c r="C70" s="2" t="n">
        <f aca="false">COUNTIF('1.3 TF-IDF coseno'!$N$10:$N$102,A70)</f>
        <v>0</v>
      </c>
      <c r="D70" s="15" t="n">
        <v>0.063226</v>
      </c>
      <c r="E70" s="15" t="n">
        <v>-0.10754</v>
      </c>
      <c r="F70" s="15" t="n">
        <v>-0.51512</v>
      </c>
      <c r="G70" s="15" t="n">
        <v>0.41928</v>
      </c>
      <c r="H70" s="15" t="n">
        <v>-0.14264</v>
      </c>
      <c r="I70" s="15" t="n">
        <v>-0.4291</v>
      </c>
      <c r="J70" s="15" t="n">
        <v>-0.23462</v>
      </c>
      <c r="K70" s="15" t="n">
        <v>-0.77315</v>
      </c>
      <c r="L70" s="15" t="n">
        <v>-0.034402</v>
      </c>
      <c r="M70" s="15" t="n">
        <v>0.10329</v>
      </c>
      <c r="N70" s="15" t="n">
        <v>-0.19547</v>
      </c>
      <c r="O70" s="15" t="n">
        <v>-0.14383</v>
      </c>
      <c r="P70" s="15" t="n">
        <v>0.5458</v>
      </c>
      <c r="Q70" s="15" t="n">
        <v>-0.35006</v>
      </c>
      <c r="R70" s="15" t="n">
        <v>0.1604</v>
      </c>
      <c r="S70" s="15" t="n">
        <v>-0.42683</v>
      </c>
      <c r="T70" s="15" t="n">
        <v>-0.12525</v>
      </c>
      <c r="U70" s="15" t="n">
        <v>-0.38319</v>
      </c>
      <c r="V70" s="15" t="n">
        <v>-0.60409</v>
      </c>
      <c r="W70" s="15" t="n">
        <v>-0.25515</v>
      </c>
      <c r="X70" s="15" t="n">
        <v>0.3348</v>
      </c>
      <c r="Y70" s="15" t="n">
        <v>-0.084378</v>
      </c>
      <c r="Z70" s="15" t="n">
        <v>0.15902</v>
      </c>
      <c r="AA70" s="15" t="n">
        <v>0.7055</v>
      </c>
      <c r="AB70" s="15" t="n">
        <v>-0.046281</v>
      </c>
      <c r="AC70" s="15" t="n">
        <v>-0.10436</v>
      </c>
      <c r="AD70" s="15" t="n">
        <v>0.046689</v>
      </c>
      <c r="AE70" s="15" t="n">
        <v>-0.91244</v>
      </c>
      <c r="AF70" s="15" t="n">
        <v>-0.31241</v>
      </c>
      <c r="AG70" s="15" t="n">
        <v>0.47118</v>
      </c>
      <c r="AH70" s="15" t="n">
        <v>0.33431</v>
      </c>
      <c r="AI70" s="15" t="n">
        <v>0.10219</v>
      </c>
      <c r="AJ70" s="15" t="n">
        <v>-0.44913</v>
      </c>
      <c r="AK70" s="15" t="n">
        <v>0.47482</v>
      </c>
      <c r="AL70" s="15" t="n">
        <v>0.24032</v>
      </c>
      <c r="AM70" s="15" t="n">
        <v>0.20462</v>
      </c>
      <c r="AN70" s="15" t="n">
        <v>0.59596</v>
      </c>
      <c r="AO70" s="15" t="n">
        <v>-0.95173</v>
      </c>
      <c r="AP70" s="15" t="n">
        <v>-0.56681</v>
      </c>
      <c r="AQ70" s="15" t="n">
        <v>0.30048</v>
      </c>
      <c r="AR70" s="15" t="n">
        <v>-0.28986</v>
      </c>
      <c r="AS70" s="15" t="n">
        <v>-0.99707</v>
      </c>
      <c r="AT70" s="15" t="n">
        <v>0.75673</v>
      </c>
      <c r="AU70" s="15" t="n">
        <v>0.32992</v>
      </c>
      <c r="AV70" s="15" t="n">
        <v>0.57296</v>
      </c>
      <c r="AW70" s="15" t="n">
        <v>-0.0024589</v>
      </c>
      <c r="AX70" s="15" t="n">
        <v>0.43184</v>
      </c>
      <c r="AY70" s="15" t="n">
        <v>0.22796</v>
      </c>
      <c r="AZ70" s="15" t="n">
        <v>0.80636</v>
      </c>
      <c r="BA70" s="15" t="n">
        <v>-1.5511</v>
      </c>
      <c r="BB70" s="15" t="n">
        <v>-0.060993</v>
      </c>
      <c r="BC70" s="15" t="n">
        <v>0.41548</v>
      </c>
      <c r="BD70" s="15" t="n">
        <v>-0.017479</v>
      </c>
      <c r="BE70" s="15" t="n">
        <v>1.1145</v>
      </c>
      <c r="BF70" s="15" t="n">
        <v>0.11225</v>
      </c>
      <c r="BG70" s="15" t="n">
        <v>-0.99579</v>
      </c>
      <c r="BH70" s="15" t="n">
        <v>0.53428</v>
      </c>
      <c r="BI70" s="15" t="n">
        <v>-0.46628</v>
      </c>
      <c r="BJ70" s="15" t="n">
        <v>0.52137</v>
      </c>
      <c r="BK70" s="15" t="n">
        <v>0.16801</v>
      </c>
      <c r="BL70" s="15" t="n">
        <v>0.10374</v>
      </c>
      <c r="BM70" s="15" t="n">
        <v>0.12767</v>
      </c>
      <c r="BN70" s="15" t="n">
        <v>-0.75667</v>
      </c>
      <c r="BO70" s="15" t="n">
        <v>0.72107</v>
      </c>
      <c r="BP70" s="15" t="n">
        <v>-0.56014</v>
      </c>
      <c r="BQ70" s="15" t="n">
        <v>0.41861</v>
      </c>
      <c r="BR70" s="15" t="n">
        <v>-1.0627</v>
      </c>
      <c r="BS70" s="15" t="n">
        <v>0.55992</v>
      </c>
      <c r="BT70" s="15" t="n">
        <v>0.92164</v>
      </c>
      <c r="BU70" s="15" t="n">
        <v>-0.30283</v>
      </c>
      <c r="BV70" s="15" t="n">
        <v>1.0786</v>
      </c>
      <c r="BW70" s="15" t="n">
        <v>-0.07478</v>
      </c>
      <c r="BX70" s="15" t="n">
        <v>0.53157</v>
      </c>
      <c r="BY70" s="15" t="n">
        <v>-0.28728</v>
      </c>
      <c r="BZ70" s="15" t="n">
        <v>0.42946</v>
      </c>
      <c r="CA70" s="15" t="n">
        <v>-0.26937</v>
      </c>
      <c r="CB70" s="15" t="n">
        <v>-0.57423</v>
      </c>
      <c r="CC70" s="15" t="n">
        <v>0.20902</v>
      </c>
      <c r="CD70" s="15" t="n">
        <v>-0.36457</v>
      </c>
      <c r="CE70" s="15" t="n">
        <v>0.554</v>
      </c>
      <c r="CF70" s="15" t="n">
        <v>0.14431</v>
      </c>
      <c r="CG70" s="15" t="n">
        <v>-0.026666</v>
      </c>
      <c r="CH70" s="15" t="n">
        <v>-0.018691</v>
      </c>
      <c r="CI70" s="15" t="n">
        <v>0.1977</v>
      </c>
      <c r="CJ70" s="15" t="n">
        <v>-0.34841</v>
      </c>
      <c r="CK70" s="15" t="n">
        <v>0.40349</v>
      </c>
      <c r="CL70" s="15" t="n">
        <v>0.29897</v>
      </c>
      <c r="CM70" s="15" t="n">
        <v>0.43578</v>
      </c>
      <c r="CN70" s="15" t="n">
        <v>-0.33</v>
      </c>
      <c r="CO70" s="15" t="n">
        <v>-0.28304</v>
      </c>
      <c r="CP70" s="15" t="n">
        <v>-0.030727</v>
      </c>
      <c r="CQ70" s="15" t="n">
        <v>0.12917</v>
      </c>
      <c r="CR70" s="15" t="n">
        <v>-0.80779</v>
      </c>
      <c r="CS70" s="15" t="n">
        <v>0.42732</v>
      </c>
      <c r="CT70" s="15" t="n">
        <v>0.19815</v>
      </c>
      <c r="CU70" s="15" t="n">
        <v>0.30791</v>
      </c>
      <c r="CV70" s="15" t="n">
        <v>0.24178</v>
      </c>
      <c r="CW70" s="15" t="n">
        <v>-0.59405</v>
      </c>
      <c r="CX70" s="15" t="n">
        <v>-0.036965</v>
      </c>
      <c r="CY70" s="15" t="n">
        <v>0.54256</v>
      </c>
    </row>
    <row r="71" customFormat="false" ht="15" hidden="false" customHeight="false" outlineLevel="0" collapsed="false">
      <c r="A71" s="4" t="s">
        <v>203</v>
      </c>
      <c r="B71" s="2" t="n">
        <f aca="false">COUNTIF('1.3 TF-IDF coseno'!$M$10:$M$123,A71)</f>
        <v>1</v>
      </c>
      <c r="C71" s="2" t="n">
        <f aca="false">COUNTIF('1.3 TF-IDF coseno'!$N$10:$N$102,A71)</f>
        <v>0</v>
      </c>
      <c r="D71" s="15" t="n">
        <v>-0.17669</v>
      </c>
      <c r="E71" s="15" t="n">
        <v>-0.28136</v>
      </c>
      <c r="F71" s="15" t="n">
        <v>0.18281</v>
      </c>
      <c r="G71" s="15" t="n">
        <v>0.29953</v>
      </c>
      <c r="H71" s="15" t="n">
        <v>0.043258</v>
      </c>
      <c r="I71" s="15" t="n">
        <v>0.046919</v>
      </c>
      <c r="J71" s="15" t="n">
        <v>0.70491</v>
      </c>
      <c r="K71" s="15" t="n">
        <v>-0.49199</v>
      </c>
      <c r="L71" s="15" t="n">
        <v>-0.70803</v>
      </c>
      <c r="M71" s="15" t="n">
        <v>-0.30535</v>
      </c>
      <c r="N71" s="15" t="n">
        <v>0.46796</v>
      </c>
      <c r="O71" s="15" t="n">
        <v>-0.24726</v>
      </c>
      <c r="P71" s="15" t="n">
        <v>-1.0334</v>
      </c>
      <c r="Q71" s="15" t="n">
        <v>0.46793</v>
      </c>
      <c r="R71" s="15" t="n">
        <v>0.21775</v>
      </c>
      <c r="S71" s="15" t="n">
        <v>-0.46048</v>
      </c>
      <c r="T71" s="15" t="n">
        <v>0.82285</v>
      </c>
      <c r="U71" s="15" t="n">
        <v>0.19758</v>
      </c>
      <c r="V71" s="15" t="n">
        <v>-0.67636</v>
      </c>
      <c r="W71" s="15" t="n">
        <v>0.5249</v>
      </c>
      <c r="X71" s="15" t="n">
        <v>-0.72554</v>
      </c>
      <c r="Y71" s="15" t="n">
        <v>-0.66382</v>
      </c>
      <c r="Z71" s="15" t="n">
        <v>-0.057181</v>
      </c>
      <c r="AA71" s="15" t="n">
        <v>1.0474</v>
      </c>
      <c r="AB71" s="15" t="n">
        <v>0.027023</v>
      </c>
      <c r="AC71" s="15" t="n">
        <v>0.34733</v>
      </c>
      <c r="AD71" s="15" t="n">
        <v>-0.16288</v>
      </c>
      <c r="AE71" s="15" t="n">
        <v>0.15655</v>
      </c>
      <c r="AF71" s="15" t="n">
        <v>1.1269</v>
      </c>
      <c r="AG71" s="15" t="n">
        <v>0.54693</v>
      </c>
      <c r="AH71" s="15" t="n">
        <v>0.36469</v>
      </c>
      <c r="AI71" s="15" t="n">
        <v>-0.10148</v>
      </c>
      <c r="AJ71" s="15" t="n">
        <v>0.22364</v>
      </c>
      <c r="AK71" s="15" t="n">
        <v>-0.018495</v>
      </c>
      <c r="AL71" s="15" t="n">
        <v>0.82551</v>
      </c>
      <c r="AM71" s="15" t="n">
        <v>0.54207</v>
      </c>
      <c r="AN71" s="15" t="n">
        <v>0.26736</v>
      </c>
      <c r="AO71" s="15" t="n">
        <v>0.50779</v>
      </c>
      <c r="AP71" s="15" t="n">
        <v>0.37212</v>
      </c>
      <c r="AQ71" s="15" t="n">
        <v>0.59596</v>
      </c>
      <c r="AR71" s="15" t="n">
        <v>-0.2664</v>
      </c>
      <c r="AS71" s="15" t="n">
        <v>-0.21985</v>
      </c>
      <c r="AT71" s="15" t="n">
        <v>0.2546</v>
      </c>
      <c r="AU71" s="15" t="n">
        <v>-0.97708</v>
      </c>
      <c r="AV71" s="15" t="n">
        <v>-0.0087377</v>
      </c>
      <c r="AW71" s="15" t="n">
        <v>-0.55977</v>
      </c>
      <c r="AX71" s="15" t="n">
        <v>-0.23977</v>
      </c>
      <c r="AY71" s="15" t="n">
        <v>0.13183</v>
      </c>
      <c r="AZ71" s="15" t="n">
        <v>0.48175</v>
      </c>
      <c r="BA71" s="15" t="n">
        <v>-0.68507</v>
      </c>
      <c r="BB71" s="15" t="n">
        <v>-0.36621</v>
      </c>
      <c r="BC71" s="15" t="n">
        <v>-0.36318</v>
      </c>
      <c r="BD71" s="15" t="n">
        <v>0.4639</v>
      </c>
      <c r="BE71" s="15" t="n">
        <v>0.078754</v>
      </c>
      <c r="BF71" s="15" t="n">
        <v>-0.01182</v>
      </c>
      <c r="BG71" s="15" t="n">
        <v>-1.5221</v>
      </c>
      <c r="BH71" s="15" t="n">
        <v>-0.22563</v>
      </c>
      <c r="BI71" s="15" t="n">
        <v>0.074229</v>
      </c>
      <c r="BJ71" s="15" t="n">
        <v>0.37115</v>
      </c>
      <c r="BK71" s="15" t="n">
        <v>0.69384</v>
      </c>
      <c r="BL71" s="15" t="n">
        <v>0.24195</v>
      </c>
      <c r="BM71" s="15" t="n">
        <v>0.27799</v>
      </c>
      <c r="BN71" s="15" t="n">
        <v>0.66339</v>
      </c>
      <c r="BO71" s="15" t="n">
        <v>0.27651</v>
      </c>
      <c r="BP71" s="15" t="n">
        <v>0.70048</v>
      </c>
      <c r="BQ71" s="15" t="n">
        <v>-0.4993</v>
      </c>
      <c r="BR71" s="15" t="n">
        <v>-0.64548</v>
      </c>
      <c r="BS71" s="15" t="n">
        <v>1.0608</v>
      </c>
      <c r="BT71" s="15" t="n">
        <v>-0.55948</v>
      </c>
      <c r="BU71" s="15" t="n">
        <v>0.61548</v>
      </c>
      <c r="BV71" s="15" t="n">
        <v>0.73224</v>
      </c>
      <c r="BW71" s="15" t="n">
        <v>-0.59574</v>
      </c>
      <c r="BX71" s="15" t="n">
        <v>0.58122</v>
      </c>
      <c r="BY71" s="15" t="n">
        <v>0.29</v>
      </c>
      <c r="BZ71" s="15" t="n">
        <v>0.25381</v>
      </c>
      <c r="CA71" s="15" t="n">
        <v>-0.80767</v>
      </c>
      <c r="CB71" s="15" t="n">
        <v>-0.13858</v>
      </c>
      <c r="CC71" s="15" t="n">
        <v>0.59864</v>
      </c>
      <c r="CD71" s="15" t="n">
        <v>-0.86101</v>
      </c>
      <c r="CE71" s="15" t="n">
        <v>0.12045</v>
      </c>
      <c r="CF71" s="15" t="n">
        <v>0.81737</v>
      </c>
      <c r="CG71" s="15" t="n">
        <v>-0.31313</v>
      </c>
      <c r="CH71" s="15" t="n">
        <v>0.014675</v>
      </c>
      <c r="CI71" s="15" t="n">
        <v>0.25848</v>
      </c>
      <c r="CJ71" s="15" t="n">
        <v>-0.42858</v>
      </c>
      <c r="CK71" s="15" t="n">
        <v>0.82107</v>
      </c>
      <c r="CL71" s="15" t="n">
        <v>-0.26376</v>
      </c>
      <c r="CM71" s="15" t="n">
        <v>-2.5145</v>
      </c>
      <c r="CN71" s="15" t="n">
        <v>0.065798</v>
      </c>
      <c r="CO71" s="15" t="n">
        <v>-0.53964</v>
      </c>
      <c r="CP71" s="15" t="n">
        <v>-0.30653</v>
      </c>
      <c r="CQ71" s="15" t="n">
        <v>-0.41902</v>
      </c>
      <c r="CR71" s="15" t="n">
        <v>0.20184</v>
      </c>
      <c r="CS71" s="15" t="n">
        <v>1.2208</v>
      </c>
      <c r="CT71" s="15" t="n">
        <v>0.047342</v>
      </c>
      <c r="CU71" s="15" t="n">
        <v>-0.058468</v>
      </c>
      <c r="CV71" s="15" t="n">
        <v>-0.22263</v>
      </c>
      <c r="CW71" s="15" t="n">
        <v>-0.21393</v>
      </c>
      <c r="CX71" s="15" t="n">
        <v>0.3911</v>
      </c>
      <c r="CY71" s="15" t="n">
        <v>-0.60752</v>
      </c>
    </row>
    <row r="72" customFormat="false" ht="15" hidden="false" customHeight="false" outlineLevel="0" collapsed="false">
      <c r="A72" s="4" t="s">
        <v>204</v>
      </c>
      <c r="B72" s="2" t="n">
        <f aca="false">COUNTIF('1.3 TF-IDF coseno'!$M$10:$M$123,A72)</f>
        <v>1</v>
      </c>
      <c r="C72" s="2" t="n">
        <f aca="false">COUNTIF('1.3 TF-IDF coseno'!$N$10:$N$102,A72)</f>
        <v>0</v>
      </c>
      <c r="D72" s="15" t="n">
        <v>0.031322</v>
      </c>
      <c r="E72" s="15" t="n">
        <v>0.17645</v>
      </c>
      <c r="F72" s="15" t="n">
        <v>-0.72781</v>
      </c>
      <c r="G72" s="15" t="n">
        <v>0.45531</v>
      </c>
      <c r="H72" s="15" t="n">
        <v>0.79196</v>
      </c>
      <c r="I72" s="15" t="n">
        <v>-0.53012</v>
      </c>
      <c r="J72" s="15" t="n">
        <v>0.21976</v>
      </c>
      <c r="K72" s="15" t="n">
        <v>-0.50269</v>
      </c>
      <c r="L72" s="15" t="n">
        <v>-0.35689</v>
      </c>
      <c r="M72" s="15" t="n">
        <v>0.83904</v>
      </c>
      <c r="N72" s="15" t="n">
        <v>-0.11879</v>
      </c>
      <c r="O72" s="15" t="n">
        <v>-0.67167</v>
      </c>
      <c r="P72" s="15" t="n">
        <v>-0.45975</v>
      </c>
      <c r="Q72" s="15" t="n">
        <v>-0.69509</v>
      </c>
      <c r="R72" s="15" t="n">
        <v>-0.05089</v>
      </c>
      <c r="S72" s="15" t="n">
        <v>-0.081154</v>
      </c>
      <c r="T72" s="15" t="n">
        <v>0.065797</v>
      </c>
      <c r="U72" s="15" t="n">
        <v>0.47437</v>
      </c>
      <c r="V72" s="15" t="n">
        <v>0.099293</v>
      </c>
      <c r="W72" s="15" t="n">
        <v>0.32891</v>
      </c>
      <c r="X72" s="15" t="n">
        <v>-0.35858</v>
      </c>
      <c r="Y72" s="15" t="n">
        <v>-0.15323</v>
      </c>
      <c r="Z72" s="15" t="n">
        <v>-0.081841</v>
      </c>
      <c r="AA72" s="15" t="n">
        <v>-0.54329</v>
      </c>
      <c r="AB72" s="15" t="n">
        <v>0.03093</v>
      </c>
      <c r="AC72" s="15" t="n">
        <v>-0.051496</v>
      </c>
      <c r="AD72" s="15" t="n">
        <v>0.23966</v>
      </c>
      <c r="AE72" s="15" t="n">
        <v>0.083303</v>
      </c>
      <c r="AF72" s="15" t="n">
        <v>-0.75738</v>
      </c>
      <c r="AG72" s="15" t="n">
        <v>0.31806</v>
      </c>
      <c r="AH72" s="15" t="n">
        <v>-0.9384</v>
      </c>
      <c r="AI72" s="15" t="n">
        <v>1.2054</v>
      </c>
      <c r="AJ72" s="15" t="n">
        <v>-0.65999</v>
      </c>
      <c r="AK72" s="15" t="n">
        <v>-0.26154</v>
      </c>
      <c r="AL72" s="15" t="n">
        <v>0.34493</v>
      </c>
      <c r="AM72" s="15" t="n">
        <v>-0.38547</v>
      </c>
      <c r="AN72" s="15" t="n">
        <v>-0.61004</v>
      </c>
      <c r="AO72" s="15" t="n">
        <v>-0.52101</v>
      </c>
      <c r="AP72" s="15" t="n">
        <v>-0.3352</v>
      </c>
      <c r="AQ72" s="15" t="n">
        <v>-0.49223</v>
      </c>
      <c r="AR72" s="15" t="n">
        <v>0.13901</v>
      </c>
      <c r="AS72" s="15" t="n">
        <v>0.16628</v>
      </c>
      <c r="AT72" s="15" t="n">
        <v>-0.069842</v>
      </c>
      <c r="AU72" s="15" t="n">
        <v>0.28264</v>
      </c>
      <c r="AV72" s="15" t="n">
        <v>-0.47207</v>
      </c>
      <c r="AW72" s="15" t="n">
        <v>0.19467</v>
      </c>
      <c r="AX72" s="15" t="n">
        <v>0.10058</v>
      </c>
      <c r="AY72" s="15" t="n">
        <v>0.22792</v>
      </c>
      <c r="AZ72" s="15" t="n">
        <v>0.014576</v>
      </c>
      <c r="BA72" s="15" t="n">
        <v>0.034173</v>
      </c>
      <c r="BB72" s="15" t="n">
        <v>-0.66555</v>
      </c>
      <c r="BC72" s="15" t="n">
        <v>0.07917</v>
      </c>
      <c r="BD72" s="15" t="n">
        <v>-0.19796</v>
      </c>
      <c r="BE72" s="15" t="n">
        <v>0.11067</v>
      </c>
      <c r="BF72" s="15" t="n">
        <v>0.17353</v>
      </c>
      <c r="BG72" s="15" t="n">
        <v>-1.3598</v>
      </c>
      <c r="BH72" s="15" t="n">
        <v>0.80806</v>
      </c>
      <c r="BI72" s="15" t="n">
        <v>0.17969</v>
      </c>
      <c r="BJ72" s="15" t="n">
        <v>1.0287</v>
      </c>
      <c r="BK72" s="15" t="n">
        <v>-0.79565</v>
      </c>
      <c r="BL72" s="15" t="n">
        <v>-0.13111</v>
      </c>
      <c r="BM72" s="15" t="n">
        <v>0.57291</v>
      </c>
      <c r="BN72" s="15" t="n">
        <v>0.035524</v>
      </c>
      <c r="BO72" s="15" t="n">
        <v>0.56923</v>
      </c>
      <c r="BP72" s="15" t="n">
        <v>0.55002</v>
      </c>
      <c r="BQ72" s="15" t="n">
        <v>-0.69132</v>
      </c>
      <c r="BR72" s="15" t="n">
        <v>-0.016888</v>
      </c>
      <c r="BS72" s="15" t="n">
        <v>-0.16509</v>
      </c>
      <c r="BT72" s="15" t="n">
        <v>0.60859</v>
      </c>
      <c r="BU72" s="15" t="n">
        <v>-0.78407</v>
      </c>
      <c r="BV72" s="15" t="n">
        <v>0.74154</v>
      </c>
      <c r="BW72" s="15" t="n">
        <v>0.25783</v>
      </c>
      <c r="BX72" s="15" t="n">
        <v>-0.43273</v>
      </c>
      <c r="BY72" s="15" t="n">
        <v>-0.22364</v>
      </c>
      <c r="BZ72" s="15" t="n">
        <v>0.28124</v>
      </c>
      <c r="CA72" s="15" t="n">
        <v>-0.27568</v>
      </c>
      <c r="CB72" s="15" t="n">
        <v>-0.21392</v>
      </c>
      <c r="CC72" s="15" t="n">
        <v>0.14635</v>
      </c>
      <c r="CD72" s="15" t="n">
        <v>-0.096988</v>
      </c>
      <c r="CE72" s="15" t="n">
        <v>-0.73356</v>
      </c>
      <c r="CF72" s="15" t="n">
        <v>0.51079</v>
      </c>
      <c r="CG72" s="15" t="n">
        <v>0.39567</v>
      </c>
      <c r="CH72" s="15" t="n">
        <v>-0.062572</v>
      </c>
      <c r="CI72" s="15" t="n">
        <v>-0.06378</v>
      </c>
      <c r="CJ72" s="15" t="n">
        <v>-1.4549</v>
      </c>
      <c r="CK72" s="15" t="n">
        <v>0.52166</v>
      </c>
      <c r="CL72" s="15" t="n">
        <v>0.29541</v>
      </c>
      <c r="CM72" s="15" t="n">
        <v>-0.16988</v>
      </c>
      <c r="CN72" s="15" t="n">
        <v>-1.0352</v>
      </c>
      <c r="CO72" s="15" t="n">
        <v>-0.66719</v>
      </c>
      <c r="CP72" s="15" t="n">
        <v>0.45487</v>
      </c>
      <c r="CQ72" s="15" t="n">
        <v>0.012106</v>
      </c>
      <c r="CR72" s="15" t="n">
        <v>-0.060736</v>
      </c>
      <c r="CS72" s="15" t="n">
        <v>-0.27992</v>
      </c>
      <c r="CT72" s="15" t="n">
        <v>-0.2663</v>
      </c>
      <c r="CU72" s="15" t="n">
        <v>0.30356</v>
      </c>
      <c r="CV72" s="15" t="n">
        <v>-1.0729</v>
      </c>
      <c r="CW72" s="15" t="n">
        <v>-0.86984</v>
      </c>
      <c r="CX72" s="15" t="n">
        <v>1.1563</v>
      </c>
      <c r="CY72" s="15" t="n">
        <v>0.79801</v>
      </c>
    </row>
    <row r="73" customFormat="false" ht="15" hidden="false" customHeight="false" outlineLevel="0" collapsed="false">
      <c r="A73" s="4" t="s">
        <v>205</v>
      </c>
      <c r="B73" s="2" t="n">
        <f aca="false">COUNTIF('1.3 TF-IDF coseno'!$M$10:$M$123,A73)</f>
        <v>1</v>
      </c>
      <c r="C73" s="2" t="n">
        <f aca="false">COUNTIF('1.3 TF-IDF coseno'!$N$10:$N$102,A73)</f>
        <v>0</v>
      </c>
      <c r="D73" s="15" t="n">
        <v>0.29373</v>
      </c>
      <c r="E73" s="15" t="n">
        <v>0.47754</v>
      </c>
      <c r="F73" s="15" t="n">
        <v>0.068825</v>
      </c>
      <c r="G73" s="15" t="n">
        <v>0.71607</v>
      </c>
      <c r="H73" s="15" t="n">
        <v>-0.047546</v>
      </c>
      <c r="I73" s="15" t="n">
        <v>0.68133</v>
      </c>
      <c r="J73" s="15" t="n">
        <v>0.65172</v>
      </c>
      <c r="K73" s="15" t="n">
        <v>0.13181</v>
      </c>
      <c r="L73" s="15" t="n">
        <v>-0.43087</v>
      </c>
      <c r="M73" s="15" t="n">
        <v>0.35766</v>
      </c>
      <c r="N73" s="15" t="n">
        <v>-0.81819</v>
      </c>
      <c r="O73" s="15" t="n">
        <v>-0.57469</v>
      </c>
      <c r="P73" s="15" t="n">
        <v>0.18424</v>
      </c>
      <c r="Q73" s="15" t="n">
        <v>-0.18452</v>
      </c>
      <c r="R73" s="15" t="n">
        <v>0.67884</v>
      </c>
      <c r="S73" s="15" t="n">
        <v>-0.019004</v>
      </c>
      <c r="T73" s="15" t="n">
        <v>0.060557</v>
      </c>
      <c r="U73" s="15" t="n">
        <v>0.27917</v>
      </c>
      <c r="V73" s="15" t="n">
        <v>-0.51832</v>
      </c>
      <c r="W73" s="15" t="n">
        <v>0.36158</v>
      </c>
      <c r="X73" s="15" t="n">
        <v>-0.30624</v>
      </c>
      <c r="Y73" s="15" t="n">
        <v>-0.073153</v>
      </c>
      <c r="Z73" s="15" t="n">
        <v>-0.58749</v>
      </c>
      <c r="AA73" s="15" t="n">
        <v>0.024257</v>
      </c>
      <c r="AB73" s="15" t="n">
        <v>-0.79409</v>
      </c>
      <c r="AC73" s="15" t="n">
        <v>0.94681</v>
      </c>
      <c r="AD73" s="15" t="n">
        <v>0.23402</v>
      </c>
      <c r="AE73" s="15" t="n">
        <v>-0.4344</v>
      </c>
      <c r="AF73" s="15" t="n">
        <v>-1.461</v>
      </c>
      <c r="AG73" s="15" t="n">
        <v>0.027517</v>
      </c>
      <c r="AH73" s="15" t="n">
        <v>-1.1569</v>
      </c>
      <c r="AI73" s="15" t="n">
        <v>0.24209</v>
      </c>
      <c r="AJ73" s="15" t="n">
        <v>-0.53885</v>
      </c>
      <c r="AK73" s="15" t="n">
        <v>-0.036262</v>
      </c>
      <c r="AL73" s="15" t="n">
        <v>-0.13032</v>
      </c>
      <c r="AM73" s="15" t="n">
        <v>-0.17085</v>
      </c>
      <c r="AN73" s="15" t="n">
        <v>-0.74583</v>
      </c>
      <c r="AO73" s="15" t="n">
        <v>0.69481</v>
      </c>
      <c r="AP73" s="15" t="n">
        <v>0.038358</v>
      </c>
      <c r="AQ73" s="15" t="n">
        <v>-0.14118</v>
      </c>
      <c r="AR73" s="15" t="n">
        <v>-0.21472</v>
      </c>
      <c r="AS73" s="15" t="n">
        <v>0.30596</v>
      </c>
      <c r="AT73" s="15" t="n">
        <v>0.13928</v>
      </c>
      <c r="AU73" s="15" t="n">
        <v>0.1011</v>
      </c>
      <c r="AV73" s="15" t="n">
        <v>-0.79263</v>
      </c>
      <c r="AW73" s="15" t="n">
        <v>0.3614</v>
      </c>
      <c r="AX73" s="15" t="n">
        <v>-0.40178</v>
      </c>
      <c r="AY73" s="15" t="n">
        <v>0.83529</v>
      </c>
      <c r="AZ73" s="15" t="n">
        <v>-0.072889</v>
      </c>
      <c r="BA73" s="15" t="n">
        <v>0.25417</v>
      </c>
      <c r="BB73" s="15" t="n">
        <v>-0.36699</v>
      </c>
      <c r="BC73" s="15" t="n">
        <v>-0.0063812</v>
      </c>
      <c r="BD73" s="15" t="n">
        <v>-0.17549</v>
      </c>
      <c r="BE73" s="15" t="n">
        <v>0.15593</v>
      </c>
      <c r="BF73" s="15" t="n">
        <v>-0.015601</v>
      </c>
      <c r="BG73" s="15" t="n">
        <v>-0.4591</v>
      </c>
      <c r="BH73" s="15" t="n">
        <v>0.97166</v>
      </c>
      <c r="BI73" s="15" t="n">
        <v>-0.24752</v>
      </c>
      <c r="BJ73" s="15" t="n">
        <v>0.34255</v>
      </c>
      <c r="BK73" s="15" t="n">
        <v>-0.80474</v>
      </c>
      <c r="BL73" s="15" t="n">
        <v>0.70874</v>
      </c>
      <c r="BM73" s="15" t="n">
        <v>-0.054201</v>
      </c>
      <c r="BN73" s="15" t="n">
        <v>0.15039</v>
      </c>
      <c r="BO73" s="15" t="n">
        <v>-0.13281</v>
      </c>
      <c r="BP73" s="15" t="n">
        <v>0.50994</v>
      </c>
      <c r="BQ73" s="15" t="n">
        <v>-0.16085</v>
      </c>
      <c r="BR73" s="15" t="n">
        <v>-0.63927</v>
      </c>
      <c r="BS73" s="15" t="n">
        <v>-0.046921</v>
      </c>
      <c r="BT73" s="15" t="n">
        <v>0.58169</v>
      </c>
      <c r="BU73" s="15" t="n">
        <v>-0.44712</v>
      </c>
      <c r="BV73" s="15" t="n">
        <v>-0.1422</v>
      </c>
      <c r="BW73" s="15" t="n">
        <v>0.30486</v>
      </c>
      <c r="BX73" s="15" t="n">
        <v>0.29243</v>
      </c>
      <c r="BY73" s="15" t="n">
        <v>0.1182</v>
      </c>
      <c r="BZ73" s="15" t="n">
        <v>0.092414</v>
      </c>
      <c r="CA73" s="15" t="n">
        <v>-0.69877</v>
      </c>
      <c r="CB73" s="15" t="n">
        <v>-0.29752</v>
      </c>
      <c r="CC73" s="15" t="n">
        <v>0.26558</v>
      </c>
      <c r="CD73" s="15" t="n">
        <v>-0.14315</v>
      </c>
      <c r="CE73" s="15" t="n">
        <v>-1.3967</v>
      </c>
      <c r="CF73" s="15" t="n">
        <v>-0.43326</v>
      </c>
      <c r="CG73" s="15" t="n">
        <v>0.63786</v>
      </c>
      <c r="CH73" s="15" t="n">
        <v>-0.44692</v>
      </c>
      <c r="CI73" s="15" t="n">
        <v>0.47585</v>
      </c>
      <c r="CJ73" s="15" t="n">
        <v>-0.47519</v>
      </c>
      <c r="CK73" s="15" t="n">
        <v>0.47576</v>
      </c>
      <c r="CL73" s="15" t="n">
        <v>0.39185</v>
      </c>
      <c r="CM73" s="15" t="n">
        <v>0.27542</v>
      </c>
      <c r="CN73" s="15" t="n">
        <v>-0.9592</v>
      </c>
      <c r="CO73" s="15" t="n">
        <v>-0.29843</v>
      </c>
      <c r="CP73" s="15" t="n">
        <v>0.60663</v>
      </c>
      <c r="CQ73" s="15" t="n">
        <v>0.067013</v>
      </c>
      <c r="CR73" s="15" t="n">
        <v>0.066611</v>
      </c>
      <c r="CS73" s="15" t="n">
        <v>-0.42936</v>
      </c>
      <c r="CT73" s="15" t="n">
        <v>0.27702</v>
      </c>
      <c r="CU73" s="15" t="n">
        <v>-0.063879</v>
      </c>
      <c r="CV73" s="15" t="n">
        <v>0.063113</v>
      </c>
      <c r="CW73" s="15" t="n">
        <v>-0.92218</v>
      </c>
      <c r="CX73" s="15" t="n">
        <v>0.36969</v>
      </c>
      <c r="CY73" s="15" t="n">
        <v>1.1622</v>
      </c>
    </row>
    <row r="74" customFormat="false" ht="15" hidden="false" customHeight="false" outlineLevel="0" collapsed="false">
      <c r="A74" s="4" t="s">
        <v>206</v>
      </c>
      <c r="B74" s="2" t="n">
        <f aca="false">COUNTIF('1.3 TF-IDF coseno'!$M$10:$M$123,A74)</f>
        <v>2</v>
      </c>
      <c r="C74" s="2" t="n">
        <f aca="false">COUNTIF('1.3 TF-IDF coseno'!$N$10:$N$102,A74)</f>
        <v>0</v>
      </c>
      <c r="D74" s="15" t="n">
        <v>0.81297</v>
      </c>
      <c r="E74" s="15" t="n">
        <v>0.61291</v>
      </c>
      <c r="F74" s="15" t="n">
        <v>-0.86603</v>
      </c>
      <c r="G74" s="15" t="n">
        <v>0.8115</v>
      </c>
      <c r="H74" s="15" t="n">
        <v>0.18414</v>
      </c>
      <c r="I74" s="15" t="n">
        <v>0.59079</v>
      </c>
      <c r="J74" s="15" t="n">
        <v>-0.096551</v>
      </c>
      <c r="K74" s="15" t="n">
        <v>0.036005</v>
      </c>
      <c r="L74" s="15" t="n">
        <v>-0.46511</v>
      </c>
      <c r="M74" s="15" t="n">
        <v>0.91424</v>
      </c>
      <c r="N74" s="15" t="n">
        <v>-0.090291</v>
      </c>
      <c r="O74" s="15" t="n">
        <v>-0.63643</v>
      </c>
      <c r="P74" s="15" t="n">
        <v>0.39475</v>
      </c>
      <c r="Q74" s="15" t="n">
        <v>0.77263</v>
      </c>
      <c r="R74" s="15" t="n">
        <v>-0.09074</v>
      </c>
      <c r="S74" s="15" t="n">
        <v>-0.80897</v>
      </c>
      <c r="T74" s="15" t="n">
        <v>0.49521</v>
      </c>
      <c r="U74" s="15" t="n">
        <v>0.22732</v>
      </c>
      <c r="V74" s="15" t="n">
        <v>-0.38864</v>
      </c>
      <c r="W74" s="15" t="n">
        <v>0.66851</v>
      </c>
      <c r="X74" s="15" t="n">
        <v>-0.91569</v>
      </c>
      <c r="Y74" s="15" t="n">
        <v>0.0061212</v>
      </c>
      <c r="Z74" s="15" t="n">
        <v>0.11571</v>
      </c>
      <c r="AA74" s="15" t="n">
        <v>-0.31635</v>
      </c>
      <c r="AB74" s="15" t="n">
        <v>-0.24103</v>
      </c>
      <c r="AC74" s="15" t="n">
        <v>-0.62441</v>
      </c>
      <c r="AD74" s="15" t="n">
        <v>-0.10412</v>
      </c>
      <c r="AE74" s="15" t="n">
        <v>-0.7512</v>
      </c>
      <c r="AF74" s="15" t="n">
        <v>-0.15624</v>
      </c>
      <c r="AG74" s="15" t="n">
        <v>0.85494</v>
      </c>
      <c r="AH74" s="15" t="n">
        <v>-1.2443</v>
      </c>
      <c r="AI74" s="15" t="n">
        <v>0.66284</v>
      </c>
      <c r="AJ74" s="15" t="n">
        <v>-0.43834</v>
      </c>
      <c r="AK74" s="15" t="n">
        <v>-0.17948</v>
      </c>
      <c r="AL74" s="15" t="n">
        <v>-0.901</v>
      </c>
      <c r="AM74" s="15" t="n">
        <v>0.1786</v>
      </c>
      <c r="AN74" s="15" t="n">
        <v>-1.171</v>
      </c>
      <c r="AO74" s="15" t="n">
        <v>0.42992</v>
      </c>
      <c r="AP74" s="15" t="n">
        <v>-0.45265</v>
      </c>
      <c r="AQ74" s="15" t="n">
        <v>-0.45177</v>
      </c>
      <c r="AR74" s="15" t="n">
        <v>-1.0036</v>
      </c>
      <c r="AS74" s="15" t="n">
        <v>0.43209</v>
      </c>
      <c r="AT74" s="15" t="n">
        <v>0.048805</v>
      </c>
      <c r="AU74" s="15" t="n">
        <v>-0.060078</v>
      </c>
      <c r="AV74" s="15" t="n">
        <v>-0.48826</v>
      </c>
      <c r="AW74" s="15" t="n">
        <v>-0.15943</v>
      </c>
      <c r="AX74" s="15" t="n">
        <v>0.19395</v>
      </c>
      <c r="AY74" s="15" t="n">
        <v>-0.18289</v>
      </c>
      <c r="AZ74" s="15" t="n">
        <v>-0.032222</v>
      </c>
      <c r="BA74" s="15" t="n">
        <v>-0.49055</v>
      </c>
      <c r="BB74" s="15" t="n">
        <v>-0.086745</v>
      </c>
      <c r="BC74" s="15" t="n">
        <v>-0.26153</v>
      </c>
      <c r="BD74" s="15" t="n">
        <v>-0.60638</v>
      </c>
      <c r="BE74" s="15" t="n">
        <v>0.74125</v>
      </c>
      <c r="BF74" s="15" t="n">
        <v>-0.080194</v>
      </c>
      <c r="BG74" s="15" t="n">
        <v>-1.6481</v>
      </c>
      <c r="BH74" s="15" t="n">
        <v>0.77881</v>
      </c>
      <c r="BI74" s="15" t="n">
        <v>-0.80525</v>
      </c>
      <c r="BJ74" s="15" t="n">
        <v>1.3654</v>
      </c>
      <c r="BK74" s="15" t="n">
        <v>-0.23172</v>
      </c>
      <c r="BL74" s="15" t="n">
        <v>0.35639</v>
      </c>
      <c r="BM74" s="15" t="n">
        <v>0.35943</v>
      </c>
      <c r="BN74" s="15" t="n">
        <v>0.19022</v>
      </c>
      <c r="BO74" s="15" t="n">
        <v>-0.37662</v>
      </c>
      <c r="BP74" s="15" t="n">
        <v>-0.083824</v>
      </c>
      <c r="BQ74" s="15" t="n">
        <v>0.17459</v>
      </c>
      <c r="BR74" s="15" t="n">
        <v>0.36363</v>
      </c>
      <c r="BS74" s="15" t="n">
        <v>0.014019</v>
      </c>
      <c r="BT74" s="15" t="n">
        <v>0.50828</v>
      </c>
      <c r="BU74" s="15" t="n">
        <v>0.54544</v>
      </c>
      <c r="BV74" s="15" t="n">
        <v>-0.027025</v>
      </c>
      <c r="BW74" s="15" t="n">
        <v>0.33862</v>
      </c>
      <c r="BX74" s="15" t="n">
        <v>0.42163</v>
      </c>
      <c r="BY74" s="15" t="n">
        <v>0.10366</v>
      </c>
      <c r="BZ74" s="15" t="n">
        <v>-0.50234</v>
      </c>
      <c r="CA74" s="15" t="n">
        <v>0.28625</v>
      </c>
      <c r="CB74" s="15" t="n">
        <v>-0.24928</v>
      </c>
      <c r="CC74" s="15" t="n">
        <v>0.23297</v>
      </c>
      <c r="CD74" s="15" t="n">
        <v>-0.022027</v>
      </c>
      <c r="CE74" s="15" t="n">
        <v>-0.62439</v>
      </c>
      <c r="CF74" s="15" t="n">
        <v>-0.31035</v>
      </c>
      <c r="CG74" s="15" t="n">
        <v>-0.0012723</v>
      </c>
      <c r="CH74" s="15" t="n">
        <v>-0.48037</v>
      </c>
      <c r="CI74" s="15" t="n">
        <v>-0.39701</v>
      </c>
      <c r="CJ74" s="15" t="n">
        <v>-1.6418</v>
      </c>
      <c r="CK74" s="15" t="n">
        <v>0.83367</v>
      </c>
      <c r="CL74" s="15" t="n">
        <v>0.040225</v>
      </c>
      <c r="CM74" s="15" t="n">
        <v>-0.5414</v>
      </c>
      <c r="CN74" s="15" t="n">
        <v>-0.30428</v>
      </c>
      <c r="CO74" s="15" t="n">
        <v>-0.28384</v>
      </c>
      <c r="CP74" s="15" t="n">
        <v>-0.049234</v>
      </c>
      <c r="CQ74" s="15" t="n">
        <v>-0.50156</v>
      </c>
      <c r="CR74" s="15" t="n">
        <v>0.78186</v>
      </c>
      <c r="CS74" s="15" t="n">
        <v>0.53152</v>
      </c>
      <c r="CT74" s="15" t="n">
        <v>-0.5764</v>
      </c>
      <c r="CU74" s="15" t="n">
        <v>-0.22767</v>
      </c>
      <c r="CV74" s="15" t="n">
        <v>-0.69024</v>
      </c>
      <c r="CW74" s="15" t="n">
        <v>-0.44066</v>
      </c>
      <c r="CX74" s="15" t="n">
        <v>0.57749</v>
      </c>
      <c r="CY74" s="15" t="n">
        <v>0.84814</v>
      </c>
    </row>
    <row r="75" customFormat="false" ht="15" hidden="false" customHeight="false" outlineLevel="0" collapsed="false">
      <c r="A75" s="4" t="s">
        <v>207</v>
      </c>
      <c r="B75" s="2" t="n">
        <f aca="false">COUNTIF('1.3 TF-IDF coseno'!$M$10:$M$123,A75)</f>
        <v>1</v>
      </c>
      <c r="C75" s="2" t="n">
        <f aca="false">COUNTIF('1.3 TF-IDF coseno'!$N$10:$N$102,A75)</f>
        <v>0</v>
      </c>
      <c r="D75" s="15" t="n">
        <v>-0.40395</v>
      </c>
      <c r="E75" s="15" t="n">
        <v>0.30781</v>
      </c>
      <c r="F75" s="15" t="n">
        <v>0.42609</v>
      </c>
      <c r="G75" s="15" t="n">
        <v>0.46242</v>
      </c>
      <c r="H75" s="15" t="n">
        <v>0.10642</v>
      </c>
      <c r="I75" s="15" t="n">
        <v>-0.10375</v>
      </c>
      <c r="J75" s="15" t="n">
        <v>-0.47732</v>
      </c>
      <c r="K75" s="15" t="n">
        <v>-0.20972</v>
      </c>
      <c r="L75" s="15" t="n">
        <v>-0.24138</v>
      </c>
      <c r="M75" s="15" t="n">
        <v>0.32947</v>
      </c>
      <c r="N75" s="15" t="n">
        <v>-0.54151</v>
      </c>
      <c r="O75" s="15" t="n">
        <v>-0.20881</v>
      </c>
      <c r="P75" s="15" t="n">
        <v>0.90837</v>
      </c>
      <c r="Q75" s="15" t="n">
        <v>-0.6407</v>
      </c>
      <c r="R75" s="15" t="n">
        <v>-0.25887</v>
      </c>
      <c r="S75" s="15" t="n">
        <v>-0.2059</v>
      </c>
      <c r="T75" s="15" t="n">
        <v>-0.6277</v>
      </c>
      <c r="U75" s="15" t="n">
        <v>0.30044</v>
      </c>
      <c r="V75" s="15" t="n">
        <v>-0.3614</v>
      </c>
      <c r="W75" s="15" t="n">
        <v>-0.02513</v>
      </c>
      <c r="X75" s="15" t="n">
        <v>-0.10169</v>
      </c>
      <c r="Y75" s="15" t="n">
        <v>-0.80181</v>
      </c>
      <c r="Z75" s="15" t="n">
        <v>-0.14476</v>
      </c>
      <c r="AA75" s="15" t="n">
        <v>0.16122</v>
      </c>
      <c r="AB75" s="15" t="n">
        <v>-0.81142</v>
      </c>
      <c r="AC75" s="15" t="n">
        <v>-0.84939</v>
      </c>
      <c r="AD75" s="15" t="n">
        <v>0.034077</v>
      </c>
      <c r="AE75" s="15" t="n">
        <v>-0.47631</v>
      </c>
      <c r="AF75" s="15" t="n">
        <v>-0.024811</v>
      </c>
      <c r="AG75" s="15" t="n">
        <v>-0.21924</v>
      </c>
      <c r="AH75" s="15" t="n">
        <v>0.295</v>
      </c>
      <c r="AI75" s="15" t="n">
        <v>0.29337</v>
      </c>
      <c r="AJ75" s="15" t="n">
        <v>-0.42558</v>
      </c>
      <c r="AK75" s="15" t="n">
        <v>0.037163</v>
      </c>
      <c r="AL75" s="15" t="n">
        <v>-0.61752</v>
      </c>
      <c r="AM75" s="15" t="n">
        <v>0.28199</v>
      </c>
      <c r="AN75" s="15" t="n">
        <v>0.61137</v>
      </c>
      <c r="AO75" s="15" t="n">
        <v>-0.048013</v>
      </c>
      <c r="AP75" s="15" t="n">
        <v>-0.40554</v>
      </c>
      <c r="AQ75" s="15" t="n">
        <v>-0.53716</v>
      </c>
      <c r="AR75" s="15" t="n">
        <v>0.18981</v>
      </c>
      <c r="AS75" s="15" t="n">
        <v>-0.44789</v>
      </c>
      <c r="AT75" s="15" t="n">
        <v>-0.60759</v>
      </c>
      <c r="AU75" s="15" t="n">
        <v>0.58724</v>
      </c>
      <c r="AV75" s="15" t="n">
        <v>-0.59826</v>
      </c>
      <c r="AW75" s="15" t="n">
        <v>-0.042373</v>
      </c>
      <c r="AX75" s="15" t="n">
        <v>0.4487</v>
      </c>
      <c r="AY75" s="15" t="n">
        <v>0.048005</v>
      </c>
      <c r="AZ75" s="15" t="n">
        <v>-0.18737</v>
      </c>
      <c r="BA75" s="15" t="n">
        <v>-1.5024</v>
      </c>
      <c r="BB75" s="15" t="n">
        <v>0.51934</v>
      </c>
      <c r="BC75" s="15" t="n">
        <v>-0.0378</v>
      </c>
      <c r="BD75" s="15" t="n">
        <v>0.29461</v>
      </c>
      <c r="BE75" s="15" t="n">
        <v>0.6811</v>
      </c>
      <c r="BF75" s="15" t="n">
        <v>0.12964</v>
      </c>
      <c r="BG75" s="15" t="n">
        <v>-1.5219</v>
      </c>
      <c r="BH75" s="15" t="n">
        <v>0.80119</v>
      </c>
      <c r="BI75" s="15" t="n">
        <v>-0.5504</v>
      </c>
      <c r="BJ75" s="15" t="n">
        <v>1.2112</v>
      </c>
      <c r="BK75" s="15" t="n">
        <v>-0.33123</v>
      </c>
      <c r="BL75" s="15" t="n">
        <v>-0.32548</v>
      </c>
      <c r="BM75" s="15" t="n">
        <v>0.94503</v>
      </c>
      <c r="BN75" s="15" t="n">
        <v>-0.45426</v>
      </c>
      <c r="BO75" s="15" t="n">
        <v>-0.14735</v>
      </c>
      <c r="BP75" s="15" t="n">
        <v>0.44119</v>
      </c>
      <c r="BQ75" s="15" t="n">
        <v>0.28192</v>
      </c>
      <c r="BR75" s="15" t="n">
        <v>-0.012095</v>
      </c>
      <c r="BS75" s="15" t="n">
        <v>-0.20282</v>
      </c>
      <c r="BT75" s="15" t="n">
        <v>-0.098529</v>
      </c>
      <c r="BU75" s="15" t="n">
        <v>-0.46029</v>
      </c>
      <c r="BV75" s="15" t="n">
        <v>0.25627</v>
      </c>
      <c r="BW75" s="15" t="n">
        <v>0.099037</v>
      </c>
      <c r="BX75" s="15" t="n">
        <v>-0.10884</v>
      </c>
      <c r="BY75" s="15" t="n">
        <v>-0.23822</v>
      </c>
      <c r="BZ75" s="15" t="n">
        <v>0.48575</v>
      </c>
      <c r="CA75" s="15" t="n">
        <v>-0.21897</v>
      </c>
      <c r="CB75" s="15" t="n">
        <v>-0.031567</v>
      </c>
      <c r="CC75" s="15" t="n">
        <v>-0.058813</v>
      </c>
      <c r="CD75" s="15" t="n">
        <v>-0.64909</v>
      </c>
      <c r="CE75" s="15" t="n">
        <v>-0.11244</v>
      </c>
      <c r="CF75" s="15" t="n">
        <v>-0.45029</v>
      </c>
      <c r="CG75" s="15" t="n">
        <v>0.10864</v>
      </c>
      <c r="CH75" s="15" t="n">
        <v>-0.14283</v>
      </c>
      <c r="CI75" s="15" t="n">
        <v>-0.068327</v>
      </c>
      <c r="CJ75" s="15" t="n">
        <v>-1.0504</v>
      </c>
      <c r="CK75" s="15" t="n">
        <v>-1.0158</v>
      </c>
      <c r="CL75" s="15" t="n">
        <v>-0.50982</v>
      </c>
      <c r="CM75" s="15" t="n">
        <v>-0.42081</v>
      </c>
      <c r="CN75" s="15" t="n">
        <v>-0.19438</v>
      </c>
      <c r="CO75" s="15" t="n">
        <v>-0.16168</v>
      </c>
      <c r="CP75" s="15" t="n">
        <v>-0.36944</v>
      </c>
      <c r="CQ75" s="15" t="n">
        <v>0.10698</v>
      </c>
      <c r="CR75" s="15" t="n">
        <v>-0.58536</v>
      </c>
      <c r="CS75" s="15" t="n">
        <v>-0.34037</v>
      </c>
      <c r="CT75" s="15" t="n">
        <v>-0.46501</v>
      </c>
      <c r="CU75" s="15" t="n">
        <v>-0.26651</v>
      </c>
      <c r="CV75" s="15" t="n">
        <v>-0.26083</v>
      </c>
      <c r="CW75" s="15" t="n">
        <v>-0.91775</v>
      </c>
      <c r="CX75" s="15" t="n">
        <v>0.019506</v>
      </c>
      <c r="CY75" s="15" t="n">
        <v>0.42295</v>
      </c>
    </row>
    <row r="76" customFormat="false" ht="15" hidden="false" customHeight="false" outlineLevel="0" collapsed="false">
      <c r="A76" s="4" t="s">
        <v>208</v>
      </c>
      <c r="B76" s="2" t="n">
        <f aca="false">COUNTIF('1.3 TF-IDF coseno'!$M$10:$M$123,A76)</f>
        <v>1</v>
      </c>
      <c r="C76" s="2" t="n">
        <f aca="false">COUNTIF('1.3 TF-IDF coseno'!$N$10:$N$102,A76)</f>
        <v>0</v>
      </c>
      <c r="D76" s="15" t="n">
        <v>0.025206</v>
      </c>
      <c r="E76" s="15" t="n">
        <v>0.48358</v>
      </c>
      <c r="F76" s="15" t="n">
        <v>-0.11081</v>
      </c>
      <c r="G76" s="15" t="n">
        <v>0.58514</v>
      </c>
      <c r="H76" s="15" t="n">
        <v>-0.0075979</v>
      </c>
      <c r="I76" s="15" t="n">
        <v>-0.35296</v>
      </c>
      <c r="J76" s="15" t="n">
        <v>0.068724</v>
      </c>
      <c r="K76" s="15" t="n">
        <v>0.26975</v>
      </c>
      <c r="L76" s="15" t="n">
        <v>-0.10437</v>
      </c>
      <c r="M76" s="15" t="n">
        <v>0.57144</v>
      </c>
      <c r="N76" s="15" t="n">
        <v>-0.24909</v>
      </c>
      <c r="O76" s="15" t="n">
        <v>-0.38732</v>
      </c>
      <c r="P76" s="15" t="n">
        <v>-0.16494</v>
      </c>
      <c r="Q76" s="15" t="n">
        <v>-0.078391</v>
      </c>
      <c r="R76" s="15" t="n">
        <v>0.17777</v>
      </c>
      <c r="S76" s="15" t="n">
        <v>0.35756</v>
      </c>
      <c r="T76" s="15" t="n">
        <v>0.30584</v>
      </c>
      <c r="U76" s="15" t="n">
        <v>0.55098</v>
      </c>
      <c r="V76" s="15" t="n">
        <v>0.25784</v>
      </c>
      <c r="W76" s="15" t="n">
        <v>-0.20671</v>
      </c>
      <c r="X76" s="15" t="n">
        <v>0.017661</v>
      </c>
      <c r="Y76" s="15" t="n">
        <v>-0.41987</v>
      </c>
      <c r="Z76" s="15" t="n">
        <v>-0.84796</v>
      </c>
      <c r="AA76" s="15" t="n">
        <v>0.030937</v>
      </c>
      <c r="AB76" s="15" t="n">
        <v>0.098309</v>
      </c>
      <c r="AC76" s="15" t="n">
        <v>0.10622</v>
      </c>
      <c r="AD76" s="15" t="n">
        <v>0.54707</v>
      </c>
      <c r="AE76" s="15" t="n">
        <v>0.37438</v>
      </c>
      <c r="AF76" s="15" t="n">
        <v>-0.42104</v>
      </c>
      <c r="AG76" s="15" t="n">
        <v>-0.53467</v>
      </c>
      <c r="AH76" s="15" t="n">
        <v>-0.86069</v>
      </c>
      <c r="AI76" s="15" t="n">
        <v>0.48976</v>
      </c>
      <c r="AJ76" s="15" t="n">
        <v>-0.020889</v>
      </c>
      <c r="AK76" s="15" t="n">
        <v>-0.64546</v>
      </c>
      <c r="AL76" s="15" t="n">
        <v>-0.019061</v>
      </c>
      <c r="AM76" s="15" t="n">
        <v>-0.46276</v>
      </c>
      <c r="AN76" s="15" t="n">
        <v>0.56308</v>
      </c>
      <c r="AO76" s="15" t="n">
        <v>-0.075653</v>
      </c>
      <c r="AP76" s="15" t="n">
        <v>-0.27266</v>
      </c>
      <c r="AQ76" s="15" t="n">
        <v>-0.2485</v>
      </c>
      <c r="AR76" s="15" t="n">
        <v>-0.58088</v>
      </c>
      <c r="AS76" s="15" t="n">
        <v>-0.075787</v>
      </c>
      <c r="AT76" s="15" t="n">
        <v>0.4136</v>
      </c>
      <c r="AU76" s="15" t="n">
        <v>0.43935</v>
      </c>
      <c r="AV76" s="15" t="n">
        <v>-0.54488</v>
      </c>
      <c r="AW76" s="15" t="n">
        <v>0.40923</v>
      </c>
      <c r="AX76" s="15" t="n">
        <v>0.56162</v>
      </c>
      <c r="AY76" s="15" t="n">
        <v>0.89117</v>
      </c>
      <c r="AZ76" s="15" t="n">
        <v>0.02139</v>
      </c>
      <c r="BA76" s="15" t="n">
        <v>-0.18609</v>
      </c>
      <c r="BB76" s="15" t="n">
        <v>-0.090857</v>
      </c>
      <c r="BC76" s="15" t="n">
        <v>0.054021</v>
      </c>
      <c r="BD76" s="15" t="n">
        <v>0.3598</v>
      </c>
      <c r="BE76" s="15" t="n">
        <v>1.1535</v>
      </c>
      <c r="BF76" s="15" t="n">
        <v>0.6743</v>
      </c>
      <c r="BG76" s="15" t="n">
        <v>-1.2492</v>
      </c>
      <c r="BH76" s="15" t="n">
        <v>-0.074374</v>
      </c>
      <c r="BI76" s="15" t="n">
        <v>0.12058</v>
      </c>
      <c r="BJ76" s="15" t="n">
        <v>1</v>
      </c>
      <c r="BK76" s="15" t="n">
        <v>0.21472</v>
      </c>
      <c r="BL76" s="15" t="n">
        <v>-0.18208</v>
      </c>
      <c r="BM76" s="15" t="n">
        <v>0.087641</v>
      </c>
      <c r="BN76" s="15" t="n">
        <v>-0.26732</v>
      </c>
      <c r="BO76" s="15" t="n">
        <v>-0.46062</v>
      </c>
      <c r="BP76" s="15" t="n">
        <v>1.1028</v>
      </c>
      <c r="BQ76" s="15" t="n">
        <v>0.53136</v>
      </c>
      <c r="BR76" s="15" t="n">
        <v>-0.37806</v>
      </c>
      <c r="BS76" s="15" t="n">
        <v>-0.49946</v>
      </c>
      <c r="BT76" s="15" t="n">
        <v>0.52663</v>
      </c>
      <c r="BU76" s="15" t="n">
        <v>0.098131</v>
      </c>
      <c r="BV76" s="15" t="n">
        <v>0.32866</v>
      </c>
      <c r="BW76" s="15" t="n">
        <v>0.11637</v>
      </c>
      <c r="BX76" s="15" t="n">
        <v>-0.62421</v>
      </c>
      <c r="BY76" s="15" t="n">
        <v>-0.2251</v>
      </c>
      <c r="BZ76" s="15" t="n">
        <v>0.69687</v>
      </c>
      <c r="CA76" s="15" t="n">
        <v>-1.1415</v>
      </c>
      <c r="CB76" s="15" t="n">
        <v>-0.26256</v>
      </c>
      <c r="CC76" s="15" t="n">
        <v>-0.066007</v>
      </c>
      <c r="CD76" s="15" t="n">
        <v>-0.27602</v>
      </c>
      <c r="CE76" s="15" t="n">
        <v>-0.15199</v>
      </c>
      <c r="CF76" s="15" t="n">
        <v>-0.067368</v>
      </c>
      <c r="CG76" s="15" t="n">
        <v>0.43524</v>
      </c>
      <c r="CH76" s="15" t="n">
        <v>-0.027846</v>
      </c>
      <c r="CI76" s="15" t="n">
        <v>0.41403</v>
      </c>
      <c r="CJ76" s="15" t="n">
        <v>-1.0078</v>
      </c>
      <c r="CK76" s="15" t="n">
        <v>0.53625</v>
      </c>
      <c r="CL76" s="15" t="n">
        <v>0.21891</v>
      </c>
      <c r="CM76" s="15" t="n">
        <v>-0.89759</v>
      </c>
      <c r="CN76" s="15" t="n">
        <v>-0.47505</v>
      </c>
      <c r="CO76" s="15" t="n">
        <v>-0.91114</v>
      </c>
      <c r="CP76" s="15" t="n">
        <v>0.35134</v>
      </c>
      <c r="CQ76" s="15" t="n">
        <v>-0.036438</v>
      </c>
      <c r="CR76" s="15" t="n">
        <v>-0.20982</v>
      </c>
      <c r="CS76" s="15" t="n">
        <v>0.66172</v>
      </c>
      <c r="CT76" s="15" t="n">
        <v>0.23056</v>
      </c>
      <c r="CU76" s="15" t="n">
        <v>-0.8315</v>
      </c>
      <c r="CV76" s="15" t="n">
        <v>0.38909</v>
      </c>
      <c r="CW76" s="15" t="n">
        <v>-1.0703</v>
      </c>
      <c r="CX76" s="15" t="n">
        <v>-0.13023</v>
      </c>
      <c r="CY76" s="15" t="n">
        <v>0.54572</v>
      </c>
    </row>
    <row r="77" customFormat="false" ht="15" hidden="false" customHeight="false" outlineLevel="0" collapsed="false">
      <c r="A77" s="4" t="s">
        <v>209</v>
      </c>
      <c r="B77" s="2" t="n">
        <f aca="false">COUNTIF('1.3 TF-IDF coseno'!$M$10:$M$123,A77)</f>
        <v>1</v>
      </c>
      <c r="C77" s="2" t="n">
        <f aca="false">COUNTIF('1.3 TF-IDF coseno'!$N$10:$N$102,A77)</f>
        <v>0</v>
      </c>
      <c r="D77" s="15" t="n">
        <v>0.26536</v>
      </c>
      <c r="E77" s="15" t="n">
        <v>0.52144</v>
      </c>
      <c r="F77" s="15" t="n">
        <v>-1.0359</v>
      </c>
      <c r="G77" s="15" t="n">
        <v>0.78699</v>
      </c>
      <c r="H77" s="15" t="n">
        <v>0.44318</v>
      </c>
      <c r="I77" s="15" t="n">
        <v>-0.38421</v>
      </c>
      <c r="J77" s="15" t="n">
        <v>-0.0044525</v>
      </c>
      <c r="K77" s="15" t="n">
        <v>0.29913</v>
      </c>
      <c r="L77" s="15" t="n">
        <v>-0.090193</v>
      </c>
      <c r="M77" s="15" t="n">
        <v>0.38462</v>
      </c>
      <c r="N77" s="15" t="n">
        <v>-0.22626</v>
      </c>
      <c r="O77" s="15" t="n">
        <v>-0.98357</v>
      </c>
      <c r="P77" s="15" t="n">
        <v>0.10196</v>
      </c>
      <c r="Q77" s="15" t="n">
        <v>-0.26563</v>
      </c>
      <c r="R77" s="15" t="n">
        <v>0.10442</v>
      </c>
      <c r="S77" s="15" t="n">
        <v>0.14108</v>
      </c>
      <c r="T77" s="15" t="n">
        <v>0.88645</v>
      </c>
      <c r="U77" s="15" t="n">
        <v>0.35942</v>
      </c>
      <c r="V77" s="15" t="n">
        <v>-0.62512</v>
      </c>
      <c r="W77" s="15" t="n">
        <v>0.70325</v>
      </c>
      <c r="X77" s="15" t="n">
        <v>-0.86521</v>
      </c>
      <c r="Y77" s="15" t="n">
        <v>0.21306</v>
      </c>
      <c r="Z77" s="15" t="n">
        <v>0.45092</v>
      </c>
      <c r="AA77" s="15" t="n">
        <v>-0.057856</v>
      </c>
      <c r="AB77" s="15" t="n">
        <v>-0.68764</v>
      </c>
      <c r="AC77" s="15" t="n">
        <v>-0.72202</v>
      </c>
      <c r="AD77" s="15" t="n">
        <v>0.26405</v>
      </c>
      <c r="AE77" s="15" t="n">
        <v>-0.13233</v>
      </c>
      <c r="AF77" s="15" t="n">
        <v>-1.0845</v>
      </c>
      <c r="AG77" s="15" t="n">
        <v>0.30357</v>
      </c>
      <c r="AH77" s="15" t="n">
        <v>-0.34153</v>
      </c>
      <c r="AI77" s="15" t="n">
        <v>0.66784</v>
      </c>
      <c r="AJ77" s="15" t="n">
        <v>-0.40136</v>
      </c>
      <c r="AK77" s="15" t="n">
        <v>0.44611</v>
      </c>
      <c r="AL77" s="15" t="n">
        <v>-0.43535</v>
      </c>
      <c r="AM77" s="15" t="n">
        <v>-0.0035888</v>
      </c>
      <c r="AN77" s="15" t="n">
        <v>-0.49608</v>
      </c>
      <c r="AO77" s="15" t="n">
        <v>0.58965</v>
      </c>
      <c r="AP77" s="15" t="n">
        <v>-0.87839</v>
      </c>
      <c r="AQ77" s="15" t="n">
        <v>-0.066401</v>
      </c>
      <c r="AR77" s="15" t="n">
        <v>-0.43536</v>
      </c>
      <c r="AS77" s="15" t="n">
        <v>0.31554</v>
      </c>
      <c r="AT77" s="15" t="n">
        <v>-0.67347</v>
      </c>
      <c r="AU77" s="15" t="n">
        <v>0.084646</v>
      </c>
      <c r="AV77" s="15" t="n">
        <v>0.032005</v>
      </c>
      <c r="AW77" s="15" t="n">
        <v>-0.62153</v>
      </c>
      <c r="AX77" s="15" t="n">
        <v>0.15198</v>
      </c>
      <c r="AY77" s="15" t="n">
        <v>0.07489</v>
      </c>
      <c r="AZ77" s="15" t="n">
        <v>-0.37199</v>
      </c>
      <c r="BA77" s="15" t="n">
        <v>0.050574</v>
      </c>
      <c r="BB77" s="15" t="n">
        <v>-0.13438</v>
      </c>
      <c r="BC77" s="15" t="n">
        <v>-0.064497</v>
      </c>
      <c r="BD77" s="15" t="n">
        <v>-0.54187</v>
      </c>
      <c r="BE77" s="15" t="n">
        <v>0.23591</v>
      </c>
      <c r="BF77" s="15" t="n">
        <v>0.48186</v>
      </c>
      <c r="BG77" s="15" t="n">
        <v>-1.6838</v>
      </c>
      <c r="BH77" s="15" t="n">
        <v>0.81358</v>
      </c>
      <c r="BI77" s="15" t="n">
        <v>-0.36643</v>
      </c>
      <c r="BJ77" s="15" t="n">
        <v>2.0766</v>
      </c>
      <c r="BK77" s="15" t="n">
        <v>-0.027672</v>
      </c>
      <c r="BL77" s="15" t="n">
        <v>0.2346</v>
      </c>
      <c r="BM77" s="15" t="n">
        <v>-0.10302</v>
      </c>
      <c r="BN77" s="15" t="n">
        <v>-0.03247</v>
      </c>
      <c r="BO77" s="15" t="n">
        <v>-0.26422</v>
      </c>
      <c r="BP77" s="15" t="n">
        <v>0.55093</v>
      </c>
      <c r="BQ77" s="15" t="n">
        <v>-0.25513</v>
      </c>
      <c r="BR77" s="15" t="n">
        <v>-0.034188</v>
      </c>
      <c r="BS77" s="15" t="n">
        <v>-0.012389</v>
      </c>
      <c r="BT77" s="15" t="n">
        <v>1.0945</v>
      </c>
      <c r="BU77" s="15" t="n">
        <v>0.37148</v>
      </c>
      <c r="BV77" s="15" t="n">
        <v>0.52265</v>
      </c>
      <c r="BW77" s="15" t="n">
        <v>-0.27369</v>
      </c>
      <c r="BX77" s="15" t="n">
        <v>0.53825</v>
      </c>
      <c r="BY77" s="15" t="n">
        <v>-0.37522</v>
      </c>
      <c r="BZ77" s="15" t="n">
        <v>-0.38237</v>
      </c>
      <c r="CA77" s="15" t="n">
        <v>0.50133</v>
      </c>
      <c r="CB77" s="15" t="n">
        <v>-0.14191</v>
      </c>
      <c r="CC77" s="15" t="n">
        <v>0.42419</v>
      </c>
      <c r="CD77" s="15" t="n">
        <v>-0.4244</v>
      </c>
      <c r="CE77" s="15" t="n">
        <v>-0.43238</v>
      </c>
      <c r="CF77" s="15" t="n">
        <v>-0.40173</v>
      </c>
      <c r="CG77" s="15" t="n">
        <v>0.69964</v>
      </c>
      <c r="CH77" s="15" t="n">
        <v>0.6171</v>
      </c>
      <c r="CI77" s="15" t="n">
        <v>-0.066046</v>
      </c>
      <c r="CJ77" s="15" t="n">
        <v>-1.4973</v>
      </c>
      <c r="CK77" s="15" t="n">
        <v>0.78526</v>
      </c>
      <c r="CL77" s="15" t="n">
        <v>-0.59115</v>
      </c>
      <c r="CM77" s="15" t="n">
        <v>0.056142</v>
      </c>
      <c r="CN77" s="15" t="n">
        <v>-0.069274</v>
      </c>
      <c r="CO77" s="15" t="n">
        <v>-0.29058</v>
      </c>
      <c r="CP77" s="15" t="n">
        <v>-0.18624</v>
      </c>
      <c r="CQ77" s="15" t="n">
        <v>0.054344</v>
      </c>
      <c r="CR77" s="15" t="n">
        <v>0.30148</v>
      </c>
      <c r="CS77" s="15" t="n">
        <v>-0.29801</v>
      </c>
      <c r="CT77" s="15" t="n">
        <v>-0.59552</v>
      </c>
      <c r="CU77" s="15" t="n">
        <v>0.20299</v>
      </c>
      <c r="CV77" s="15" t="n">
        <v>0.28488</v>
      </c>
      <c r="CW77" s="15" t="n">
        <v>-0.86176</v>
      </c>
      <c r="CX77" s="15" t="n">
        <v>0.86461</v>
      </c>
      <c r="CY77" s="15" t="n">
        <v>0.80039</v>
      </c>
    </row>
    <row r="78" customFormat="false" ht="15" hidden="false" customHeight="false" outlineLevel="0" collapsed="false">
      <c r="A78" s="4" t="s">
        <v>210</v>
      </c>
      <c r="B78" s="2" t="n">
        <f aca="false">COUNTIF('1.3 TF-IDF coseno'!$M$10:$M$123,A78)</f>
        <v>1</v>
      </c>
      <c r="C78" s="2" t="n">
        <f aca="false">COUNTIF('1.3 TF-IDF coseno'!$N$10:$N$102,A78)</f>
        <v>0</v>
      </c>
      <c r="D78" s="15" t="n">
        <v>-0.38725</v>
      </c>
      <c r="E78" s="15" t="n">
        <v>-0.38811</v>
      </c>
      <c r="F78" s="15" t="n">
        <v>-0.49279</v>
      </c>
      <c r="G78" s="15" t="n">
        <v>0.59798</v>
      </c>
      <c r="H78" s="15" t="n">
        <v>0.19569</v>
      </c>
      <c r="I78" s="15" t="n">
        <v>-0.2082</v>
      </c>
      <c r="J78" s="15" t="n">
        <v>-0.38289</v>
      </c>
      <c r="K78" s="15" t="n">
        <v>0.88555</v>
      </c>
      <c r="L78" s="15" t="n">
        <v>-0.68487</v>
      </c>
      <c r="M78" s="15" t="n">
        <v>0.048159</v>
      </c>
      <c r="N78" s="15" t="n">
        <v>0.022677</v>
      </c>
      <c r="O78" s="15" t="n">
        <v>-0.21875</v>
      </c>
      <c r="P78" s="15" t="n">
        <v>-0.017903</v>
      </c>
      <c r="Q78" s="15" t="n">
        <v>-0.22776</v>
      </c>
      <c r="R78" s="15" t="n">
        <v>0.19037</v>
      </c>
      <c r="S78" s="15" t="n">
        <v>-0.38514</v>
      </c>
      <c r="T78" s="15" t="n">
        <v>-0.0039058</v>
      </c>
      <c r="U78" s="15" t="n">
        <v>-0.47737</v>
      </c>
      <c r="V78" s="15" t="n">
        <v>-0.83092</v>
      </c>
      <c r="W78" s="15" t="n">
        <v>-0.11958</v>
      </c>
      <c r="X78" s="15" t="n">
        <v>-0.49621</v>
      </c>
      <c r="Y78" s="15" t="n">
        <v>-0.63306</v>
      </c>
      <c r="Z78" s="15" t="n">
        <v>-0.65873</v>
      </c>
      <c r="AA78" s="15" t="n">
        <v>-0.054134</v>
      </c>
      <c r="AB78" s="15" t="n">
        <v>-0.45063</v>
      </c>
      <c r="AC78" s="15" t="n">
        <v>0.33342</v>
      </c>
      <c r="AD78" s="15" t="n">
        <v>0.0074512</v>
      </c>
      <c r="AE78" s="15" t="n">
        <v>-0.6682</v>
      </c>
      <c r="AF78" s="15" t="n">
        <v>-0.48691</v>
      </c>
      <c r="AG78" s="15" t="n">
        <v>0.52396</v>
      </c>
      <c r="AH78" s="15" t="n">
        <v>0.50533</v>
      </c>
      <c r="AI78" s="15" t="n">
        <v>0.23291</v>
      </c>
      <c r="AJ78" s="15" t="n">
        <v>-0.5361</v>
      </c>
      <c r="AK78" s="15" t="n">
        <v>-0.15761</v>
      </c>
      <c r="AL78" s="15" t="n">
        <v>0.36158</v>
      </c>
      <c r="AM78" s="15" t="n">
        <v>0.60706</v>
      </c>
      <c r="AN78" s="15" t="n">
        <v>0.068917</v>
      </c>
      <c r="AO78" s="15" t="n">
        <v>0.027425</v>
      </c>
      <c r="AP78" s="15" t="n">
        <v>-0.28774</v>
      </c>
      <c r="AQ78" s="15" t="n">
        <v>-0.073918</v>
      </c>
      <c r="AR78" s="15" t="n">
        <v>-0.43498</v>
      </c>
      <c r="AS78" s="15" t="n">
        <v>-0.20257</v>
      </c>
      <c r="AT78" s="15" t="n">
        <v>0.43833</v>
      </c>
      <c r="AU78" s="15" t="n">
        <v>-0.5694</v>
      </c>
      <c r="AV78" s="15" t="n">
        <v>0.054173</v>
      </c>
      <c r="AW78" s="15" t="n">
        <v>0.54709</v>
      </c>
      <c r="AX78" s="15" t="n">
        <v>-0.37833</v>
      </c>
      <c r="AY78" s="15" t="n">
        <v>-0.93313</v>
      </c>
      <c r="AZ78" s="15" t="n">
        <v>-0.34545</v>
      </c>
      <c r="BA78" s="15" t="n">
        <v>-0.78894</v>
      </c>
      <c r="BB78" s="15" t="n">
        <v>0.8658</v>
      </c>
      <c r="BC78" s="15" t="n">
        <v>-0.48879</v>
      </c>
      <c r="BD78" s="15" t="n">
        <v>-0.31454</v>
      </c>
      <c r="BE78" s="15" t="n">
        <v>0.61966</v>
      </c>
      <c r="BF78" s="15" t="n">
        <v>-0.7879</v>
      </c>
      <c r="BG78" s="15" t="n">
        <v>-0.93001</v>
      </c>
      <c r="BH78" s="15" t="n">
        <v>0.24516</v>
      </c>
      <c r="BI78" s="15" t="n">
        <v>-0.16397</v>
      </c>
      <c r="BJ78" s="15" t="n">
        <v>1.2842</v>
      </c>
      <c r="BK78" s="15" t="n">
        <v>0.2974</v>
      </c>
      <c r="BL78" s="15" t="n">
        <v>0.142</v>
      </c>
      <c r="BM78" s="15" t="n">
        <v>-0.1567</v>
      </c>
      <c r="BN78" s="15" t="n">
        <v>0.38144</v>
      </c>
      <c r="BO78" s="15" t="n">
        <v>0.46333</v>
      </c>
      <c r="BP78" s="15" t="n">
        <v>0.61973</v>
      </c>
      <c r="BQ78" s="15" t="n">
        <v>-0.46457</v>
      </c>
      <c r="BR78" s="15" t="n">
        <v>-0.4492</v>
      </c>
      <c r="BS78" s="15" t="n">
        <v>0.78575</v>
      </c>
      <c r="BT78" s="15" t="n">
        <v>0.28356</v>
      </c>
      <c r="BU78" s="15" t="n">
        <v>-0.051856</v>
      </c>
      <c r="BV78" s="15" t="n">
        <v>0.013623</v>
      </c>
      <c r="BW78" s="15" t="n">
        <v>-0.10088</v>
      </c>
      <c r="BX78" s="15" t="n">
        <v>-0.097088</v>
      </c>
      <c r="BY78" s="15" t="n">
        <v>0.50833</v>
      </c>
      <c r="BZ78" s="15" t="n">
        <v>-0.62934</v>
      </c>
      <c r="CA78" s="15" t="n">
        <v>-0.11651</v>
      </c>
      <c r="CB78" s="15" t="n">
        <v>-0.45349</v>
      </c>
      <c r="CC78" s="15" t="n">
        <v>0.18331</v>
      </c>
      <c r="CD78" s="15" t="n">
        <v>-0.56501</v>
      </c>
      <c r="CE78" s="15" t="n">
        <v>-0.70912</v>
      </c>
      <c r="CF78" s="15" t="n">
        <v>0.17834</v>
      </c>
      <c r="CG78" s="15" t="n">
        <v>-0.33592</v>
      </c>
      <c r="CH78" s="15" t="n">
        <v>-0.57809</v>
      </c>
      <c r="CI78" s="15" t="n">
        <v>-0.36488</v>
      </c>
      <c r="CJ78" s="15" t="n">
        <v>-1.1234</v>
      </c>
      <c r="CK78" s="15" t="n">
        <v>0.092407</v>
      </c>
      <c r="CL78" s="15" t="n">
        <v>0.68953</v>
      </c>
      <c r="CM78" s="15" t="n">
        <v>-0.20288</v>
      </c>
      <c r="CN78" s="15" t="n">
        <v>-0.51997</v>
      </c>
      <c r="CO78" s="15" t="n">
        <v>-0.10335</v>
      </c>
      <c r="CP78" s="15" t="n">
        <v>-0.08682</v>
      </c>
      <c r="CQ78" s="15" t="n">
        <v>-0.62459</v>
      </c>
      <c r="CR78" s="15" t="n">
        <v>-0.097517</v>
      </c>
      <c r="CS78" s="15" t="n">
        <v>-0.13654</v>
      </c>
      <c r="CT78" s="15" t="n">
        <v>-0.25288</v>
      </c>
      <c r="CU78" s="15" t="n">
        <v>0.45013</v>
      </c>
      <c r="CV78" s="15" t="n">
        <v>-0.13821</v>
      </c>
      <c r="CW78" s="15" t="n">
        <v>-0.099383</v>
      </c>
      <c r="CX78" s="15" t="n">
        <v>0.18399</v>
      </c>
      <c r="CY78" s="15" t="n">
        <v>-0.083023</v>
      </c>
    </row>
    <row r="79" customFormat="false" ht="15" hidden="false" customHeight="false" outlineLevel="0" collapsed="false">
      <c r="A79" s="4" t="s">
        <v>135</v>
      </c>
      <c r="B79" s="2" t="n">
        <f aca="false">COUNTIF('1.3 TF-IDF coseno'!$M$10:$M$123,A79)</f>
        <v>1</v>
      </c>
      <c r="C79" s="2" t="n">
        <f aca="false">COUNTIF('1.3 TF-IDF coseno'!$N$10:$N$102,A79)</f>
        <v>1</v>
      </c>
      <c r="D79" s="15" t="n">
        <v>0.19538</v>
      </c>
      <c r="E79" s="15" t="n">
        <v>-0.11115</v>
      </c>
      <c r="F79" s="15" t="n">
        <v>0.15324</v>
      </c>
      <c r="G79" s="15" t="n">
        <v>0.67993</v>
      </c>
      <c r="H79" s="15" t="n">
        <v>-1.0149</v>
      </c>
      <c r="I79" s="15" t="n">
        <v>-0.12556</v>
      </c>
      <c r="J79" s="15" t="n">
        <v>-0.69689</v>
      </c>
      <c r="K79" s="15" t="n">
        <v>0.52368</v>
      </c>
      <c r="L79" s="15" t="n">
        <v>0.22562</v>
      </c>
      <c r="M79" s="15" t="n">
        <v>0.65753</v>
      </c>
      <c r="N79" s="15" t="n">
        <v>-0.54814</v>
      </c>
      <c r="O79" s="15" t="n">
        <v>0.17949</v>
      </c>
      <c r="P79" s="15" t="n">
        <v>-0.18468</v>
      </c>
      <c r="Q79" s="15" t="n">
        <v>-0.21842</v>
      </c>
      <c r="R79" s="15" t="n">
        <v>-0.12768</v>
      </c>
      <c r="S79" s="15" t="n">
        <v>0.085154</v>
      </c>
      <c r="T79" s="15" t="n">
        <v>-0.22496</v>
      </c>
      <c r="U79" s="15" t="n">
        <v>0.22112</v>
      </c>
      <c r="V79" s="15" t="n">
        <v>-0.27192</v>
      </c>
      <c r="W79" s="15" t="n">
        <v>0.091445</v>
      </c>
      <c r="X79" s="15" t="n">
        <v>0.12517</v>
      </c>
      <c r="Y79" s="15" t="n">
        <v>0.090934</v>
      </c>
      <c r="Z79" s="15" t="n">
        <v>-0.092923</v>
      </c>
      <c r="AA79" s="15" t="n">
        <v>-0.11855</v>
      </c>
      <c r="AB79" s="15" t="n">
        <v>-0.40017</v>
      </c>
      <c r="AC79" s="15" t="n">
        <v>0.39925</v>
      </c>
      <c r="AD79" s="15" t="n">
        <v>0.22353</v>
      </c>
      <c r="AE79" s="15" t="n">
        <v>0.17634</v>
      </c>
      <c r="AF79" s="15" t="n">
        <v>0.61686</v>
      </c>
      <c r="AG79" s="15" t="n">
        <v>-0.10992</v>
      </c>
      <c r="AH79" s="15" t="n">
        <v>-0.51961</v>
      </c>
      <c r="AI79" s="15" t="n">
        <v>0.67713</v>
      </c>
      <c r="AJ79" s="15" t="n">
        <v>-0.20921</v>
      </c>
      <c r="AK79" s="15" t="n">
        <v>-0.13208</v>
      </c>
      <c r="AL79" s="15" t="n">
        <v>-0.85343</v>
      </c>
      <c r="AM79" s="15" t="n">
        <v>0.45237</v>
      </c>
      <c r="AN79" s="15" t="n">
        <v>-0.35148</v>
      </c>
      <c r="AO79" s="15" t="n">
        <v>-0.18877</v>
      </c>
      <c r="AP79" s="15" t="n">
        <v>-0.24493</v>
      </c>
      <c r="AQ79" s="15" t="n">
        <v>-0.27896</v>
      </c>
      <c r="AR79" s="15" t="n">
        <v>-0.49044</v>
      </c>
      <c r="AS79" s="15" t="n">
        <v>0.23603</v>
      </c>
      <c r="AT79" s="15" t="n">
        <v>0.32073</v>
      </c>
      <c r="AU79" s="15" t="n">
        <v>0.020803</v>
      </c>
      <c r="AV79" s="15" t="n">
        <v>-0.75619</v>
      </c>
      <c r="AW79" s="15" t="n">
        <v>0.3091</v>
      </c>
      <c r="AX79" s="15" t="n">
        <v>0.29019</v>
      </c>
      <c r="AY79" s="15" t="n">
        <v>0.51633</v>
      </c>
      <c r="AZ79" s="15" t="n">
        <v>-0.30222</v>
      </c>
      <c r="BA79" s="15" t="n">
        <v>-0.31864</v>
      </c>
      <c r="BB79" s="15" t="n">
        <v>0.072083</v>
      </c>
      <c r="BC79" s="15" t="n">
        <v>0.47823</v>
      </c>
      <c r="BD79" s="15" t="n">
        <v>-0.53192</v>
      </c>
      <c r="BE79" s="15" t="n">
        <v>0.62594</v>
      </c>
      <c r="BF79" s="15" t="n">
        <v>-0.27233</v>
      </c>
      <c r="BG79" s="15" t="n">
        <v>-0.59044</v>
      </c>
      <c r="BH79" s="15" t="n">
        <v>1.368</v>
      </c>
      <c r="BI79" s="15" t="n">
        <v>-0.16261</v>
      </c>
      <c r="BJ79" s="15" t="n">
        <v>0.40346</v>
      </c>
      <c r="BK79" s="15" t="n">
        <v>-0.13064</v>
      </c>
      <c r="BL79" s="15" t="n">
        <v>0.12411</v>
      </c>
      <c r="BM79" s="15" t="n">
        <v>0.13276</v>
      </c>
      <c r="BN79" s="15" t="n">
        <v>0.32152</v>
      </c>
      <c r="BO79" s="15" t="n">
        <v>0.11409</v>
      </c>
      <c r="BP79" s="15" t="n">
        <v>0.71786</v>
      </c>
      <c r="BQ79" s="15" t="n">
        <v>-0.24875</v>
      </c>
      <c r="BR79" s="15" t="n">
        <v>-0.62359</v>
      </c>
      <c r="BS79" s="15" t="n">
        <v>0.51662</v>
      </c>
      <c r="BT79" s="15" t="n">
        <v>-0.34263</v>
      </c>
      <c r="BU79" s="15" t="n">
        <v>-0.56119</v>
      </c>
      <c r="BV79" s="15" t="n">
        <v>0.67728</v>
      </c>
      <c r="BW79" s="15" t="n">
        <v>0.07709</v>
      </c>
      <c r="BX79" s="15" t="n">
        <v>-0.77387</v>
      </c>
      <c r="BY79" s="15" t="n">
        <v>-0.67967</v>
      </c>
      <c r="BZ79" s="15" t="n">
        <v>-0.51453</v>
      </c>
      <c r="CA79" s="15" t="n">
        <v>-0.46901</v>
      </c>
      <c r="CB79" s="15" t="n">
        <v>-0.22858</v>
      </c>
      <c r="CC79" s="15" t="n">
        <v>0.32224</v>
      </c>
      <c r="CD79" s="15" t="n">
        <v>0.0035479</v>
      </c>
      <c r="CE79" s="15" t="n">
        <v>-0.1108</v>
      </c>
      <c r="CF79" s="15" t="n">
        <v>0.094266</v>
      </c>
      <c r="CG79" s="15" t="n">
        <v>-0.37052</v>
      </c>
      <c r="CH79" s="15" t="n">
        <v>-0.21799</v>
      </c>
      <c r="CI79" s="15" t="n">
        <v>0.59625</v>
      </c>
      <c r="CJ79" s="15" t="n">
        <v>-0.22217</v>
      </c>
      <c r="CK79" s="15" t="n">
        <v>-0.26991</v>
      </c>
      <c r="CL79" s="15" t="n">
        <v>0.085618</v>
      </c>
      <c r="CM79" s="15" t="n">
        <v>0.23732</v>
      </c>
      <c r="CN79" s="15" t="n">
        <v>-1.3256</v>
      </c>
      <c r="CO79" s="15" t="n">
        <v>-0.24214</v>
      </c>
      <c r="CP79" s="15" t="n">
        <v>0.076229</v>
      </c>
      <c r="CQ79" s="15" t="n">
        <v>0.19974</v>
      </c>
      <c r="CR79" s="15" t="n">
        <v>-0.34956</v>
      </c>
      <c r="CS79" s="15" t="n">
        <v>-0.90006</v>
      </c>
      <c r="CT79" s="15" t="n">
        <v>-0.12284</v>
      </c>
      <c r="CU79" s="15" t="n">
        <v>-0.41427</v>
      </c>
      <c r="CV79" s="15" t="n">
        <v>0.51932</v>
      </c>
      <c r="CW79" s="15" t="n">
        <v>-0.5405</v>
      </c>
      <c r="CX79" s="15" t="n">
        <v>0.40671</v>
      </c>
      <c r="CY79" s="15" t="n">
        <v>0.94201</v>
      </c>
    </row>
    <row r="80" customFormat="false" ht="15" hidden="false" customHeight="false" outlineLevel="0" collapsed="false">
      <c r="A80" s="4" t="s">
        <v>211</v>
      </c>
      <c r="B80" s="2" t="n">
        <f aca="false">COUNTIF('1.3 TF-IDF coseno'!$M$10:$M$123,A80)</f>
        <v>1</v>
      </c>
      <c r="C80" s="2" t="n">
        <f aca="false">COUNTIF('1.3 TF-IDF coseno'!$N$10:$N$102,A80)</f>
        <v>0</v>
      </c>
      <c r="D80" s="15" t="n">
        <v>-0.05408</v>
      </c>
      <c r="E80" s="15" t="n">
        <v>-0.29214</v>
      </c>
      <c r="F80" s="15" t="n">
        <v>-0.11784</v>
      </c>
      <c r="G80" s="15" t="n">
        <v>-0.052914</v>
      </c>
      <c r="H80" s="15" t="n">
        <v>-0.12088</v>
      </c>
      <c r="I80" s="15" t="n">
        <v>-0.30959</v>
      </c>
      <c r="J80" s="15" t="n">
        <v>-0.69216</v>
      </c>
      <c r="K80" s="15" t="n">
        <v>-0.3439</v>
      </c>
      <c r="L80" s="15" t="n">
        <v>-0.34817</v>
      </c>
      <c r="M80" s="15" t="n">
        <v>0.56438</v>
      </c>
      <c r="N80" s="15" t="n">
        <v>-0.3976</v>
      </c>
      <c r="O80" s="15" t="n">
        <v>-0.10042</v>
      </c>
      <c r="P80" s="15" t="n">
        <v>-0.18175</v>
      </c>
      <c r="Q80" s="15" t="n">
        <v>0.0059602</v>
      </c>
      <c r="R80" s="15" t="n">
        <v>0.25404</v>
      </c>
      <c r="S80" s="15" t="n">
        <v>-0.23371</v>
      </c>
      <c r="T80" s="15" t="n">
        <v>-0.084388</v>
      </c>
      <c r="U80" s="15" t="n">
        <v>-0.31037</v>
      </c>
      <c r="V80" s="15" t="n">
        <v>-0.72957</v>
      </c>
      <c r="W80" s="15" t="n">
        <v>-0.52326</v>
      </c>
      <c r="X80" s="15" t="n">
        <v>0.11265</v>
      </c>
      <c r="Y80" s="15" t="n">
        <v>-0.0013824</v>
      </c>
      <c r="Z80" s="15" t="n">
        <v>0.009614</v>
      </c>
      <c r="AA80" s="15" t="n">
        <v>0.051294</v>
      </c>
      <c r="AB80" s="15" t="n">
        <v>-0.89524</v>
      </c>
      <c r="AC80" s="15" t="n">
        <v>-0.5825</v>
      </c>
      <c r="AD80" s="15" t="n">
        <v>-0.48611</v>
      </c>
      <c r="AE80" s="15" t="n">
        <v>-0.55155</v>
      </c>
      <c r="AF80" s="15" t="n">
        <v>-0.82253</v>
      </c>
      <c r="AG80" s="15" t="n">
        <v>-0.086038</v>
      </c>
      <c r="AH80" s="15" t="n">
        <v>0.55294</v>
      </c>
      <c r="AI80" s="15" t="n">
        <v>1.4618</v>
      </c>
      <c r="AJ80" s="15" t="n">
        <v>0.15066</v>
      </c>
      <c r="AK80" s="15" t="n">
        <v>0.056501</v>
      </c>
      <c r="AL80" s="15" t="n">
        <v>-0.40843</v>
      </c>
      <c r="AM80" s="15" t="n">
        <v>0.52454</v>
      </c>
      <c r="AN80" s="15" t="n">
        <v>0.38336</v>
      </c>
      <c r="AO80" s="15" t="n">
        <v>-0.57447</v>
      </c>
      <c r="AP80" s="15" t="n">
        <v>-1.2505</v>
      </c>
      <c r="AQ80" s="15" t="n">
        <v>-0.47771</v>
      </c>
      <c r="AR80" s="15" t="n">
        <v>-0.8807</v>
      </c>
      <c r="AS80" s="15" t="n">
        <v>-0.58987</v>
      </c>
      <c r="AT80" s="15" t="n">
        <v>0.33071</v>
      </c>
      <c r="AU80" s="15" t="n">
        <v>0.54444</v>
      </c>
      <c r="AV80" s="15" t="n">
        <v>-0.47417</v>
      </c>
      <c r="AW80" s="15" t="n">
        <v>-0.9198</v>
      </c>
      <c r="AX80" s="15" t="n">
        <v>0.2929</v>
      </c>
      <c r="AY80" s="15" t="n">
        <v>0.084941</v>
      </c>
      <c r="AZ80" s="15" t="n">
        <v>-0.70502</v>
      </c>
      <c r="BA80" s="15" t="n">
        <v>-1.0112</v>
      </c>
      <c r="BB80" s="15" t="n">
        <v>0.24552</v>
      </c>
      <c r="BC80" s="15" t="n">
        <v>0.24241</v>
      </c>
      <c r="BD80" s="15" t="n">
        <v>-0.47615</v>
      </c>
      <c r="BE80" s="15" t="n">
        <v>1.3731</v>
      </c>
      <c r="BF80" s="15" t="n">
        <v>0.61998</v>
      </c>
      <c r="BG80" s="15" t="n">
        <v>-1.0319</v>
      </c>
      <c r="BH80" s="15" t="n">
        <v>1.2663</v>
      </c>
      <c r="BI80" s="15" t="n">
        <v>0.050496</v>
      </c>
      <c r="BJ80" s="15" t="n">
        <v>1.6113</v>
      </c>
      <c r="BK80" s="15" t="n">
        <v>-0.17664</v>
      </c>
      <c r="BL80" s="15" t="n">
        <v>-0.077279</v>
      </c>
      <c r="BM80" s="15" t="n">
        <v>-0.35336</v>
      </c>
      <c r="BN80" s="15" t="n">
        <v>-0.025787</v>
      </c>
      <c r="BO80" s="15" t="n">
        <v>-0.42002</v>
      </c>
      <c r="BP80" s="15" t="n">
        <v>1.0412</v>
      </c>
      <c r="BQ80" s="15" t="n">
        <v>0.14702</v>
      </c>
      <c r="BR80" s="15" t="n">
        <v>-0.38537</v>
      </c>
      <c r="BS80" s="15" t="n">
        <v>0.012384</v>
      </c>
      <c r="BT80" s="15" t="n">
        <v>0.51043</v>
      </c>
      <c r="BU80" s="15" t="n">
        <v>-0.8647</v>
      </c>
      <c r="BV80" s="15" t="n">
        <v>0.12731</v>
      </c>
      <c r="BW80" s="15" t="n">
        <v>-0.34895</v>
      </c>
      <c r="BX80" s="15" t="n">
        <v>-0.4369</v>
      </c>
      <c r="BY80" s="15" t="n">
        <v>-0.39816</v>
      </c>
      <c r="BZ80" s="15" t="n">
        <v>-0.2265</v>
      </c>
      <c r="CA80" s="15" t="n">
        <v>-0.50723</v>
      </c>
      <c r="CB80" s="15" t="n">
        <v>-0.28472</v>
      </c>
      <c r="CC80" s="15" t="n">
        <v>0.8058</v>
      </c>
      <c r="CD80" s="15" t="n">
        <v>-0.70622</v>
      </c>
      <c r="CE80" s="15" t="n">
        <v>-0.09816</v>
      </c>
      <c r="CF80" s="15" t="n">
        <v>0.78549</v>
      </c>
      <c r="CG80" s="15" t="n">
        <v>0.37785</v>
      </c>
      <c r="CH80" s="15" t="n">
        <v>-0.12975</v>
      </c>
      <c r="CI80" s="15" t="n">
        <v>-0.031899</v>
      </c>
      <c r="CJ80" s="15" t="n">
        <v>-1.46</v>
      </c>
      <c r="CK80" s="15" t="n">
        <v>0.090581</v>
      </c>
      <c r="CL80" s="15" t="n">
        <v>-0.60522</v>
      </c>
      <c r="CM80" s="15" t="n">
        <v>-0.16621</v>
      </c>
      <c r="CN80" s="15" t="n">
        <v>-0.76284</v>
      </c>
      <c r="CO80" s="15" t="n">
        <v>-1.0421</v>
      </c>
      <c r="CP80" s="15" t="n">
        <v>-0.1358</v>
      </c>
      <c r="CQ80" s="15" t="n">
        <v>-0.45148</v>
      </c>
      <c r="CR80" s="15" t="n">
        <v>-0.13284</v>
      </c>
      <c r="CS80" s="15" t="n">
        <v>-0.11988</v>
      </c>
      <c r="CT80" s="15" t="n">
        <v>-0.20464</v>
      </c>
      <c r="CU80" s="15" t="n">
        <v>0.30539</v>
      </c>
      <c r="CV80" s="15" t="n">
        <v>-0.32821</v>
      </c>
      <c r="CW80" s="15" t="n">
        <v>-0.30224</v>
      </c>
      <c r="CX80" s="15" t="n">
        <v>0.52115</v>
      </c>
      <c r="CY80" s="15" t="n">
        <v>0.11884</v>
      </c>
    </row>
    <row r="81" customFormat="false" ht="15" hidden="false" customHeight="false" outlineLevel="0" collapsed="false">
      <c r="A81" s="4" t="s">
        <v>118</v>
      </c>
      <c r="B81" s="2" t="n">
        <f aca="false">COUNTIF('1.3 TF-IDF coseno'!$M$10:$M$123,A81)</f>
        <v>1</v>
      </c>
      <c r="C81" s="2" t="n">
        <f aca="false">COUNTIF('1.3 TF-IDF coseno'!$N$10:$N$102,A81)</f>
        <v>1</v>
      </c>
      <c r="D81" s="15" t="n">
        <v>-0.38097</v>
      </c>
      <c r="E81" s="15" t="n">
        <v>0.6605</v>
      </c>
      <c r="F81" s="15" t="n">
        <v>-0.11153</v>
      </c>
      <c r="G81" s="15" t="n">
        <v>0.49044</v>
      </c>
      <c r="H81" s="15" t="n">
        <v>0.48886</v>
      </c>
      <c r="I81" s="15" t="n">
        <v>-0.43086</v>
      </c>
      <c r="J81" s="15" t="n">
        <v>-0.49299</v>
      </c>
      <c r="K81" s="15" t="n">
        <v>0.38327</v>
      </c>
      <c r="L81" s="15" t="n">
        <v>-0.11554</v>
      </c>
      <c r="M81" s="15" t="n">
        <v>-0.11861</v>
      </c>
      <c r="N81" s="15" t="n">
        <v>0.27055</v>
      </c>
      <c r="O81" s="15" t="n">
        <v>-0.37241</v>
      </c>
      <c r="P81" s="15" t="n">
        <v>0.054591</v>
      </c>
      <c r="Q81" s="15" t="n">
        <v>0.18587</v>
      </c>
      <c r="R81" s="15" t="n">
        <v>0.24379</v>
      </c>
      <c r="S81" s="15" t="n">
        <v>-0.63918</v>
      </c>
      <c r="T81" s="15" t="n">
        <v>0.53827</v>
      </c>
      <c r="U81" s="15" t="n">
        <v>-0.084225</v>
      </c>
      <c r="V81" s="15" t="n">
        <v>-0.51058</v>
      </c>
      <c r="W81" s="15" t="n">
        <v>0.62019</v>
      </c>
      <c r="X81" s="15" t="n">
        <v>-0.31032</v>
      </c>
      <c r="Y81" s="15" t="n">
        <v>-0.58144</v>
      </c>
      <c r="Z81" s="15" t="n">
        <v>0.26755</v>
      </c>
      <c r="AA81" s="15" t="n">
        <v>-0.23825</v>
      </c>
      <c r="AB81" s="15" t="n">
        <v>-0.6881</v>
      </c>
      <c r="AC81" s="15" t="n">
        <v>-0.48691</v>
      </c>
      <c r="AD81" s="15" t="n">
        <v>-0.20816</v>
      </c>
      <c r="AE81" s="15" t="n">
        <v>-0.15776</v>
      </c>
      <c r="AF81" s="15" t="n">
        <v>-0.47545</v>
      </c>
      <c r="AG81" s="15" t="n">
        <v>-0.056455</v>
      </c>
      <c r="AH81" s="15" t="n">
        <v>-0.11214</v>
      </c>
      <c r="AI81" s="15" t="n">
        <v>0.41117</v>
      </c>
      <c r="AJ81" s="15" t="n">
        <v>-0.54678</v>
      </c>
      <c r="AK81" s="15" t="n">
        <v>0.076052</v>
      </c>
      <c r="AL81" s="15" t="n">
        <v>0.54019</v>
      </c>
      <c r="AM81" s="15" t="n">
        <v>0.41692</v>
      </c>
      <c r="AN81" s="15" t="n">
        <v>0.12828</v>
      </c>
      <c r="AO81" s="15" t="n">
        <v>0.13905</v>
      </c>
      <c r="AP81" s="15" t="n">
        <v>-0.2935</v>
      </c>
      <c r="AQ81" s="15" t="n">
        <v>0.28275</v>
      </c>
      <c r="AR81" s="15" t="n">
        <v>-0.056255</v>
      </c>
      <c r="AS81" s="15" t="n">
        <v>-0.15095</v>
      </c>
      <c r="AT81" s="15" t="n">
        <v>-0.3455</v>
      </c>
      <c r="AU81" s="15" t="n">
        <v>-0.39978</v>
      </c>
      <c r="AV81" s="15" t="n">
        <v>0.065798</v>
      </c>
      <c r="AW81" s="15" t="n">
        <v>0.0491</v>
      </c>
      <c r="AX81" s="15" t="n">
        <v>-0.031357</v>
      </c>
      <c r="AY81" s="15" t="n">
        <v>-0.30928</v>
      </c>
      <c r="AZ81" s="15" t="n">
        <v>-0.089806</v>
      </c>
      <c r="BA81" s="15" t="n">
        <v>-0.70175</v>
      </c>
      <c r="BB81" s="15" t="n">
        <v>-0.20525</v>
      </c>
      <c r="BC81" s="15" t="n">
        <v>-0.022163</v>
      </c>
      <c r="BD81" s="15" t="n">
        <v>-0.055116</v>
      </c>
      <c r="BE81" s="15" t="n">
        <v>0.83382</v>
      </c>
      <c r="BF81" s="15" t="n">
        <v>0.51129</v>
      </c>
      <c r="BG81" s="15" t="n">
        <v>-2.0358</v>
      </c>
      <c r="BH81" s="15" t="n">
        <v>0.60478</v>
      </c>
      <c r="BI81" s="15" t="n">
        <v>-1.0862</v>
      </c>
      <c r="BJ81" s="15" t="n">
        <v>2.3324</v>
      </c>
      <c r="BK81" s="15" t="n">
        <v>-0.07387</v>
      </c>
      <c r="BL81" s="15" t="n">
        <v>-0.091665</v>
      </c>
      <c r="BM81" s="15" t="n">
        <v>0.29444</v>
      </c>
      <c r="BN81" s="15" t="n">
        <v>-0.19779</v>
      </c>
      <c r="BO81" s="15" t="n">
        <v>0.042256</v>
      </c>
      <c r="BP81" s="15" t="n">
        <v>0.98175</v>
      </c>
      <c r="BQ81" s="15" t="n">
        <v>-0.25947</v>
      </c>
      <c r="BR81" s="15" t="n">
        <v>-0.22145</v>
      </c>
      <c r="BS81" s="15" t="n">
        <v>0.33467</v>
      </c>
      <c r="BT81" s="15" t="n">
        <v>0.40128</v>
      </c>
      <c r="BU81" s="15" t="n">
        <v>-0.65623</v>
      </c>
      <c r="BV81" s="15" t="n">
        <v>0.10489</v>
      </c>
      <c r="BW81" s="15" t="n">
        <v>-0.43763</v>
      </c>
      <c r="BX81" s="15" t="n">
        <v>0.26666</v>
      </c>
      <c r="BY81" s="15" t="n">
        <v>-0.59158</v>
      </c>
      <c r="BZ81" s="15" t="n">
        <v>0.92614</v>
      </c>
      <c r="CA81" s="15" t="n">
        <v>0.43312</v>
      </c>
      <c r="CB81" s="15" t="n">
        <v>-0.0077697</v>
      </c>
      <c r="CC81" s="15" t="n">
        <v>0.31185</v>
      </c>
      <c r="CD81" s="15" t="n">
        <v>-0.81248</v>
      </c>
      <c r="CE81" s="15" t="n">
        <v>-0.45142</v>
      </c>
      <c r="CF81" s="15" t="n">
        <v>0.99275</v>
      </c>
      <c r="CG81" s="15" t="n">
        <v>0.040632</v>
      </c>
      <c r="CH81" s="15" t="n">
        <v>-0.59944</v>
      </c>
      <c r="CI81" s="15" t="n">
        <v>-0.19</v>
      </c>
      <c r="CJ81" s="15" t="n">
        <v>-1.3953</v>
      </c>
      <c r="CK81" s="15" t="n">
        <v>0.50855</v>
      </c>
      <c r="CL81" s="15" t="n">
        <v>0.89775</v>
      </c>
      <c r="CM81" s="15" t="n">
        <v>0.77195</v>
      </c>
      <c r="CN81" s="15" t="n">
        <v>-0.23286</v>
      </c>
      <c r="CO81" s="15" t="n">
        <v>0.26674</v>
      </c>
      <c r="CP81" s="15" t="n">
        <v>0.33498</v>
      </c>
      <c r="CQ81" s="15" t="n">
        <v>-0.26701</v>
      </c>
      <c r="CR81" s="15" t="n">
        <v>0.24735</v>
      </c>
      <c r="CS81" s="15" t="n">
        <v>-1.1151</v>
      </c>
      <c r="CT81" s="15" t="n">
        <v>-0.14462</v>
      </c>
      <c r="CU81" s="15" t="n">
        <v>-0.26972</v>
      </c>
      <c r="CV81" s="15" t="n">
        <v>-0.13101</v>
      </c>
      <c r="CW81" s="15" t="n">
        <v>-0.49716</v>
      </c>
      <c r="CX81" s="15" t="n">
        <v>0.63039</v>
      </c>
      <c r="CY81" s="15" t="n">
        <v>0.49829</v>
      </c>
    </row>
    <row r="82" customFormat="false" ht="15" hidden="false" customHeight="false" outlineLevel="0" collapsed="false">
      <c r="A82" s="4" t="s">
        <v>212</v>
      </c>
      <c r="B82" s="2" t="n">
        <f aca="false">COUNTIF('1.3 TF-IDF coseno'!$M$10:$M$123,A82)</f>
        <v>1</v>
      </c>
      <c r="C82" s="2" t="n">
        <f aca="false">COUNTIF('1.3 TF-IDF coseno'!$N$10:$N$102,A82)</f>
        <v>0</v>
      </c>
      <c r="D82" s="15" t="n">
        <v>0.78456</v>
      </c>
      <c r="E82" s="15" t="n">
        <v>0.078674</v>
      </c>
      <c r="F82" s="15" t="n">
        <v>0.026181</v>
      </c>
      <c r="G82" s="15" t="n">
        <v>0.1944</v>
      </c>
      <c r="H82" s="15" t="n">
        <v>-0.29594</v>
      </c>
      <c r="I82" s="15" t="n">
        <v>0.42731</v>
      </c>
      <c r="J82" s="15" t="n">
        <v>0.57382</v>
      </c>
      <c r="K82" s="15" t="n">
        <v>0.32919</v>
      </c>
      <c r="L82" s="15" t="n">
        <v>-0.17232</v>
      </c>
      <c r="M82" s="15" t="n">
        <v>0.27815</v>
      </c>
      <c r="N82" s="15" t="n">
        <v>0.3811</v>
      </c>
      <c r="O82" s="15" t="n">
        <v>-0.3486</v>
      </c>
      <c r="P82" s="15" t="n">
        <v>0.49983</v>
      </c>
      <c r="Q82" s="15" t="n">
        <v>0.50286</v>
      </c>
      <c r="R82" s="15" t="n">
        <v>0.46855</v>
      </c>
      <c r="S82" s="15" t="n">
        <v>0.17668</v>
      </c>
      <c r="T82" s="15" t="n">
        <v>0.35511</v>
      </c>
      <c r="U82" s="15" t="n">
        <v>-0.72256</v>
      </c>
      <c r="V82" s="15" t="n">
        <v>0.12838</v>
      </c>
      <c r="W82" s="15" t="n">
        <v>0.087107</v>
      </c>
      <c r="X82" s="15" t="n">
        <v>0.14314</v>
      </c>
      <c r="Y82" s="15" t="n">
        <v>0.077654</v>
      </c>
      <c r="Z82" s="15" t="n">
        <v>-0.10855</v>
      </c>
      <c r="AA82" s="15" t="n">
        <v>0.44358</v>
      </c>
      <c r="AB82" s="15" t="n">
        <v>-0.044819</v>
      </c>
      <c r="AC82" s="15" t="n">
        <v>-0.90943</v>
      </c>
      <c r="AD82" s="15" t="n">
        <v>-0.35948</v>
      </c>
      <c r="AE82" s="15" t="n">
        <v>0.28587</v>
      </c>
      <c r="AF82" s="15" t="n">
        <v>-0.27862</v>
      </c>
      <c r="AG82" s="15" t="n">
        <v>-0.52491</v>
      </c>
      <c r="AH82" s="15" t="n">
        <v>-1.2348</v>
      </c>
      <c r="AI82" s="15" t="n">
        <v>0.43238</v>
      </c>
      <c r="AJ82" s="15" t="n">
        <v>-0.71056</v>
      </c>
      <c r="AK82" s="15" t="n">
        <v>0.49137</v>
      </c>
      <c r="AL82" s="15" t="n">
        <v>0.10781</v>
      </c>
      <c r="AM82" s="15" t="n">
        <v>-0.26823</v>
      </c>
      <c r="AN82" s="15" t="n">
        <v>0.54382</v>
      </c>
      <c r="AO82" s="15" t="n">
        <v>0.79941</v>
      </c>
      <c r="AP82" s="15" t="n">
        <v>-0.26316</v>
      </c>
      <c r="AQ82" s="15" t="n">
        <v>0.65212</v>
      </c>
      <c r="AR82" s="15" t="n">
        <v>-0.23456</v>
      </c>
      <c r="AS82" s="15" t="n">
        <v>-0.26574</v>
      </c>
      <c r="AT82" s="15" t="n">
        <v>0.48798</v>
      </c>
      <c r="AU82" s="15" t="n">
        <v>-0.45343</v>
      </c>
      <c r="AV82" s="15" t="n">
        <v>0.78082</v>
      </c>
      <c r="AW82" s="15" t="n">
        <v>0.29142</v>
      </c>
      <c r="AX82" s="15" t="n">
        <v>-0.10014</v>
      </c>
      <c r="AY82" s="15" t="n">
        <v>0.37059</v>
      </c>
      <c r="AZ82" s="15" t="n">
        <v>0.30366</v>
      </c>
      <c r="BA82" s="15" t="n">
        <v>0.03285</v>
      </c>
      <c r="BB82" s="15" t="n">
        <v>0.14946</v>
      </c>
      <c r="BC82" s="15" t="n">
        <v>0.094945</v>
      </c>
      <c r="BD82" s="15" t="n">
        <v>-1.0056</v>
      </c>
      <c r="BE82" s="15" t="n">
        <v>0.092944</v>
      </c>
      <c r="BF82" s="15" t="n">
        <v>0.19504</v>
      </c>
      <c r="BG82" s="15" t="n">
        <v>-2.0585</v>
      </c>
      <c r="BH82" s="15" t="n">
        <v>-0.27727</v>
      </c>
      <c r="BI82" s="15" t="n">
        <v>0.023368</v>
      </c>
      <c r="BJ82" s="15" t="n">
        <v>0.46729</v>
      </c>
      <c r="BK82" s="15" t="n">
        <v>0.58163</v>
      </c>
      <c r="BL82" s="15" t="n">
        <v>-1.0723</v>
      </c>
      <c r="BM82" s="15" t="n">
        <v>-0.1742</v>
      </c>
      <c r="BN82" s="15" t="n">
        <v>-0.65938</v>
      </c>
      <c r="BO82" s="15" t="n">
        <v>-0.78587</v>
      </c>
      <c r="BP82" s="15" t="n">
        <v>-0.43709</v>
      </c>
      <c r="BQ82" s="15" t="n">
        <v>0.48529</v>
      </c>
      <c r="BR82" s="15" t="n">
        <v>-0.26363</v>
      </c>
      <c r="BS82" s="15" t="n">
        <v>0.77371</v>
      </c>
      <c r="BT82" s="15" t="n">
        <v>0.015847</v>
      </c>
      <c r="BU82" s="15" t="n">
        <v>-0.24955</v>
      </c>
      <c r="BV82" s="15" t="n">
        <v>1.0455</v>
      </c>
      <c r="BW82" s="15" t="n">
        <v>-0.35712</v>
      </c>
      <c r="BX82" s="15" t="n">
        <v>1.0707</v>
      </c>
      <c r="BY82" s="15" t="n">
        <v>-1.0558</v>
      </c>
      <c r="BZ82" s="15" t="n">
        <v>0.31748</v>
      </c>
      <c r="CA82" s="15" t="n">
        <v>-0.73877</v>
      </c>
      <c r="CB82" s="15" t="n">
        <v>-0.89615</v>
      </c>
      <c r="CC82" s="15" t="n">
        <v>0.056007</v>
      </c>
      <c r="CD82" s="15" t="n">
        <v>-1.2135</v>
      </c>
      <c r="CE82" s="15" t="n">
        <v>-0.16944</v>
      </c>
      <c r="CF82" s="15" t="n">
        <v>0.73352</v>
      </c>
      <c r="CG82" s="15" t="n">
        <v>-0.18064</v>
      </c>
      <c r="CH82" s="15" t="n">
        <v>-0.48851</v>
      </c>
      <c r="CI82" s="15" t="n">
        <v>0.53819</v>
      </c>
      <c r="CJ82" s="15" t="n">
        <v>-0.46835</v>
      </c>
      <c r="CK82" s="15" t="n">
        <v>0.30191</v>
      </c>
      <c r="CL82" s="15" t="n">
        <v>-1.9631</v>
      </c>
      <c r="CM82" s="15" t="n">
        <v>1.4382</v>
      </c>
      <c r="CN82" s="15" t="n">
        <v>0.26282</v>
      </c>
      <c r="CO82" s="15" t="n">
        <v>-0.68859</v>
      </c>
      <c r="CP82" s="15" t="n">
        <v>-1.0001</v>
      </c>
      <c r="CQ82" s="15" t="n">
        <v>0.42117</v>
      </c>
      <c r="CR82" s="15" t="n">
        <v>-0.93651</v>
      </c>
      <c r="CS82" s="15" t="n">
        <v>0.3708</v>
      </c>
      <c r="CT82" s="15" t="n">
        <v>-0.17112</v>
      </c>
      <c r="CU82" s="15" t="n">
        <v>-0.23453</v>
      </c>
      <c r="CV82" s="15" t="n">
        <v>0.68355</v>
      </c>
      <c r="CW82" s="15" t="n">
        <v>0.19025</v>
      </c>
      <c r="CX82" s="15" t="n">
        <v>0.27353</v>
      </c>
      <c r="CY82" s="15" t="n">
        <v>-0.18381</v>
      </c>
    </row>
    <row r="83" customFormat="false" ht="15" hidden="false" customHeight="false" outlineLevel="0" collapsed="false">
      <c r="A83" s="4" t="s">
        <v>213</v>
      </c>
      <c r="B83" s="2" t="n">
        <f aca="false">COUNTIF('1.3 TF-IDF coseno'!$M$10:$M$123,A83)</f>
        <v>1</v>
      </c>
      <c r="C83" s="2" t="n">
        <f aca="false">COUNTIF('1.3 TF-IDF coseno'!$N$10:$N$102,A83)</f>
        <v>0</v>
      </c>
      <c r="D83" s="15" t="n">
        <v>0.89525</v>
      </c>
      <c r="E83" s="15" t="n">
        <v>-0.73406</v>
      </c>
      <c r="F83" s="15" t="n">
        <v>-0.5696</v>
      </c>
      <c r="G83" s="15" t="n">
        <v>-0.77508</v>
      </c>
      <c r="H83" s="15" t="n">
        <v>-1.0107</v>
      </c>
      <c r="I83" s="15" t="n">
        <v>0.85932</v>
      </c>
      <c r="J83" s="15" t="n">
        <v>-0.42479</v>
      </c>
      <c r="K83" s="15" t="n">
        <v>0.99493</v>
      </c>
      <c r="L83" s="15" t="n">
        <v>-0.80218</v>
      </c>
      <c r="M83" s="15" t="n">
        <v>0.33379</v>
      </c>
      <c r="N83" s="15" t="n">
        <v>-0.16788</v>
      </c>
      <c r="O83" s="15" t="n">
        <v>0.17415</v>
      </c>
      <c r="P83" s="15" t="n">
        <v>0.18211</v>
      </c>
      <c r="Q83" s="15" t="n">
        <v>0.069961</v>
      </c>
      <c r="R83" s="15" t="n">
        <v>-0.2925</v>
      </c>
      <c r="S83" s="15" t="n">
        <v>0.87576</v>
      </c>
      <c r="T83" s="15" t="n">
        <v>-0.0017818</v>
      </c>
      <c r="U83" s="15" t="n">
        <v>-0.040986</v>
      </c>
      <c r="V83" s="15" t="n">
        <v>-0.48654</v>
      </c>
      <c r="W83" s="15" t="n">
        <v>-0.099624</v>
      </c>
      <c r="X83" s="15" t="n">
        <v>-0.42558</v>
      </c>
      <c r="Y83" s="15" t="n">
        <v>-0.28442</v>
      </c>
      <c r="Z83" s="15" t="n">
        <v>-0.13559</v>
      </c>
      <c r="AA83" s="15" t="n">
        <v>-0.15182</v>
      </c>
      <c r="AB83" s="15" t="n">
        <v>-0.53946</v>
      </c>
      <c r="AC83" s="15" t="n">
        <v>-0.40127</v>
      </c>
      <c r="AD83" s="15" t="n">
        <v>0.18051</v>
      </c>
      <c r="AE83" s="15" t="n">
        <v>-0.086995</v>
      </c>
      <c r="AF83" s="15" t="n">
        <v>-0.57585</v>
      </c>
      <c r="AG83" s="15" t="n">
        <v>0.49365</v>
      </c>
      <c r="AH83" s="15" t="n">
        <v>-0.032028</v>
      </c>
      <c r="AI83" s="15" t="n">
        <v>-0.59526</v>
      </c>
      <c r="AJ83" s="15" t="n">
        <v>-0.77006</v>
      </c>
      <c r="AK83" s="15" t="n">
        <v>-0.4969</v>
      </c>
      <c r="AL83" s="15" t="n">
        <v>-0.14399</v>
      </c>
      <c r="AM83" s="15" t="n">
        <v>0.11746</v>
      </c>
      <c r="AN83" s="15" t="n">
        <v>-0.72078</v>
      </c>
      <c r="AO83" s="15" t="n">
        <v>-0.32951</v>
      </c>
      <c r="AP83" s="15" t="n">
        <v>-0.96011</v>
      </c>
      <c r="AQ83" s="15" t="n">
        <v>-0.03448</v>
      </c>
      <c r="AR83" s="15" t="n">
        <v>-1.0799</v>
      </c>
      <c r="AS83" s="15" t="n">
        <v>-0.28553</v>
      </c>
      <c r="AT83" s="15" t="n">
        <v>0.53761</v>
      </c>
      <c r="AU83" s="15" t="n">
        <v>-1.0891</v>
      </c>
      <c r="AV83" s="15" t="n">
        <v>-0.070118</v>
      </c>
      <c r="AW83" s="15" t="n">
        <v>0.68705</v>
      </c>
      <c r="AX83" s="15" t="n">
        <v>0.15116</v>
      </c>
      <c r="AY83" s="15" t="n">
        <v>-0.15358</v>
      </c>
      <c r="AZ83" s="15" t="n">
        <v>-0.28044</v>
      </c>
      <c r="BA83" s="15" t="n">
        <v>-0.33108</v>
      </c>
      <c r="BB83" s="15" t="n">
        <v>1.3265</v>
      </c>
      <c r="BC83" s="15" t="n">
        <v>-0.7323</v>
      </c>
      <c r="BD83" s="15" t="n">
        <v>-0.92476</v>
      </c>
      <c r="BE83" s="15" t="n">
        <v>0.32847</v>
      </c>
      <c r="BF83" s="15" t="n">
        <v>-0.31879</v>
      </c>
      <c r="BG83" s="15" t="n">
        <v>-0.43692</v>
      </c>
      <c r="BH83" s="15" t="n">
        <v>0.61052</v>
      </c>
      <c r="BI83" s="15" t="n">
        <v>-0.34016</v>
      </c>
      <c r="BJ83" s="15" t="n">
        <v>1.2336</v>
      </c>
      <c r="BK83" s="15" t="n">
        <v>0.98218</v>
      </c>
      <c r="BL83" s="15" t="n">
        <v>-0.17202</v>
      </c>
      <c r="BM83" s="15" t="n">
        <v>0.07017</v>
      </c>
      <c r="BN83" s="15" t="n">
        <v>-0.52303</v>
      </c>
      <c r="BO83" s="15" t="n">
        <v>0.67618</v>
      </c>
      <c r="BP83" s="15" t="n">
        <v>0.43965</v>
      </c>
      <c r="BQ83" s="15" t="n">
        <v>-0.67948</v>
      </c>
      <c r="BR83" s="15" t="n">
        <v>-0.6831</v>
      </c>
      <c r="BS83" s="15" t="n">
        <v>0.59644</v>
      </c>
      <c r="BT83" s="15" t="n">
        <v>-0.17891</v>
      </c>
      <c r="BU83" s="15" t="n">
        <v>0.17529</v>
      </c>
      <c r="BV83" s="15" t="n">
        <v>0.28299</v>
      </c>
      <c r="BW83" s="15" t="n">
        <v>-0.18214</v>
      </c>
      <c r="BX83" s="15" t="n">
        <v>0.17277</v>
      </c>
      <c r="BY83" s="15" t="n">
        <v>-0.56249</v>
      </c>
      <c r="BZ83" s="15" t="n">
        <v>0.11132</v>
      </c>
      <c r="CA83" s="15" t="n">
        <v>0.024583</v>
      </c>
      <c r="CB83" s="15" t="n">
        <v>-0.50969</v>
      </c>
      <c r="CC83" s="15" t="n">
        <v>-0.052711</v>
      </c>
      <c r="CD83" s="15" t="n">
        <v>-0.23058</v>
      </c>
      <c r="CE83" s="15" t="n">
        <v>-0.06197</v>
      </c>
      <c r="CF83" s="15" t="n">
        <v>0.032505</v>
      </c>
      <c r="CG83" s="15" t="n">
        <v>-0.51793</v>
      </c>
      <c r="CH83" s="15" t="n">
        <v>0.41388</v>
      </c>
      <c r="CI83" s="15" t="n">
        <v>0.13735</v>
      </c>
      <c r="CJ83" s="15" t="n">
        <v>-1.3237</v>
      </c>
      <c r="CK83" s="15" t="n">
        <v>0.1252</v>
      </c>
      <c r="CL83" s="15" t="n">
        <v>-0.21159</v>
      </c>
      <c r="CM83" s="15" t="n">
        <v>0.43289</v>
      </c>
      <c r="CN83" s="15" t="n">
        <v>0.35407</v>
      </c>
      <c r="CO83" s="15" t="n">
        <v>-0.038964</v>
      </c>
      <c r="CP83" s="15" t="n">
        <v>-0.41522</v>
      </c>
      <c r="CQ83" s="15" t="n">
        <v>0.23327</v>
      </c>
      <c r="CR83" s="15" t="n">
        <v>-0.80652</v>
      </c>
      <c r="CS83" s="15" t="n">
        <v>0.37764</v>
      </c>
      <c r="CT83" s="15" t="n">
        <v>1.6115</v>
      </c>
      <c r="CU83" s="15" t="n">
        <v>0.64443</v>
      </c>
      <c r="CV83" s="15" t="n">
        <v>0.064829</v>
      </c>
      <c r="CW83" s="15" t="n">
        <v>0.054378</v>
      </c>
      <c r="CX83" s="15" t="n">
        <v>0.45151</v>
      </c>
      <c r="CY83" s="15" t="n">
        <v>-0.22003</v>
      </c>
    </row>
    <row r="84" customFormat="false" ht="15" hidden="false" customHeight="false" outlineLevel="0" collapsed="false">
      <c r="A84" s="4" t="s">
        <v>214</v>
      </c>
      <c r="B84" s="2" t="n">
        <f aca="false">COUNTIF('1.3 TF-IDF coseno'!$M$10:$M$123,A84)</f>
        <v>1</v>
      </c>
      <c r="C84" s="2" t="n">
        <f aca="false">COUNTIF('1.3 TF-IDF coseno'!$N$10:$N$102,A84)</f>
        <v>0</v>
      </c>
      <c r="D84" s="15" t="n">
        <v>0.15724</v>
      </c>
      <c r="E84" s="15" t="n">
        <v>0.8525</v>
      </c>
      <c r="F84" s="15" t="n">
        <v>-0.53347</v>
      </c>
      <c r="G84" s="15" t="n">
        <v>-0.38231</v>
      </c>
      <c r="H84" s="15" t="n">
        <v>0.53771</v>
      </c>
      <c r="I84" s="15" t="n">
        <v>-0.2248</v>
      </c>
      <c r="J84" s="15" t="n">
        <v>0.11831</v>
      </c>
      <c r="K84" s="15" t="n">
        <v>0.84216</v>
      </c>
      <c r="L84" s="15" t="n">
        <v>-0.079337</v>
      </c>
      <c r="M84" s="15" t="n">
        <v>0.65706</v>
      </c>
      <c r="N84" s="15" t="n">
        <v>-0.019826</v>
      </c>
      <c r="O84" s="15" t="n">
        <v>-0.095176</v>
      </c>
      <c r="P84" s="15" t="n">
        <v>0.06221</v>
      </c>
      <c r="Q84" s="15" t="n">
        <v>0.083566</v>
      </c>
      <c r="R84" s="15" t="n">
        <v>-0.076826</v>
      </c>
      <c r="S84" s="15" t="n">
        <v>-0.11202</v>
      </c>
      <c r="T84" s="15" t="n">
        <v>0.60416</v>
      </c>
      <c r="U84" s="15" t="n">
        <v>0.34334</v>
      </c>
      <c r="V84" s="15" t="n">
        <v>-0.75568</v>
      </c>
      <c r="W84" s="15" t="n">
        <v>0.50235</v>
      </c>
      <c r="X84" s="15" t="n">
        <v>-1.3007</v>
      </c>
      <c r="Y84" s="15" t="n">
        <v>0.17784</v>
      </c>
      <c r="Z84" s="15" t="n">
        <v>0.33654</v>
      </c>
      <c r="AA84" s="15" t="n">
        <v>0.086069</v>
      </c>
      <c r="AB84" s="15" t="n">
        <v>-0.25324</v>
      </c>
      <c r="AC84" s="15" t="n">
        <v>-0.15566</v>
      </c>
      <c r="AD84" s="15" t="n">
        <v>-0.052601</v>
      </c>
      <c r="AE84" s="15" t="n">
        <v>-0.046827</v>
      </c>
      <c r="AF84" s="15" t="n">
        <v>-1.0436</v>
      </c>
      <c r="AG84" s="15" t="n">
        <v>0.22055</v>
      </c>
      <c r="AH84" s="15" t="n">
        <v>0.0036482</v>
      </c>
      <c r="AI84" s="15" t="n">
        <v>1.1253</v>
      </c>
      <c r="AJ84" s="15" t="n">
        <v>-0.57367</v>
      </c>
      <c r="AK84" s="15" t="n">
        <v>0.34184</v>
      </c>
      <c r="AL84" s="15" t="n">
        <v>0.08748</v>
      </c>
      <c r="AM84" s="15" t="n">
        <v>0.57784</v>
      </c>
      <c r="AN84" s="15" t="n">
        <v>-0.49612</v>
      </c>
      <c r="AO84" s="15" t="n">
        <v>-0.66955</v>
      </c>
      <c r="AP84" s="15" t="n">
        <v>-0.94614</v>
      </c>
      <c r="AQ84" s="15" t="n">
        <v>0.09452</v>
      </c>
      <c r="AR84" s="15" t="n">
        <v>-0.29415</v>
      </c>
      <c r="AS84" s="15" t="n">
        <v>0.023974</v>
      </c>
      <c r="AT84" s="15" t="n">
        <v>-0.89192</v>
      </c>
      <c r="AU84" s="15" t="n">
        <v>0.67755</v>
      </c>
      <c r="AV84" s="15" t="n">
        <v>0.06263</v>
      </c>
      <c r="AW84" s="15" t="n">
        <v>-0.42274</v>
      </c>
      <c r="AX84" s="15" t="n">
        <v>0.050396</v>
      </c>
      <c r="AY84" s="15" t="n">
        <v>-0.10824</v>
      </c>
      <c r="AZ84" s="15" t="n">
        <v>-0.48153</v>
      </c>
      <c r="BA84" s="15" t="n">
        <v>-0.54006</v>
      </c>
      <c r="BB84" s="15" t="n">
        <v>-0.25521</v>
      </c>
      <c r="BC84" s="15" t="n">
        <v>0.043479</v>
      </c>
      <c r="BD84" s="15" t="n">
        <v>-0.71904</v>
      </c>
      <c r="BE84" s="15" t="n">
        <v>0.58615</v>
      </c>
      <c r="BF84" s="15" t="n">
        <v>0.67174</v>
      </c>
      <c r="BG84" s="15" t="n">
        <v>-1.7559</v>
      </c>
      <c r="BH84" s="15" t="n">
        <v>0.52784</v>
      </c>
      <c r="BI84" s="15" t="n">
        <v>-0.74471</v>
      </c>
      <c r="BJ84" s="15" t="n">
        <v>2.2334</v>
      </c>
      <c r="BK84" s="15" t="n">
        <v>0.25258</v>
      </c>
      <c r="BL84" s="15" t="n">
        <v>-0.091287</v>
      </c>
      <c r="BM84" s="15" t="n">
        <v>0.4362</v>
      </c>
      <c r="BN84" s="15" t="n">
        <v>0.40909</v>
      </c>
      <c r="BO84" s="15" t="n">
        <v>-0.71598</v>
      </c>
      <c r="BP84" s="15" t="n">
        <v>0.5655</v>
      </c>
      <c r="BQ84" s="15" t="n">
        <v>0.26838</v>
      </c>
      <c r="BR84" s="15" t="n">
        <v>0.11341</v>
      </c>
      <c r="BS84" s="15" t="n">
        <v>0.24502</v>
      </c>
      <c r="BT84" s="15" t="n">
        <v>0.98954</v>
      </c>
      <c r="BU84" s="15" t="n">
        <v>0.33081</v>
      </c>
      <c r="BV84" s="15" t="n">
        <v>0.58325</v>
      </c>
      <c r="BW84" s="15" t="n">
        <v>-0.40349</v>
      </c>
      <c r="BX84" s="15" t="n">
        <v>-0.28753</v>
      </c>
      <c r="BY84" s="15" t="n">
        <v>0.11635</v>
      </c>
      <c r="BZ84" s="15" t="n">
        <v>-0.19914</v>
      </c>
      <c r="CA84" s="15" t="n">
        <v>0.41544</v>
      </c>
      <c r="CB84" s="15" t="n">
        <v>-0.42136</v>
      </c>
      <c r="CC84" s="15" t="n">
        <v>0.76988</v>
      </c>
      <c r="CD84" s="15" t="n">
        <v>-0.42755</v>
      </c>
      <c r="CE84" s="15" t="n">
        <v>-0.39541</v>
      </c>
      <c r="CF84" s="15" t="n">
        <v>0.3166</v>
      </c>
      <c r="CG84" s="15" t="n">
        <v>-0.1839</v>
      </c>
      <c r="CH84" s="15" t="n">
        <v>-0.24557</v>
      </c>
      <c r="CI84" s="15" t="n">
        <v>-0.4473</v>
      </c>
      <c r="CJ84" s="15" t="n">
        <v>-2.4186</v>
      </c>
      <c r="CK84" s="15" t="n">
        <v>0.98952</v>
      </c>
      <c r="CL84" s="15" t="n">
        <v>0.011325</v>
      </c>
      <c r="CM84" s="15" t="n">
        <v>0.27373</v>
      </c>
      <c r="CN84" s="15" t="n">
        <v>-0.52357</v>
      </c>
      <c r="CO84" s="15" t="n">
        <v>-0.33301</v>
      </c>
      <c r="CP84" s="15" t="n">
        <v>-0.40397</v>
      </c>
      <c r="CQ84" s="15" t="n">
        <v>0.16358</v>
      </c>
      <c r="CR84" s="15" t="n">
        <v>0.15283</v>
      </c>
      <c r="CS84" s="15" t="n">
        <v>0.15443</v>
      </c>
      <c r="CT84" s="15" t="n">
        <v>-0.74478</v>
      </c>
      <c r="CU84" s="15" t="n">
        <v>-0.28818</v>
      </c>
      <c r="CV84" s="15" t="n">
        <v>0.092333</v>
      </c>
      <c r="CW84" s="15" t="n">
        <v>-0.2529</v>
      </c>
      <c r="CX84" s="15" t="n">
        <v>1.234</v>
      </c>
      <c r="CY84" s="15" t="n">
        <v>0.22616</v>
      </c>
    </row>
    <row r="85" customFormat="false" ht="15" hidden="false" customHeight="false" outlineLevel="0" collapsed="false">
      <c r="A85" s="4" t="s">
        <v>57</v>
      </c>
      <c r="B85" s="2" t="n">
        <f aca="false">COUNTIF('1.3 TF-IDF coseno'!$M$10:$M$123,A85)</f>
        <v>0</v>
      </c>
      <c r="C85" s="2" t="n">
        <f aca="false">COUNTIF('1.3 TF-IDF coseno'!$N$10:$N$102,A85)</f>
        <v>1</v>
      </c>
      <c r="D85" s="15" t="n">
        <v>0.091405</v>
      </c>
      <c r="E85" s="15" t="n">
        <v>0.24024</v>
      </c>
      <c r="F85" s="15" t="n">
        <v>0.13396</v>
      </c>
      <c r="G85" s="15" t="n">
        <v>0.34363</v>
      </c>
      <c r="H85" s="15" t="n">
        <v>0.27541</v>
      </c>
      <c r="I85" s="15" t="n">
        <v>-0.32837</v>
      </c>
      <c r="J85" s="15" t="n">
        <v>-0.047703</v>
      </c>
      <c r="K85" s="15" t="n">
        <v>-1.1584</v>
      </c>
      <c r="L85" s="15" t="n">
        <v>0.095162</v>
      </c>
      <c r="M85" s="15" t="n">
        <v>-0.037296</v>
      </c>
      <c r="N85" s="15" t="n">
        <v>-0.46987</v>
      </c>
      <c r="O85" s="15" t="n">
        <v>-0.064045</v>
      </c>
      <c r="P85" s="15" t="n">
        <v>0.23626</v>
      </c>
      <c r="Q85" s="15" t="n">
        <v>-0.23455</v>
      </c>
      <c r="R85" s="15" t="n">
        <v>0.4645</v>
      </c>
      <c r="S85" s="15" t="n">
        <v>0.15092</v>
      </c>
      <c r="T85" s="15" t="n">
        <v>-0.20102</v>
      </c>
      <c r="U85" s="15" t="n">
        <v>-0.27161</v>
      </c>
      <c r="V85" s="15" t="n">
        <v>0.40441</v>
      </c>
      <c r="W85" s="15" t="n">
        <v>-0.31372</v>
      </c>
      <c r="X85" s="15" t="n">
        <v>-0.23345</v>
      </c>
      <c r="Y85" s="15" t="n">
        <v>-0.33057</v>
      </c>
      <c r="Z85" s="15" t="n">
        <v>-0.17308</v>
      </c>
      <c r="AA85" s="15" t="n">
        <v>0.17969</v>
      </c>
      <c r="AB85" s="15" t="n">
        <v>0.10561</v>
      </c>
      <c r="AC85" s="15" t="n">
        <v>0.022798</v>
      </c>
      <c r="AD85" s="15" t="n">
        <v>0.43733</v>
      </c>
      <c r="AE85" s="15" t="n">
        <v>0.033624</v>
      </c>
      <c r="AF85" s="15" t="n">
        <v>-0.19146</v>
      </c>
      <c r="AG85" s="15" t="n">
        <v>0.21107</v>
      </c>
      <c r="AH85" s="15" t="n">
        <v>-0.46344</v>
      </c>
      <c r="AI85" s="15" t="n">
        <v>0.20111</v>
      </c>
      <c r="AJ85" s="15" t="n">
        <v>-0.010929</v>
      </c>
      <c r="AK85" s="15" t="n">
        <v>-0.19484</v>
      </c>
      <c r="AL85" s="15" t="n">
        <v>0.031403</v>
      </c>
      <c r="AM85" s="15" t="n">
        <v>-0.7362</v>
      </c>
      <c r="AN85" s="15" t="n">
        <v>0.24496</v>
      </c>
      <c r="AO85" s="15" t="n">
        <v>-0.31589</v>
      </c>
      <c r="AP85" s="15" t="n">
        <v>-0.7957</v>
      </c>
      <c r="AQ85" s="15" t="n">
        <v>-0.059095</v>
      </c>
      <c r="AR85" s="15" t="n">
        <v>-0.70966</v>
      </c>
      <c r="AS85" s="15" t="n">
        <v>0.28399</v>
      </c>
      <c r="AT85" s="15" t="n">
        <v>0.077837</v>
      </c>
      <c r="AU85" s="15" t="n">
        <v>0.20289</v>
      </c>
      <c r="AV85" s="15" t="n">
        <v>0.31435</v>
      </c>
      <c r="AW85" s="15" t="n">
        <v>0.027285</v>
      </c>
      <c r="AX85" s="15" t="n">
        <v>0.97186</v>
      </c>
      <c r="AY85" s="15" t="n">
        <v>0.49746</v>
      </c>
      <c r="AZ85" s="15" t="n">
        <v>0.18857</v>
      </c>
      <c r="BA85" s="15" t="n">
        <v>-0.49604</v>
      </c>
      <c r="BB85" s="15" t="n">
        <v>-0.10831</v>
      </c>
      <c r="BC85" s="15" t="n">
        <v>0.28234</v>
      </c>
      <c r="BD85" s="15" t="n">
        <v>-0.29584</v>
      </c>
      <c r="BE85" s="15" t="n">
        <v>0.1587</v>
      </c>
      <c r="BF85" s="15" t="n">
        <v>0.42577</v>
      </c>
      <c r="BG85" s="15" t="n">
        <v>-1.1234</v>
      </c>
      <c r="BH85" s="15" t="n">
        <v>0.16023</v>
      </c>
      <c r="BI85" s="15" t="n">
        <v>-0.036573</v>
      </c>
      <c r="BJ85" s="15" t="n">
        <v>0.50921</v>
      </c>
      <c r="BK85" s="15" t="n">
        <v>0.052221</v>
      </c>
      <c r="BL85" s="15" t="n">
        <v>-0.57751</v>
      </c>
      <c r="BM85" s="15" t="n">
        <v>0.44158</v>
      </c>
      <c r="BN85" s="15" t="n">
        <v>0.40514</v>
      </c>
      <c r="BO85" s="15" t="n">
        <v>-0.012666</v>
      </c>
      <c r="BP85" s="15" t="n">
        <v>0.96098</v>
      </c>
      <c r="BQ85" s="15" t="n">
        <v>0.25758</v>
      </c>
      <c r="BR85" s="15" t="n">
        <v>0.21879</v>
      </c>
      <c r="BS85" s="15" t="n">
        <v>-0.51802</v>
      </c>
      <c r="BT85" s="15" t="n">
        <v>0.30236</v>
      </c>
      <c r="BU85" s="15" t="n">
        <v>-0.10548</v>
      </c>
      <c r="BV85" s="15" t="n">
        <v>0.49413</v>
      </c>
      <c r="BW85" s="15" t="n">
        <v>0.044397</v>
      </c>
      <c r="BX85" s="15" t="n">
        <v>-1.0451</v>
      </c>
      <c r="BY85" s="15" t="n">
        <v>-0.31742</v>
      </c>
      <c r="BZ85" s="15" t="n">
        <v>0.40595</v>
      </c>
      <c r="CA85" s="15" t="n">
        <v>-0.6236</v>
      </c>
      <c r="CB85" s="15" t="n">
        <v>-0.21669</v>
      </c>
      <c r="CC85" s="15" t="n">
        <v>-0.66035</v>
      </c>
      <c r="CD85" s="15" t="n">
        <v>-0.58966</v>
      </c>
      <c r="CE85" s="15" t="n">
        <v>-0.30447</v>
      </c>
      <c r="CF85" s="15" t="n">
        <v>0.30538</v>
      </c>
      <c r="CG85" s="15" t="n">
        <v>-0.021849</v>
      </c>
      <c r="CH85" s="15" t="n">
        <v>-0.0080743</v>
      </c>
      <c r="CI85" s="15" t="n">
        <v>0.3562</v>
      </c>
      <c r="CJ85" s="15" t="n">
        <v>-0.49044</v>
      </c>
      <c r="CK85" s="15" t="n">
        <v>-0.11206</v>
      </c>
      <c r="CL85" s="15" t="n">
        <v>-0.028637</v>
      </c>
      <c r="CM85" s="15" t="n">
        <v>-0.41268</v>
      </c>
      <c r="CN85" s="15" t="n">
        <v>-0.47181</v>
      </c>
      <c r="CO85" s="15" t="n">
        <v>-0.44464</v>
      </c>
      <c r="CP85" s="15" t="n">
        <v>0.45251</v>
      </c>
      <c r="CQ85" s="15" t="n">
        <v>0.43671</v>
      </c>
      <c r="CR85" s="15" t="n">
        <v>-0.46878</v>
      </c>
      <c r="CS85" s="15" t="n">
        <v>0.21832</v>
      </c>
      <c r="CT85" s="15" t="n">
        <v>-0.11817</v>
      </c>
      <c r="CU85" s="15" t="n">
        <v>-0.93192</v>
      </c>
      <c r="CV85" s="15" t="n">
        <v>-0.0014912</v>
      </c>
      <c r="CW85" s="15" t="n">
        <v>-0.6275</v>
      </c>
      <c r="CX85" s="15" t="n">
        <v>0.064756</v>
      </c>
      <c r="CY85" s="15" t="n">
        <v>0.01822</v>
      </c>
    </row>
    <row r="86" customFormat="false" ht="15" hidden="false" customHeight="false" outlineLevel="0" collapsed="false">
      <c r="A86" s="4" t="s">
        <v>63</v>
      </c>
      <c r="B86" s="2" t="n">
        <f aca="false">COUNTIF('1.3 TF-IDF coseno'!$M$10:$M$123,A86)</f>
        <v>0</v>
      </c>
      <c r="C86" s="2" t="n">
        <f aca="false">COUNTIF('1.3 TF-IDF coseno'!$N$10:$N$102,A86)</f>
        <v>1</v>
      </c>
      <c r="D86" s="15" t="n">
        <v>0.27295</v>
      </c>
      <c r="E86" s="15" t="n">
        <v>-0.18125</v>
      </c>
      <c r="F86" s="15" t="n">
        <v>-0.27623</v>
      </c>
      <c r="G86" s="15" t="n">
        <v>-0.36224</v>
      </c>
      <c r="H86" s="15" t="n">
        <v>0.38217</v>
      </c>
      <c r="I86" s="15" t="n">
        <v>0.29277</v>
      </c>
      <c r="J86" s="15" t="n">
        <v>-0.29068</v>
      </c>
      <c r="K86" s="15" t="n">
        <v>-0.48367</v>
      </c>
      <c r="L86" s="15" t="n">
        <v>0.035016</v>
      </c>
      <c r="M86" s="15" t="n">
        <v>-0.023845</v>
      </c>
      <c r="N86" s="15" t="n">
        <v>-0.87814</v>
      </c>
      <c r="O86" s="15" t="n">
        <v>0.39698</v>
      </c>
      <c r="P86" s="15" t="n">
        <v>-0.10798</v>
      </c>
      <c r="Q86" s="15" t="n">
        <v>-0.1959</v>
      </c>
      <c r="R86" s="15" t="n">
        <v>-0.099201</v>
      </c>
      <c r="S86" s="15" t="n">
        <v>0.66178</v>
      </c>
      <c r="T86" s="15" t="n">
        <v>-1.4062</v>
      </c>
      <c r="U86" s="15" t="n">
        <v>-0.19503</v>
      </c>
      <c r="V86" s="15" t="n">
        <v>-0.49125</v>
      </c>
      <c r="W86" s="15" t="n">
        <v>-0.095434</v>
      </c>
      <c r="X86" s="15" t="n">
        <v>0.77066</v>
      </c>
      <c r="Y86" s="15" t="n">
        <v>-0.48846</v>
      </c>
      <c r="Z86" s="15" t="n">
        <v>0.42027</v>
      </c>
      <c r="AA86" s="15" t="n">
        <v>0.23516</v>
      </c>
      <c r="AB86" s="15" t="n">
        <v>0.61247</v>
      </c>
      <c r="AC86" s="15" t="n">
        <v>-0.56186</v>
      </c>
      <c r="AD86" s="15" t="n">
        <v>-0.42553</v>
      </c>
      <c r="AE86" s="15" t="n">
        <v>0.79853</v>
      </c>
      <c r="AF86" s="15" t="n">
        <v>-0.42234</v>
      </c>
      <c r="AG86" s="15" t="n">
        <v>0.38665</v>
      </c>
      <c r="AH86" s="15" t="n">
        <v>0.028417</v>
      </c>
      <c r="AI86" s="15" t="n">
        <v>-0.073633</v>
      </c>
      <c r="AJ86" s="15" t="n">
        <v>-0.25833</v>
      </c>
      <c r="AK86" s="15" t="n">
        <v>0.41081</v>
      </c>
      <c r="AL86" s="15" t="n">
        <v>-0.89948</v>
      </c>
      <c r="AM86" s="15" t="n">
        <v>-0.35546</v>
      </c>
      <c r="AN86" s="15" t="n">
        <v>0.65624</v>
      </c>
      <c r="AO86" s="15" t="n">
        <v>-0.21842</v>
      </c>
      <c r="AP86" s="15" t="n">
        <v>-0.50432</v>
      </c>
      <c r="AQ86" s="15" t="n">
        <v>-0.03448</v>
      </c>
      <c r="AR86" s="15" t="n">
        <v>-0.68155</v>
      </c>
      <c r="AS86" s="15" t="n">
        <v>-0.028269</v>
      </c>
      <c r="AT86" s="15" t="n">
        <v>0.17986</v>
      </c>
      <c r="AU86" s="15" t="n">
        <v>-0.53796</v>
      </c>
      <c r="AV86" s="15" t="n">
        <v>0.65977</v>
      </c>
      <c r="AW86" s="15" t="n">
        <v>-0.22947</v>
      </c>
      <c r="AX86" s="15" t="n">
        <v>0.75465</v>
      </c>
      <c r="AY86" s="15" t="n">
        <v>0.30714</v>
      </c>
      <c r="AZ86" s="15" t="n">
        <v>1.0469</v>
      </c>
      <c r="BA86" s="15" t="n">
        <v>-0.69659</v>
      </c>
      <c r="BB86" s="15" t="n">
        <v>0.067025</v>
      </c>
      <c r="BC86" s="15" t="n">
        <v>-0.084242</v>
      </c>
      <c r="BD86" s="15" t="n">
        <v>-0.51344</v>
      </c>
      <c r="BE86" s="15" t="n">
        <v>0.6578</v>
      </c>
      <c r="BF86" s="15" t="n">
        <v>0.32135</v>
      </c>
      <c r="BG86" s="15" t="n">
        <v>-1.7944</v>
      </c>
      <c r="BH86" s="15" t="n">
        <v>-0.30657</v>
      </c>
      <c r="BI86" s="15" t="n">
        <v>-0.29338</v>
      </c>
      <c r="BJ86" s="15" t="n">
        <v>0.88102</v>
      </c>
      <c r="BK86" s="15" t="n">
        <v>0.37608</v>
      </c>
      <c r="BL86" s="15" t="n">
        <v>-0.044807</v>
      </c>
      <c r="BM86" s="15" t="n">
        <v>0.45172</v>
      </c>
      <c r="BN86" s="15" t="n">
        <v>0.59551</v>
      </c>
      <c r="BO86" s="15" t="n">
        <v>-0.48428</v>
      </c>
      <c r="BP86" s="15" t="n">
        <v>0.52235</v>
      </c>
      <c r="BQ86" s="15" t="n">
        <v>0.28716</v>
      </c>
      <c r="BR86" s="15" t="n">
        <v>-0.080299</v>
      </c>
      <c r="BS86" s="15" t="n">
        <v>-0.54853</v>
      </c>
      <c r="BT86" s="15" t="n">
        <v>0.2443</v>
      </c>
      <c r="BU86" s="15" t="n">
        <v>-0.22609</v>
      </c>
      <c r="BV86" s="15" t="n">
        <v>0.19638</v>
      </c>
      <c r="BW86" s="15" t="n">
        <v>0.38524</v>
      </c>
      <c r="BX86" s="15" t="n">
        <v>-0.91114</v>
      </c>
      <c r="BY86" s="15" t="n">
        <v>0.27988</v>
      </c>
      <c r="BZ86" s="15" t="n">
        <v>-0.64627</v>
      </c>
      <c r="CA86" s="15" t="n">
        <v>0.68331</v>
      </c>
      <c r="CB86" s="15" t="n">
        <v>0.51791</v>
      </c>
      <c r="CC86" s="15" t="n">
        <v>0.20289</v>
      </c>
      <c r="CD86" s="15" t="n">
        <v>-1.6874</v>
      </c>
      <c r="CE86" s="15" t="n">
        <v>0.45581</v>
      </c>
      <c r="CF86" s="15" t="n">
        <v>1.2844</v>
      </c>
      <c r="CG86" s="15" t="n">
        <v>-0.13428</v>
      </c>
      <c r="CH86" s="15" t="n">
        <v>0.057265</v>
      </c>
      <c r="CI86" s="15" t="n">
        <v>-0.08485</v>
      </c>
      <c r="CJ86" s="15" t="n">
        <v>-0.31822</v>
      </c>
      <c r="CK86" s="15" t="n">
        <v>-0.81618</v>
      </c>
      <c r="CL86" s="15" t="n">
        <v>-0.31573</v>
      </c>
      <c r="CM86" s="15" t="n">
        <v>0.39475</v>
      </c>
      <c r="CN86" s="15" t="n">
        <v>0.10957</v>
      </c>
      <c r="CO86" s="15" t="n">
        <v>-0.60397</v>
      </c>
      <c r="CP86" s="15" t="n">
        <v>0.26146</v>
      </c>
      <c r="CQ86" s="15" t="n">
        <v>0.18209</v>
      </c>
      <c r="CR86" s="15" t="n">
        <v>-1.1608</v>
      </c>
      <c r="CS86" s="15" t="n">
        <v>0.14115</v>
      </c>
      <c r="CT86" s="15" t="n">
        <v>-0.12171</v>
      </c>
      <c r="CU86" s="15" t="n">
        <v>0.25427</v>
      </c>
      <c r="CV86" s="15" t="n">
        <v>0.24128</v>
      </c>
      <c r="CW86" s="15" t="n">
        <v>0.42938</v>
      </c>
      <c r="CX86" s="15" t="n">
        <v>-0.059354</v>
      </c>
      <c r="CY86" s="15" t="n">
        <v>0.07532</v>
      </c>
    </row>
    <row r="87" customFormat="false" ht="15" hidden="false" customHeight="false" outlineLevel="0" collapsed="false">
      <c r="A87" s="4" t="s">
        <v>88</v>
      </c>
      <c r="B87" s="2" t="n">
        <f aca="false">COUNTIF('1.3 TF-IDF coseno'!$M$10:$M$123,A87)</f>
        <v>0</v>
      </c>
      <c r="C87" s="2" t="n">
        <f aca="false">COUNTIF('1.3 TF-IDF coseno'!$N$10:$N$102,A87)</f>
        <v>1</v>
      </c>
      <c r="D87" s="15" t="n">
        <v>-0.54129</v>
      </c>
      <c r="E87" s="15" t="n">
        <v>0.32553</v>
      </c>
      <c r="F87" s="15" t="n">
        <v>-0.23853</v>
      </c>
      <c r="G87" s="15" t="n">
        <v>0.61626</v>
      </c>
      <c r="H87" s="15" t="n">
        <v>0.35105</v>
      </c>
      <c r="I87" s="15" t="n">
        <v>-1.0665</v>
      </c>
      <c r="J87" s="15" t="n">
        <v>-0.25562</v>
      </c>
      <c r="K87" s="15" t="n">
        <v>-0.23319</v>
      </c>
      <c r="L87" s="15" t="n">
        <v>0.16814</v>
      </c>
      <c r="M87" s="15" t="n">
        <v>-0.28456</v>
      </c>
      <c r="N87" s="15" t="n">
        <v>-0.20342</v>
      </c>
      <c r="O87" s="15" t="n">
        <v>-0.23805</v>
      </c>
      <c r="P87" s="15" t="n">
        <v>-0.04135</v>
      </c>
      <c r="Q87" s="15" t="n">
        <v>-0.33823</v>
      </c>
      <c r="R87" s="15" t="n">
        <v>0.014197</v>
      </c>
      <c r="S87" s="15" t="n">
        <v>-0.085975</v>
      </c>
      <c r="T87" s="15" t="n">
        <v>-0.22291</v>
      </c>
      <c r="U87" s="15" t="n">
        <v>-0.23096</v>
      </c>
      <c r="V87" s="15" t="n">
        <v>0.26161</v>
      </c>
      <c r="W87" s="15" t="n">
        <v>0.79258</v>
      </c>
      <c r="X87" s="15" t="n">
        <v>0.23939</v>
      </c>
      <c r="Y87" s="15" t="n">
        <v>-0.077284</v>
      </c>
      <c r="Z87" s="15" t="n">
        <v>-0.58109</v>
      </c>
      <c r="AA87" s="15" t="n">
        <v>-0.076683</v>
      </c>
      <c r="AB87" s="15" t="n">
        <v>-0.52025</v>
      </c>
      <c r="AC87" s="15" t="n">
        <v>-0.55585</v>
      </c>
      <c r="AD87" s="15" t="n">
        <v>0.17822</v>
      </c>
      <c r="AE87" s="15" t="n">
        <v>-0.21759</v>
      </c>
      <c r="AF87" s="15" t="n">
        <v>-0.14635</v>
      </c>
      <c r="AG87" s="15" t="n">
        <v>-0.14072</v>
      </c>
      <c r="AH87" s="15" t="n">
        <v>0.0013372</v>
      </c>
      <c r="AI87" s="15" t="n">
        <v>-0.11471</v>
      </c>
      <c r="AJ87" s="15" t="n">
        <v>-0.085678</v>
      </c>
      <c r="AK87" s="15" t="n">
        <v>-0.09339</v>
      </c>
      <c r="AL87" s="15" t="n">
        <v>0.20927</v>
      </c>
      <c r="AM87" s="15" t="n">
        <v>-0.57903</v>
      </c>
      <c r="AN87" s="15" t="n">
        <v>0.12858</v>
      </c>
      <c r="AO87" s="15" t="n">
        <v>-0.037594</v>
      </c>
      <c r="AP87" s="15" t="n">
        <v>-0.90811</v>
      </c>
      <c r="AQ87" s="15" t="n">
        <v>0.43924</v>
      </c>
      <c r="AR87" s="15" t="n">
        <v>-0.49402</v>
      </c>
      <c r="AS87" s="15" t="n">
        <v>0.0090208</v>
      </c>
      <c r="AT87" s="15" t="n">
        <v>0.57806</v>
      </c>
      <c r="AU87" s="15" t="n">
        <v>-0.02293</v>
      </c>
      <c r="AV87" s="15" t="n">
        <v>0.28906</v>
      </c>
      <c r="AW87" s="15" t="n">
        <v>-0.041594</v>
      </c>
      <c r="AX87" s="15" t="n">
        <v>1.1005</v>
      </c>
      <c r="AY87" s="15" t="n">
        <v>-0.03683</v>
      </c>
      <c r="AZ87" s="15" t="n">
        <v>-0.52222</v>
      </c>
      <c r="BA87" s="15" t="n">
        <v>-0.61605</v>
      </c>
      <c r="BB87" s="15" t="n">
        <v>0.41571</v>
      </c>
      <c r="BC87" s="15" t="n">
        <v>-0.26868</v>
      </c>
      <c r="BD87" s="15" t="n">
        <v>0.17618</v>
      </c>
      <c r="BE87" s="15" t="n">
        <v>0.25234</v>
      </c>
      <c r="BF87" s="15" t="n">
        <v>0.28826</v>
      </c>
      <c r="BG87" s="15" t="n">
        <v>-2.3424</v>
      </c>
      <c r="BH87" s="15" t="n">
        <v>0.19746</v>
      </c>
      <c r="BI87" s="15" t="n">
        <v>-1.0304</v>
      </c>
      <c r="BJ87" s="15" t="n">
        <v>1.8324</v>
      </c>
      <c r="BK87" s="15" t="n">
        <v>0.16789</v>
      </c>
      <c r="BL87" s="15" t="n">
        <v>-0.39643</v>
      </c>
      <c r="BM87" s="15" t="n">
        <v>0.94193</v>
      </c>
      <c r="BN87" s="15" t="n">
        <v>-0.43002</v>
      </c>
      <c r="BO87" s="15" t="n">
        <v>0.45362</v>
      </c>
      <c r="BP87" s="15" t="n">
        <v>1.1464</v>
      </c>
      <c r="BQ87" s="15" t="n">
        <v>-0.4527</v>
      </c>
      <c r="BR87" s="15" t="n">
        <v>0.19418</v>
      </c>
      <c r="BS87" s="15" t="n">
        <v>-0.29756</v>
      </c>
      <c r="BT87" s="15" t="n">
        <v>0.79337</v>
      </c>
      <c r="BU87" s="15" t="n">
        <v>-0.10044</v>
      </c>
      <c r="BV87" s="15" t="n">
        <v>0.14009</v>
      </c>
      <c r="BW87" s="15" t="n">
        <v>-0.1161</v>
      </c>
      <c r="BX87" s="15" t="n">
        <v>0.13423</v>
      </c>
      <c r="BY87" s="15" t="n">
        <v>0.1335</v>
      </c>
      <c r="BZ87" s="15" t="n">
        <v>0.65787</v>
      </c>
      <c r="CA87" s="15" t="n">
        <v>-0.30425</v>
      </c>
      <c r="CB87" s="15" t="n">
        <v>-0.19862</v>
      </c>
      <c r="CC87" s="15" t="n">
        <v>-0.37778</v>
      </c>
      <c r="CD87" s="15" t="n">
        <v>-0.70068</v>
      </c>
      <c r="CE87" s="15" t="n">
        <v>0.40106</v>
      </c>
      <c r="CF87" s="15" t="n">
        <v>0.42414</v>
      </c>
      <c r="CG87" s="15" t="n">
        <v>-0.24821</v>
      </c>
      <c r="CH87" s="15" t="n">
        <v>-0.059179</v>
      </c>
      <c r="CI87" s="15" t="n">
        <v>0.013837</v>
      </c>
      <c r="CJ87" s="15" t="n">
        <v>-1.4436</v>
      </c>
      <c r="CK87" s="15" t="n">
        <v>-0.30126</v>
      </c>
      <c r="CL87" s="15" t="n">
        <v>0.49858</v>
      </c>
      <c r="CM87" s="15" t="n">
        <v>-0.5288</v>
      </c>
      <c r="CN87" s="15" t="n">
        <v>-0.36781</v>
      </c>
      <c r="CO87" s="15" t="n">
        <v>-0.505</v>
      </c>
      <c r="CP87" s="15" t="n">
        <v>-0.39891</v>
      </c>
      <c r="CQ87" s="15" t="n">
        <v>-0.41999</v>
      </c>
      <c r="CR87" s="15" t="n">
        <v>-0.46228</v>
      </c>
      <c r="CS87" s="15" t="n">
        <v>-0.22934</v>
      </c>
      <c r="CT87" s="15" t="n">
        <v>-0.76959</v>
      </c>
      <c r="CU87" s="15" t="n">
        <v>-0.0052898</v>
      </c>
      <c r="CV87" s="15" t="n">
        <v>0.10112</v>
      </c>
      <c r="CW87" s="15" t="n">
        <v>-0.71972</v>
      </c>
      <c r="CX87" s="15" t="n">
        <v>0.68402</v>
      </c>
      <c r="CY87" s="15" t="n">
        <v>0.09544</v>
      </c>
    </row>
    <row r="88" customFormat="false" ht="15" hidden="false" customHeight="false" outlineLevel="0" collapsed="false">
      <c r="A88" s="4" t="s">
        <v>90</v>
      </c>
      <c r="B88" s="2" t="n">
        <f aca="false">COUNTIF('1.3 TF-IDF coseno'!$M$10:$M$123,A88)</f>
        <v>0</v>
      </c>
      <c r="C88" s="2" t="n">
        <f aca="false">COUNTIF('1.3 TF-IDF coseno'!$N$10:$N$102,A88)</f>
        <v>2</v>
      </c>
      <c r="D88" s="15" t="n">
        <v>0.095113</v>
      </c>
      <c r="E88" s="15" t="n">
        <v>0.2282</v>
      </c>
      <c r="F88" s="15" t="n">
        <v>0.62518</v>
      </c>
      <c r="G88" s="15" t="n">
        <v>-0.05216</v>
      </c>
      <c r="H88" s="15" t="n">
        <v>-0.16651</v>
      </c>
      <c r="I88" s="15" t="n">
        <v>-0.83603</v>
      </c>
      <c r="J88" s="15" t="n">
        <v>-1.2014</v>
      </c>
      <c r="K88" s="15" t="n">
        <v>-0.97341</v>
      </c>
      <c r="L88" s="15" t="n">
        <v>0.20686</v>
      </c>
      <c r="M88" s="15" t="n">
        <v>-0.41775</v>
      </c>
      <c r="N88" s="15" t="n">
        <v>-0.63811</v>
      </c>
      <c r="O88" s="15" t="n">
        <v>0.2269</v>
      </c>
      <c r="P88" s="15" t="n">
        <v>0.38127</v>
      </c>
      <c r="Q88" s="15" t="n">
        <v>-0.49673</v>
      </c>
      <c r="R88" s="15" t="n">
        <v>-0.41479</v>
      </c>
      <c r="S88" s="15" t="n">
        <v>-0.1289</v>
      </c>
      <c r="T88" s="15" t="n">
        <v>-0.97358</v>
      </c>
      <c r="U88" s="15" t="n">
        <v>0.29351</v>
      </c>
      <c r="V88" s="15" t="n">
        <v>-0.41565</v>
      </c>
      <c r="W88" s="15" t="n">
        <v>-0.47555</v>
      </c>
      <c r="X88" s="15" t="n">
        <v>-0.14967</v>
      </c>
      <c r="Y88" s="15" t="n">
        <v>-0.44492</v>
      </c>
      <c r="Z88" s="15" t="n">
        <v>0.25574</v>
      </c>
      <c r="AA88" s="15" t="n">
        <v>0.33596</v>
      </c>
      <c r="AB88" s="15" t="n">
        <v>-0.38054</v>
      </c>
      <c r="AC88" s="15" t="n">
        <v>-0.13373</v>
      </c>
      <c r="AD88" s="15" t="n">
        <v>-0.060149</v>
      </c>
      <c r="AE88" s="15" t="n">
        <v>-0.20911</v>
      </c>
      <c r="AF88" s="15" t="n">
        <v>-0.7269</v>
      </c>
      <c r="AG88" s="15" t="n">
        <v>0.71948</v>
      </c>
      <c r="AH88" s="15" t="n">
        <v>-0.023883</v>
      </c>
      <c r="AI88" s="15" t="n">
        <v>-0.13251</v>
      </c>
      <c r="AJ88" s="15" t="n">
        <v>-0.18984</v>
      </c>
      <c r="AK88" s="15" t="n">
        <v>0.48458</v>
      </c>
      <c r="AL88" s="15" t="n">
        <v>-0.60649</v>
      </c>
      <c r="AM88" s="15" t="n">
        <v>0.36628</v>
      </c>
      <c r="AN88" s="15" t="n">
        <v>0.64414</v>
      </c>
      <c r="AO88" s="15" t="n">
        <v>0.094348</v>
      </c>
      <c r="AP88" s="15" t="n">
        <v>-0.10905</v>
      </c>
      <c r="AQ88" s="15" t="n">
        <v>0.099787</v>
      </c>
      <c r="AR88" s="15" t="n">
        <v>-0.89985</v>
      </c>
      <c r="AS88" s="15" t="n">
        <v>-0.75564</v>
      </c>
      <c r="AT88" s="15" t="n">
        <v>0.28255</v>
      </c>
      <c r="AU88" s="15" t="n">
        <v>-0.10054</v>
      </c>
      <c r="AV88" s="15" t="n">
        <v>0.42923</v>
      </c>
      <c r="AW88" s="15" t="n">
        <v>-0.18178</v>
      </c>
      <c r="AX88" s="15" t="n">
        <v>0.33471</v>
      </c>
      <c r="AY88" s="15" t="n">
        <v>0.096588</v>
      </c>
      <c r="AZ88" s="15" t="n">
        <v>-0.066418</v>
      </c>
      <c r="BA88" s="15" t="n">
        <v>-1.2231</v>
      </c>
      <c r="BB88" s="15" t="n">
        <v>0.69537</v>
      </c>
      <c r="BC88" s="15" t="n">
        <v>0.18291</v>
      </c>
      <c r="BD88" s="15" t="n">
        <v>-0.31339</v>
      </c>
      <c r="BE88" s="15" t="n">
        <v>0.84609</v>
      </c>
      <c r="BF88" s="15" t="n">
        <v>0.26039</v>
      </c>
      <c r="BG88" s="15" t="n">
        <v>-1.8737</v>
      </c>
      <c r="BH88" s="15" t="n">
        <v>0.29415</v>
      </c>
      <c r="BI88" s="15" t="n">
        <v>-0.72511</v>
      </c>
      <c r="BJ88" s="15" t="n">
        <v>1.3553</v>
      </c>
      <c r="BK88" s="15" t="n">
        <v>0.18772</v>
      </c>
      <c r="BL88" s="15" t="n">
        <v>0.16081</v>
      </c>
      <c r="BM88" s="15" t="n">
        <v>0.34173</v>
      </c>
      <c r="BN88" s="15" t="n">
        <v>0.087085</v>
      </c>
      <c r="BO88" s="15" t="n">
        <v>-0.081576</v>
      </c>
      <c r="BP88" s="15" t="n">
        <v>0.62491</v>
      </c>
      <c r="BQ88" s="15" t="n">
        <v>0.18186</v>
      </c>
      <c r="BR88" s="15" t="n">
        <v>0.11961</v>
      </c>
      <c r="BS88" s="15" t="n">
        <v>-0.12458</v>
      </c>
      <c r="BT88" s="15" t="n">
        <v>0.5439</v>
      </c>
      <c r="BU88" s="15" t="n">
        <v>-0.16469</v>
      </c>
      <c r="BV88" s="15" t="n">
        <v>-0.13596</v>
      </c>
      <c r="BW88" s="15" t="n">
        <v>0.19071</v>
      </c>
      <c r="BX88" s="15" t="n">
        <v>-0.59824</v>
      </c>
      <c r="BY88" s="15" t="n">
        <v>-0.28696</v>
      </c>
      <c r="BZ88" s="15" t="n">
        <v>-0.029535</v>
      </c>
      <c r="CA88" s="15" t="n">
        <v>0.53504</v>
      </c>
      <c r="CB88" s="15" t="n">
        <v>0.26915</v>
      </c>
      <c r="CC88" s="15" t="n">
        <v>0.27908</v>
      </c>
      <c r="CD88" s="15" t="n">
        <v>-1.297</v>
      </c>
      <c r="CE88" s="15" t="n">
        <v>0.33874</v>
      </c>
      <c r="CF88" s="15" t="n">
        <v>0.61549</v>
      </c>
      <c r="CG88" s="15" t="n">
        <v>-0.33209</v>
      </c>
      <c r="CH88" s="15" t="n">
        <v>0.15438</v>
      </c>
      <c r="CI88" s="15" t="n">
        <v>0.10769</v>
      </c>
      <c r="CJ88" s="15" t="n">
        <v>-1.6022</v>
      </c>
      <c r="CK88" s="15" t="n">
        <v>-0.74259</v>
      </c>
      <c r="CL88" s="15" t="n">
        <v>-0.59892</v>
      </c>
      <c r="CM88" s="15" t="n">
        <v>0.52433</v>
      </c>
      <c r="CN88" s="15" t="n">
        <v>-0.47208</v>
      </c>
      <c r="CO88" s="15" t="n">
        <v>-0.35708</v>
      </c>
      <c r="CP88" s="15" t="n">
        <v>-0.59821</v>
      </c>
      <c r="CQ88" s="15" t="n">
        <v>0.21749</v>
      </c>
      <c r="CR88" s="15" t="n">
        <v>-0.90931</v>
      </c>
      <c r="CS88" s="15" t="n">
        <v>-0.30973</v>
      </c>
      <c r="CT88" s="15" t="n">
        <v>-0.32058</v>
      </c>
      <c r="CU88" s="15" t="n">
        <v>0.80162</v>
      </c>
      <c r="CV88" s="15" t="n">
        <v>-0.10301</v>
      </c>
      <c r="CW88" s="15" t="n">
        <v>-0.41456</v>
      </c>
      <c r="CX88" s="15" t="n">
        <v>0.52528</v>
      </c>
      <c r="CY88" s="15" t="n">
        <v>0.38736</v>
      </c>
    </row>
    <row r="89" customFormat="false" ht="15" hidden="false" customHeight="false" outlineLevel="0" collapsed="false">
      <c r="A89" s="4" t="s">
        <v>91</v>
      </c>
      <c r="B89" s="2" t="n">
        <f aca="false">COUNTIF('1.3 TF-IDF coseno'!$M$10:$M$123,A89)</f>
        <v>0</v>
      </c>
      <c r="C89" s="2" t="n">
        <f aca="false">COUNTIF('1.3 TF-IDF coseno'!$N$10:$N$102,A89)</f>
        <v>2</v>
      </c>
      <c r="D89" s="15" t="n">
        <v>0.23129</v>
      </c>
      <c r="E89" s="15" t="n">
        <v>1.7016</v>
      </c>
      <c r="F89" s="15" t="n">
        <v>-1.3211</v>
      </c>
      <c r="G89" s="15" t="n">
        <v>0.67554</v>
      </c>
      <c r="H89" s="15" t="n">
        <v>-0.89007</v>
      </c>
      <c r="I89" s="15" t="n">
        <v>-0.22137</v>
      </c>
      <c r="J89" s="15" t="n">
        <v>-0.37062</v>
      </c>
      <c r="K89" s="15" t="n">
        <v>0.7972</v>
      </c>
      <c r="L89" s="15" t="n">
        <v>-0.15356</v>
      </c>
      <c r="M89" s="15" t="n">
        <v>0.73832</v>
      </c>
      <c r="N89" s="15" t="n">
        <v>0.16461</v>
      </c>
      <c r="O89" s="15" t="n">
        <v>0.015987</v>
      </c>
      <c r="P89" s="15" t="n">
        <v>0.075641</v>
      </c>
      <c r="Q89" s="15" t="n">
        <v>0.99505</v>
      </c>
      <c r="R89" s="15" t="n">
        <v>0.7872</v>
      </c>
      <c r="S89" s="15" t="n">
        <v>-0.61504</v>
      </c>
      <c r="T89" s="15" t="n">
        <v>0.41672</v>
      </c>
      <c r="U89" s="15" t="n">
        <v>0.058861</v>
      </c>
      <c r="V89" s="15" t="n">
        <v>0.43118</v>
      </c>
      <c r="W89" s="15" t="n">
        <v>0.37814</v>
      </c>
      <c r="X89" s="15" t="n">
        <v>-0.82889</v>
      </c>
      <c r="Y89" s="15" t="n">
        <v>-0.30622</v>
      </c>
      <c r="Z89" s="15" t="n">
        <v>0.15624</v>
      </c>
      <c r="AA89" s="15" t="n">
        <v>0.3197</v>
      </c>
      <c r="AB89" s="15" t="n">
        <v>-0.78468</v>
      </c>
      <c r="AC89" s="15" t="n">
        <v>-0.86661</v>
      </c>
      <c r="AD89" s="15" t="n">
        <v>1.6028</v>
      </c>
      <c r="AE89" s="15" t="n">
        <v>-0.4563</v>
      </c>
      <c r="AF89" s="15" t="n">
        <v>-0.59177</v>
      </c>
      <c r="AG89" s="15" t="n">
        <v>-0.1239</v>
      </c>
      <c r="AH89" s="15" t="n">
        <v>-0.92198</v>
      </c>
      <c r="AI89" s="15" t="n">
        <v>0.13536</v>
      </c>
      <c r="AJ89" s="15" t="n">
        <v>0.00059001</v>
      </c>
      <c r="AK89" s="15" t="n">
        <v>-0.65171</v>
      </c>
      <c r="AL89" s="15" t="n">
        <v>-0.44396</v>
      </c>
      <c r="AM89" s="15" t="n">
        <v>0.24526</v>
      </c>
      <c r="AN89" s="15" t="n">
        <v>-0.58973</v>
      </c>
      <c r="AO89" s="15" t="n">
        <v>0.2332</v>
      </c>
      <c r="AP89" s="15" t="n">
        <v>-0.46757</v>
      </c>
      <c r="AQ89" s="15" t="n">
        <v>0.401</v>
      </c>
      <c r="AR89" s="15" t="n">
        <v>0.030234</v>
      </c>
      <c r="AS89" s="15" t="n">
        <v>0.12191</v>
      </c>
      <c r="AT89" s="15" t="n">
        <v>-0.066182</v>
      </c>
      <c r="AU89" s="15" t="n">
        <v>0.67559</v>
      </c>
      <c r="AV89" s="15" t="n">
        <v>0.74036</v>
      </c>
      <c r="AW89" s="15" t="n">
        <v>0.016376</v>
      </c>
      <c r="AX89" s="15" t="n">
        <v>0.51588</v>
      </c>
      <c r="AY89" s="15" t="n">
        <v>0.97463</v>
      </c>
      <c r="AZ89" s="15" t="n">
        <v>-0.73259</v>
      </c>
      <c r="BA89" s="15" t="n">
        <v>-0.60373</v>
      </c>
      <c r="BB89" s="15" t="n">
        <v>-1.1156</v>
      </c>
      <c r="BC89" s="15" t="n">
        <v>0.14062</v>
      </c>
      <c r="BD89" s="15" t="n">
        <v>-0.36828</v>
      </c>
      <c r="BE89" s="15" t="n">
        <v>-0.40667</v>
      </c>
      <c r="BF89" s="15" t="n">
        <v>-0.4198</v>
      </c>
      <c r="BG89" s="15" t="n">
        <v>-0.21036</v>
      </c>
      <c r="BH89" s="15" t="n">
        <v>-0.18434</v>
      </c>
      <c r="BI89" s="15" t="n">
        <v>-0.78642</v>
      </c>
      <c r="BJ89" s="15" t="n">
        <v>1.1146</v>
      </c>
      <c r="BK89" s="15" t="n">
        <v>1.1587</v>
      </c>
      <c r="BL89" s="15" t="n">
        <v>-0.39683</v>
      </c>
      <c r="BM89" s="15" t="n">
        <v>-0.36744</v>
      </c>
      <c r="BN89" s="15" t="n">
        <v>0.32358</v>
      </c>
      <c r="BO89" s="15" t="n">
        <v>0.47932</v>
      </c>
      <c r="BP89" s="15" t="n">
        <v>0.049751</v>
      </c>
      <c r="BQ89" s="15" t="n">
        <v>0.21975</v>
      </c>
      <c r="BR89" s="15" t="n">
        <v>0.29842</v>
      </c>
      <c r="BS89" s="15" t="n">
        <v>-1.0573</v>
      </c>
      <c r="BT89" s="15" t="n">
        <v>0.45293</v>
      </c>
      <c r="BU89" s="15" t="n">
        <v>-0.57544</v>
      </c>
      <c r="BV89" s="15" t="n">
        <v>-0.42443</v>
      </c>
      <c r="BW89" s="15" t="n">
        <v>-0.33911</v>
      </c>
      <c r="BX89" s="15" t="n">
        <v>0.71566</v>
      </c>
      <c r="BY89" s="15" t="n">
        <v>0.0088862</v>
      </c>
      <c r="BZ89" s="15" t="n">
        <v>-0.099926</v>
      </c>
      <c r="CA89" s="15" t="n">
        <v>-0.17024</v>
      </c>
      <c r="CB89" s="15" t="n">
        <v>-0.38891</v>
      </c>
      <c r="CC89" s="15" t="n">
        <v>-0.077381</v>
      </c>
      <c r="CD89" s="15" t="n">
        <v>0.27682</v>
      </c>
      <c r="CE89" s="15" t="n">
        <v>-1.7939</v>
      </c>
      <c r="CF89" s="15" t="n">
        <v>0.16313</v>
      </c>
      <c r="CG89" s="15" t="n">
        <v>0.94189</v>
      </c>
      <c r="CH89" s="15" t="n">
        <v>-0.12258</v>
      </c>
      <c r="CI89" s="15" t="n">
        <v>-0.34821</v>
      </c>
      <c r="CJ89" s="15" t="n">
        <v>-0.2191</v>
      </c>
      <c r="CK89" s="15" t="n">
        <v>-0.021265</v>
      </c>
      <c r="CL89" s="15" t="n">
        <v>0.094364</v>
      </c>
      <c r="CM89" s="15" t="n">
        <v>-0.36222</v>
      </c>
      <c r="CN89" s="15" t="n">
        <v>0.16373</v>
      </c>
      <c r="CO89" s="15" t="n">
        <v>-0.10686</v>
      </c>
      <c r="CP89" s="15" t="n">
        <v>0.36971</v>
      </c>
      <c r="CQ89" s="15" t="n">
        <v>-0.47503</v>
      </c>
      <c r="CR89" s="15" t="n">
        <v>-0.42888</v>
      </c>
      <c r="CS89" s="15" t="n">
        <v>0.30167</v>
      </c>
      <c r="CT89" s="15" t="n">
        <v>-0.38839</v>
      </c>
      <c r="CU89" s="15" t="n">
        <v>0.27753</v>
      </c>
      <c r="CV89" s="15" t="n">
        <v>0.067986</v>
      </c>
      <c r="CW89" s="15" t="n">
        <v>-1.3817</v>
      </c>
      <c r="CX89" s="15" t="n">
        <v>0.30389</v>
      </c>
      <c r="CY89" s="15" t="n">
        <v>-0.27616</v>
      </c>
    </row>
    <row r="90" customFormat="false" ht="15" hidden="false" customHeight="false" outlineLevel="0" collapsed="false">
      <c r="A90" s="4" t="s">
        <v>93</v>
      </c>
      <c r="B90" s="2" t="n">
        <f aca="false">COUNTIF('1.3 TF-IDF coseno'!$M$10:$M$123,A90)</f>
        <v>0</v>
      </c>
      <c r="C90" s="2" t="n">
        <f aca="false">COUNTIF('1.3 TF-IDF coseno'!$N$10:$N$102,A90)</f>
        <v>1</v>
      </c>
      <c r="D90" s="15" t="n">
        <v>-0.45585</v>
      </c>
      <c r="E90" s="15" t="n">
        <v>0.40091</v>
      </c>
      <c r="F90" s="15" t="n">
        <v>0.41425</v>
      </c>
      <c r="G90" s="15" t="n">
        <v>0.37752</v>
      </c>
      <c r="H90" s="15" t="n">
        <v>0.76195</v>
      </c>
      <c r="I90" s="15" t="n">
        <v>0.41664</v>
      </c>
      <c r="J90" s="15" t="n">
        <v>0.048092</v>
      </c>
      <c r="K90" s="15" t="n">
        <v>-0.12029</v>
      </c>
      <c r="L90" s="15" t="n">
        <v>0.28752</v>
      </c>
      <c r="M90" s="15" t="n">
        <v>-0.18018</v>
      </c>
      <c r="N90" s="15" t="n">
        <v>-0.15548</v>
      </c>
      <c r="O90" s="15" t="n">
        <v>0.00027409</v>
      </c>
      <c r="P90" s="15" t="n">
        <v>0.96334</v>
      </c>
      <c r="Q90" s="15" t="n">
        <v>-0.46699</v>
      </c>
      <c r="R90" s="15" t="n">
        <v>-0.1433</v>
      </c>
      <c r="S90" s="15" t="n">
        <v>-0.69225</v>
      </c>
      <c r="T90" s="15" t="n">
        <v>-0.24511</v>
      </c>
      <c r="U90" s="15" t="n">
        <v>0.045716</v>
      </c>
      <c r="V90" s="15" t="n">
        <v>0.28383</v>
      </c>
      <c r="W90" s="15" t="n">
        <v>-0.24355</v>
      </c>
      <c r="X90" s="15" t="n">
        <v>0.82565</v>
      </c>
      <c r="Y90" s="15" t="n">
        <v>0.21634</v>
      </c>
      <c r="Z90" s="15" t="n">
        <v>0.61822</v>
      </c>
      <c r="AA90" s="15" t="n">
        <v>-0.07064</v>
      </c>
      <c r="AB90" s="15" t="n">
        <v>-0.38729</v>
      </c>
      <c r="AC90" s="15" t="n">
        <v>-0.89306</v>
      </c>
      <c r="AD90" s="15" t="n">
        <v>-0.31754</v>
      </c>
      <c r="AE90" s="15" t="n">
        <v>-0.27016</v>
      </c>
      <c r="AF90" s="15" t="n">
        <v>-0.75341</v>
      </c>
      <c r="AG90" s="15" t="n">
        <v>0.096657</v>
      </c>
      <c r="AH90" s="15" t="n">
        <v>0.15006</v>
      </c>
      <c r="AI90" s="15" t="n">
        <v>-0.072334</v>
      </c>
      <c r="AJ90" s="15" t="n">
        <v>-0.67364</v>
      </c>
      <c r="AK90" s="15" t="n">
        <v>-0.37215</v>
      </c>
      <c r="AL90" s="15" t="n">
        <v>-0.13248</v>
      </c>
      <c r="AM90" s="15" t="n">
        <v>-0.014981</v>
      </c>
      <c r="AN90" s="15" t="n">
        <v>0.49398</v>
      </c>
      <c r="AO90" s="15" t="n">
        <v>-0.012982</v>
      </c>
      <c r="AP90" s="15" t="n">
        <v>-0.56305</v>
      </c>
      <c r="AQ90" s="15" t="n">
        <v>-0.10018</v>
      </c>
      <c r="AR90" s="15" t="n">
        <v>-0.48355</v>
      </c>
      <c r="AS90" s="15" t="n">
        <v>-0.21402</v>
      </c>
      <c r="AT90" s="15" t="n">
        <v>0.15661</v>
      </c>
      <c r="AU90" s="15" t="n">
        <v>0.7137</v>
      </c>
      <c r="AV90" s="15" t="n">
        <v>0.45825</v>
      </c>
      <c r="AW90" s="15" t="n">
        <v>-0.98956</v>
      </c>
      <c r="AX90" s="15" t="n">
        <v>0.62004</v>
      </c>
      <c r="AY90" s="15" t="n">
        <v>0.71257</v>
      </c>
      <c r="AZ90" s="15" t="n">
        <v>0.14877</v>
      </c>
      <c r="BA90" s="15" t="n">
        <v>-0.85274</v>
      </c>
      <c r="BB90" s="15" t="n">
        <v>-0.10922</v>
      </c>
      <c r="BC90" s="15" t="n">
        <v>-0.24337</v>
      </c>
      <c r="BD90" s="15" t="n">
        <v>0.61317</v>
      </c>
      <c r="BE90" s="15" t="n">
        <v>0.54671</v>
      </c>
      <c r="BF90" s="15" t="n">
        <v>0.25856</v>
      </c>
      <c r="BG90" s="15" t="n">
        <v>-2.2534</v>
      </c>
      <c r="BH90" s="15" t="n">
        <v>-0.40658</v>
      </c>
      <c r="BI90" s="15" t="n">
        <v>-0.7084</v>
      </c>
      <c r="BJ90" s="15" t="n">
        <v>1.5124</v>
      </c>
      <c r="BK90" s="15" t="n">
        <v>-0.16823</v>
      </c>
      <c r="BL90" s="15" t="n">
        <v>0.29022</v>
      </c>
      <c r="BM90" s="15" t="n">
        <v>-0.0078292</v>
      </c>
      <c r="BN90" s="15" t="n">
        <v>0.50721</v>
      </c>
      <c r="BO90" s="15" t="n">
        <v>-0.34958</v>
      </c>
      <c r="BP90" s="15" t="n">
        <v>0.90688</v>
      </c>
      <c r="BQ90" s="15" t="n">
        <v>-0.4318</v>
      </c>
      <c r="BR90" s="15" t="n">
        <v>0.094292</v>
      </c>
      <c r="BS90" s="15" t="n">
        <v>-0.59592</v>
      </c>
      <c r="BT90" s="15" t="n">
        <v>0.048161</v>
      </c>
      <c r="BU90" s="15" t="n">
        <v>0.085985</v>
      </c>
      <c r="BV90" s="15" t="n">
        <v>0.34261</v>
      </c>
      <c r="BW90" s="15" t="n">
        <v>0.0029009</v>
      </c>
      <c r="BX90" s="15" t="n">
        <v>-0.29629</v>
      </c>
      <c r="BY90" s="15" t="n">
        <v>0.17498</v>
      </c>
      <c r="BZ90" s="15" t="n">
        <v>-0.21265</v>
      </c>
      <c r="CA90" s="15" t="n">
        <v>-0.62731</v>
      </c>
      <c r="CB90" s="15" t="n">
        <v>-0.46032</v>
      </c>
      <c r="CC90" s="15" t="n">
        <v>0.47691</v>
      </c>
      <c r="CD90" s="15" t="n">
        <v>-0.59682</v>
      </c>
      <c r="CE90" s="15" t="n">
        <v>0.15291</v>
      </c>
      <c r="CF90" s="15" t="n">
        <v>0.30704</v>
      </c>
      <c r="CG90" s="15" t="n">
        <v>0.37452</v>
      </c>
      <c r="CH90" s="15" t="n">
        <v>-0.58467</v>
      </c>
      <c r="CI90" s="15" t="n">
        <v>-0.017619</v>
      </c>
      <c r="CJ90" s="15" t="n">
        <v>-1.618</v>
      </c>
      <c r="CK90" s="15" t="n">
        <v>-0.47647</v>
      </c>
      <c r="CL90" s="15" t="n">
        <v>-0.34692</v>
      </c>
      <c r="CM90" s="15" t="n">
        <v>0.041646</v>
      </c>
      <c r="CN90" s="15" t="n">
        <v>-0.89429</v>
      </c>
      <c r="CO90" s="15" t="n">
        <v>-0.14559</v>
      </c>
      <c r="CP90" s="15" t="n">
        <v>-0.37733</v>
      </c>
      <c r="CQ90" s="15" t="n">
        <v>-0.38945</v>
      </c>
      <c r="CR90" s="15" t="n">
        <v>-0.61691</v>
      </c>
      <c r="CS90" s="15" t="n">
        <v>0.53744</v>
      </c>
      <c r="CT90" s="15" t="n">
        <v>-0.42333</v>
      </c>
      <c r="CU90" s="15" t="n">
        <v>0.10283</v>
      </c>
      <c r="CV90" s="15" t="n">
        <v>-0.36046</v>
      </c>
      <c r="CW90" s="15" t="n">
        <v>-0.155</v>
      </c>
      <c r="CX90" s="15" t="n">
        <v>0.17882</v>
      </c>
      <c r="CY90" s="15" t="n">
        <v>-0.094725</v>
      </c>
    </row>
    <row r="91" customFormat="false" ht="15" hidden="false" customHeight="false" outlineLevel="0" collapsed="false">
      <c r="A91" s="4" t="s">
        <v>94</v>
      </c>
      <c r="B91" s="2" t="n">
        <f aca="false">COUNTIF('1.3 TF-IDF coseno'!$M$10:$M$123,A91)</f>
        <v>0</v>
      </c>
      <c r="C91" s="2" t="n">
        <f aca="false">COUNTIF('1.3 TF-IDF coseno'!$N$10:$N$102,A91)</f>
        <v>1</v>
      </c>
      <c r="D91" s="15" t="n">
        <v>0.15043</v>
      </c>
      <c r="E91" s="15" t="n">
        <v>0.5612</v>
      </c>
      <c r="F91" s="15" t="n">
        <v>0.55967</v>
      </c>
      <c r="G91" s="15" t="n">
        <v>0.44221</v>
      </c>
      <c r="H91" s="15" t="n">
        <v>0.049538</v>
      </c>
      <c r="I91" s="15" t="n">
        <v>0.73637</v>
      </c>
      <c r="J91" s="15" t="n">
        <v>-0.079924</v>
      </c>
      <c r="K91" s="15" t="n">
        <v>-0.0676</v>
      </c>
      <c r="L91" s="15" t="n">
        <v>-0.31338</v>
      </c>
      <c r="M91" s="15" t="n">
        <v>-0.30682</v>
      </c>
      <c r="N91" s="15" t="n">
        <v>0.1981</v>
      </c>
      <c r="O91" s="15" t="n">
        <v>0.18589</v>
      </c>
      <c r="P91" s="15" t="n">
        <v>0.89501</v>
      </c>
      <c r="Q91" s="15" t="n">
        <v>-0.33962</v>
      </c>
      <c r="R91" s="15" t="n">
        <v>-0.21366</v>
      </c>
      <c r="S91" s="15" t="n">
        <v>-0.9577</v>
      </c>
      <c r="T91" s="15" t="n">
        <v>-0.32029</v>
      </c>
      <c r="U91" s="15" t="n">
        <v>0.35355</v>
      </c>
      <c r="V91" s="15" t="n">
        <v>0.11831</v>
      </c>
      <c r="W91" s="15" t="n">
        <v>-0.24391</v>
      </c>
      <c r="X91" s="15" t="n">
        <v>0.49476</v>
      </c>
      <c r="Y91" s="15" t="n">
        <v>-0.063309</v>
      </c>
      <c r="Z91" s="15" t="n">
        <v>-0.046469</v>
      </c>
      <c r="AA91" s="15" t="n">
        <v>0.031924</v>
      </c>
      <c r="AB91" s="15" t="n">
        <v>0.39565</v>
      </c>
      <c r="AC91" s="15" t="n">
        <v>-0.46477</v>
      </c>
      <c r="AD91" s="15" t="n">
        <v>0.43634</v>
      </c>
      <c r="AE91" s="15" t="n">
        <v>0.10862</v>
      </c>
      <c r="AF91" s="15" t="n">
        <v>-1.2233</v>
      </c>
      <c r="AG91" s="15" t="n">
        <v>0.25749</v>
      </c>
      <c r="AH91" s="15" t="n">
        <v>-0.75836</v>
      </c>
      <c r="AI91" s="15" t="n">
        <v>-0.20248</v>
      </c>
      <c r="AJ91" s="15" t="n">
        <v>0.42044</v>
      </c>
      <c r="AK91" s="15" t="n">
        <v>-0.09969</v>
      </c>
      <c r="AL91" s="15" t="n">
        <v>-0.58434</v>
      </c>
      <c r="AM91" s="15" t="n">
        <v>0.085926</v>
      </c>
      <c r="AN91" s="15" t="n">
        <v>0.37359</v>
      </c>
      <c r="AO91" s="15" t="n">
        <v>-0.40365</v>
      </c>
      <c r="AP91" s="15" t="n">
        <v>-0.34398</v>
      </c>
      <c r="AQ91" s="15" t="n">
        <v>0.0011452</v>
      </c>
      <c r="AR91" s="15" t="n">
        <v>-0.1937</v>
      </c>
      <c r="AS91" s="15" t="n">
        <v>0.020223</v>
      </c>
      <c r="AT91" s="15" t="n">
        <v>0.23781</v>
      </c>
      <c r="AU91" s="15" t="n">
        <v>0.32619</v>
      </c>
      <c r="AV91" s="15" t="n">
        <v>-0.73739</v>
      </c>
      <c r="AW91" s="15" t="n">
        <v>-0.59356</v>
      </c>
      <c r="AX91" s="15" t="n">
        <v>0.012237</v>
      </c>
      <c r="AY91" s="15" t="n">
        <v>0.20233</v>
      </c>
      <c r="AZ91" s="15" t="n">
        <v>0.53208</v>
      </c>
      <c r="BA91" s="15" t="n">
        <v>0.23537</v>
      </c>
      <c r="BB91" s="15" t="n">
        <v>-0.16627</v>
      </c>
      <c r="BC91" s="15" t="n">
        <v>-0.029727</v>
      </c>
      <c r="BD91" s="15" t="n">
        <v>0.32633</v>
      </c>
      <c r="BE91" s="15" t="n">
        <v>0.93105</v>
      </c>
      <c r="BF91" s="15" t="n">
        <v>0.21645</v>
      </c>
      <c r="BG91" s="15" t="n">
        <v>-0.18075</v>
      </c>
      <c r="BH91" s="15" t="n">
        <v>-0.036226</v>
      </c>
      <c r="BI91" s="15" t="n">
        <v>0.01058</v>
      </c>
      <c r="BJ91" s="15" t="n">
        <v>-0.5932</v>
      </c>
      <c r="BK91" s="15" t="n">
        <v>0.18509</v>
      </c>
      <c r="BL91" s="15" t="n">
        <v>-0.1645</v>
      </c>
      <c r="BM91" s="15" t="n">
        <v>0.49127</v>
      </c>
      <c r="BN91" s="15" t="n">
        <v>0.60343</v>
      </c>
      <c r="BO91" s="15" t="n">
        <v>-0.41408</v>
      </c>
      <c r="BP91" s="15" t="n">
        <v>0.6536</v>
      </c>
      <c r="BQ91" s="15" t="n">
        <v>-0.028939</v>
      </c>
      <c r="BR91" s="15" t="n">
        <v>0.19317</v>
      </c>
      <c r="BS91" s="15" t="n">
        <v>-0.59741</v>
      </c>
      <c r="BT91" s="15" t="n">
        <v>0.089308</v>
      </c>
      <c r="BU91" s="15" t="n">
        <v>0.24202</v>
      </c>
      <c r="BV91" s="15" t="n">
        <v>0.31988</v>
      </c>
      <c r="BW91" s="15" t="n">
        <v>-0.22374</v>
      </c>
      <c r="BX91" s="15" t="n">
        <v>0.175</v>
      </c>
      <c r="BY91" s="15" t="n">
        <v>0.1836</v>
      </c>
      <c r="BZ91" s="15" t="n">
        <v>-0.51875</v>
      </c>
      <c r="CA91" s="15" t="n">
        <v>-0.035111</v>
      </c>
      <c r="CB91" s="15" t="n">
        <v>-0.072655</v>
      </c>
      <c r="CC91" s="15" t="n">
        <v>-0.039156</v>
      </c>
      <c r="CD91" s="15" t="n">
        <v>-0.14441</v>
      </c>
      <c r="CE91" s="15" t="n">
        <v>0.79167</v>
      </c>
      <c r="CF91" s="15" t="n">
        <v>-0.7002</v>
      </c>
      <c r="CG91" s="15" t="n">
        <v>0.65302</v>
      </c>
      <c r="CH91" s="15" t="n">
        <v>0.28818</v>
      </c>
      <c r="CI91" s="15" t="n">
        <v>-0.2052</v>
      </c>
      <c r="CJ91" s="15" t="n">
        <v>-0.59163</v>
      </c>
      <c r="CK91" s="15" t="n">
        <v>-0.31647</v>
      </c>
      <c r="CL91" s="15" t="n">
        <v>-0.093085</v>
      </c>
      <c r="CM91" s="15" t="n">
        <v>0.052092</v>
      </c>
      <c r="CN91" s="15" t="n">
        <v>-0.55414</v>
      </c>
      <c r="CO91" s="15" t="n">
        <v>-0.11344</v>
      </c>
      <c r="CP91" s="15" t="n">
        <v>-0.16149</v>
      </c>
      <c r="CQ91" s="15" t="n">
        <v>0.51647</v>
      </c>
      <c r="CR91" s="15" t="n">
        <v>-0.12397</v>
      </c>
      <c r="CS91" s="15" t="n">
        <v>-0.15371</v>
      </c>
      <c r="CT91" s="15" t="n">
        <v>0.71776</v>
      </c>
      <c r="CU91" s="15" t="n">
        <v>-0.13136</v>
      </c>
      <c r="CV91" s="15" t="n">
        <v>-0.35792</v>
      </c>
      <c r="CW91" s="15" t="n">
        <v>0.064953</v>
      </c>
      <c r="CX91" s="15" t="n">
        <v>0.45472</v>
      </c>
      <c r="CY91" s="15" t="n">
        <v>0.76704</v>
      </c>
    </row>
    <row r="92" customFormat="false" ht="15" hidden="false" customHeight="false" outlineLevel="0" collapsed="false">
      <c r="A92" s="4" t="s">
        <v>95</v>
      </c>
      <c r="B92" s="2" t="n">
        <f aca="false">COUNTIF('1.3 TF-IDF coseno'!$M$10:$M$123,A92)</f>
        <v>0</v>
      </c>
      <c r="C92" s="2" t="n">
        <f aca="false">COUNTIF('1.3 TF-IDF coseno'!$N$10:$N$102,A92)</f>
        <v>1</v>
      </c>
      <c r="D92" s="15" t="n">
        <v>0.049432</v>
      </c>
      <c r="E92" s="15" t="n">
        <v>0.29907</v>
      </c>
      <c r="F92" s="15" t="n">
        <v>0.070318</v>
      </c>
      <c r="G92" s="15" t="n">
        <v>0.085277</v>
      </c>
      <c r="H92" s="15" t="n">
        <v>-0.17125</v>
      </c>
      <c r="I92" s="15" t="n">
        <v>0.93128</v>
      </c>
      <c r="J92" s="15" t="n">
        <v>-0.67008</v>
      </c>
      <c r="K92" s="15" t="n">
        <v>0.54096</v>
      </c>
      <c r="L92" s="15" t="n">
        <v>-0.38016</v>
      </c>
      <c r="M92" s="15" t="n">
        <v>-0.49383</v>
      </c>
      <c r="N92" s="15" t="n">
        <v>0.30008</v>
      </c>
      <c r="O92" s="15" t="n">
        <v>0.28522</v>
      </c>
      <c r="P92" s="15" t="n">
        <v>0.7559</v>
      </c>
      <c r="Q92" s="15" t="n">
        <v>-0.065383</v>
      </c>
      <c r="R92" s="15" t="n">
        <v>0.56754</v>
      </c>
      <c r="S92" s="15" t="n">
        <v>-0.83206</v>
      </c>
      <c r="T92" s="15" t="n">
        <v>0.1329</v>
      </c>
      <c r="U92" s="15" t="n">
        <v>0.11873</v>
      </c>
      <c r="V92" s="15" t="n">
        <v>-0.63604</v>
      </c>
      <c r="W92" s="15" t="n">
        <v>-0.29106</v>
      </c>
      <c r="X92" s="15" t="n">
        <v>1.0898</v>
      </c>
      <c r="Y92" s="15" t="n">
        <v>0.65408</v>
      </c>
      <c r="Z92" s="15" t="n">
        <v>0.58158</v>
      </c>
      <c r="AA92" s="15" t="n">
        <v>-0.022854</v>
      </c>
      <c r="AB92" s="15" t="n">
        <v>0.24991</v>
      </c>
      <c r="AC92" s="15" t="n">
        <v>-0.551</v>
      </c>
      <c r="AD92" s="15" t="n">
        <v>-0.14216</v>
      </c>
      <c r="AE92" s="15" t="n">
        <v>-0.065637</v>
      </c>
      <c r="AF92" s="15" t="n">
        <v>0.10867</v>
      </c>
      <c r="AG92" s="15" t="n">
        <v>-0.17114</v>
      </c>
      <c r="AH92" s="15" t="n">
        <v>-0.27218</v>
      </c>
      <c r="AI92" s="15" t="n">
        <v>-0.20419</v>
      </c>
      <c r="AJ92" s="15" t="n">
        <v>0.9035</v>
      </c>
      <c r="AK92" s="15" t="n">
        <v>-0.22882</v>
      </c>
      <c r="AL92" s="15" t="n">
        <v>-0.12385</v>
      </c>
      <c r="AM92" s="15" t="n">
        <v>0.41479</v>
      </c>
      <c r="AN92" s="15" t="n">
        <v>-0.15903</v>
      </c>
      <c r="AO92" s="15" t="n">
        <v>0.23308</v>
      </c>
      <c r="AP92" s="15" t="n">
        <v>-0.08571</v>
      </c>
      <c r="AQ92" s="15" t="n">
        <v>0.063337</v>
      </c>
      <c r="AR92" s="15" t="n">
        <v>-0.40937</v>
      </c>
      <c r="AS92" s="15" t="n">
        <v>-0.79099</v>
      </c>
      <c r="AT92" s="15" t="n">
        <v>-0.28885</v>
      </c>
      <c r="AU92" s="15" t="n">
        <v>-0.28497</v>
      </c>
      <c r="AV92" s="15" t="n">
        <v>-0.2298</v>
      </c>
      <c r="AW92" s="15" t="n">
        <v>-0.26469</v>
      </c>
      <c r="AX92" s="15" t="n">
        <v>-0.009687</v>
      </c>
      <c r="AY92" s="15" t="n">
        <v>-0.066363</v>
      </c>
      <c r="AZ92" s="15" t="n">
        <v>0.017328</v>
      </c>
      <c r="BA92" s="15" t="n">
        <v>-0.61434</v>
      </c>
      <c r="BB92" s="15" t="n">
        <v>0.10515</v>
      </c>
      <c r="BC92" s="15" t="n">
        <v>0.23692</v>
      </c>
      <c r="BD92" s="15" t="n">
        <v>-0.069444</v>
      </c>
      <c r="BE92" s="15" t="n">
        <v>1.6105</v>
      </c>
      <c r="BF92" s="15" t="n">
        <v>-0.61603</v>
      </c>
      <c r="BG92" s="15" t="n">
        <v>-2.6838</v>
      </c>
      <c r="BH92" s="15" t="n">
        <v>-0.7</v>
      </c>
      <c r="BI92" s="15" t="n">
        <v>-0.31433</v>
      </c>
      <c r="BJ92" s="15" t="n">
        <v>1.5742</v>
      </c>
      <c r="BK92" s="15" t="n">
        <v>0.81873</v>
      </c>
      <c r="BL92" s="15" t="n">
        <v>0.36615</v>
      </c>
      <c r="BM92" s="15" t="n">
        <v>2.0177</v>
      </c>
      <c r="BN92" s="15" t="n">
        <v>-0.30481</v>
      </c>
      <c r="BO92" s="15" t="n">
        <v>0.30421</v>
      </c>
      <c r="BP92" s="15" t="n">
        <v>0.077525</v>
      </c>
      <c r="BQ92" s="15" t="n">
        <v>0.26503</v>
      </c>
      <c r="BR92" s="15" t="n">
        <v>0.33716</v>
      </c>
      <c r="BS92" s="15" t="n">
        <v>-0.12614</v>
      </c>
      <c r="BT92" s="15" t="n">
        <v>0.672</v>
      </c>
      <c r="BU92" s="15" t="n">
        <v>0.11275</v>
      </c>
      <c r="BV92" s="15" t="n">
        <v>0.30333</v>
      </c>
      <c r="BW92" s="15" t="n">
        <v>-0.32643</v>
      </c>
      <c r="BX92" s="15" t="n">
        <v>-0.27705</v>
      </c>
      <c r="BY92" s="15" t="n">
        <v>-0.28524</v>
      </c>
      <c r="BZ92" s="15" t="n">
        <v>0.10183</v>
      </c>
      <c r="CA92" s="15" t="n">
        <v>-0.4819</v>
      </c>
      <c r="CB92" s="15" t="n">
        <v>0.76543</v>
      </c>
      <c r="CC92" s="15" t="n">
        <v>0.13401</v>
      </c>
      <c r="CD92" s="15" t="n">
        <v>-0.3008</v>
      </c>
      <c r="CE92" s="15" t="n">
        <v>0.25959</v>
      </c>
      <c r="CF92" s="15" t="n">
        <v>0.68685</v>
      </c>
      <c r="CG92" s="15" t="n">
        <v>0.14341</v>
      </c>
      <c r="CH92" s="15" t="n">
        <v>-0.49093</v>
      </c>
      <c r="CI92" s="15" t="n">
        <v>-0.029874</v>
      </c>
      <c r="CJ92" s="15" t="n">
        <v>-0.72508</v>
      </c>
      <c r="CK92" s="15" t="n">
        <v>0.38488</v>
      </c>
      <c r="CL92" s="15" t="n">
        <v>0.49854</v>
      </c>
      <c r="CM92" s="15" t="n">
        <v>-0.28301</v>
      </c>
      <c r="CN92" s="15" t="n">
        <v>-0.12738</v>
      </c>
      <c r="CO92" s="15" t="n">
        <v>-0.025954</v>
      </c>
      <c r="CP92" s="15" t="n">
        <v>0.14759</v>
      </c>
      <c r="CQ92" s="15" t="n">
        <v>0.43767</v>
      </c>
      <c r="CR92" s="15" t="n">
        <v>0.056956</v>
      </c>
      <c r="CS92" s="15" t="n">
        <v>-0.37114</v>
      </c>
      <c r="CT92" s="15" t="n">
        <v>-0.68358</v>
      </c>
      <c r="CU92" s="15" t="n">
        <v>0.047255</v>
      </c>
      <c r="CV92" s="15" t="n">
        <v>-0.43799</v>
      </c>
      <c r="CW92" s="15" t="n">
        <v>0.21136</v>
      </c>
      <c r="CX92" s="15" t="n">
        <v>1.4037</v>
      </c>
      <c r="CY92" s="15" t="n">
        <v>0.54495</v>
      </c>
    </row>
    <row r="93" customFormat="false" ht="15" hidden="false" customHeight="false" outlineLevel="0" collapsed="false">
      <c r="A93" s="4" t="s">
        <v>96</v>
      </c>
      <c r="B93" s="2" t="n">
        <f aca="false">COUNTIF('1.3 TF-IDF coseno'!$M$10:$M$123,A93)</f>
        <v>0</v>
      </c>
      <c r="C93" s="2" t="n">
        <f aca="false">COUNTIF('1.3 TF-IDF coseno'!$N$10:$N$102,A93)</f>
        <v>1</v>
      </c>
      <c r="D93" s="15" t="n">
        <v>0.093277</v>
      </c>
      <c r="E93" s="15" t="n">
        <v>0.58116</v>
      </c>
      <c r="F93" s="15" t="n">
        <v>-0.91645</v>
      </c>
      <c r="G93" s="15" t="n">
        <v>0.59441</v>
      </c>
      <c r="H93" s="15" t="n">
        <v>0.13727</v>
      </c>
      <c r="I93" s="15" t="n">
        <v>0.047263</v>
      </c>
      <c r="J93" s="15" t="n">
        <v>-0.062173</v>
      </c>
      <c r="K93" s="15" t="n">
        <v>-0.29051</v>
      </c>
      <c r="L93" s="15" t="n">
        <v>-0.64246</v>
      </c>
      <c r="M93" s="15" t="n">
        <v>1.2054</v>
      </c>
      <c r="N93" s="15" t="n">
        <v>-0.29904</v>
      </c>
      <c r="O93" s="15" t="n">
        <v>-0.43561</v>
      </c>
      <c r="P93" s="15" t="n">
        <v>0.68445</v>
      </c>
      <c r="Q93" s="15" t="n">
        <v>-0.02639</v>
      </c>
      <c r="R93" s="15" t="n">
        <v>-0.93905</v>
      </c>
      <c r="S93" s="15" t="n">
        <v>0.065104</v>
      </c>
      <c r="T93" s="15" t="n">
        <v>0.28819</v>
      </c>
      <c r="U93" s="15" t="n">
        <v>0.048421</v>
      </c>
      <c r="V93" s="15" t="n">
        <v>-0.57881</v>
      </c>
      <c r="W93" s="15" t="n">
        <v>0.48836</v>
      </c>
      <c r="X93" s="15" t="n">
        <v>-1.5051</v>
      </c>
      <c r="Y93" s="15" t="n">
        <v>0.17803</v>
      </c>
      <c r="Z93" s="15" t="n">
        <v>0.089856</v>
      </c>
      <c r="AA93" s="15" t="n">
        <v>-0.059085</v>
      </c>
      <c r="AB93" s="15" t="n">
        <v>-0.24697</v>
      </c>
      <c r="AC93" s="15" t="n">
        <v>-0.82687</v>
      </c>
      <c r="AD93" s="15" t="n">
        <v>0.25968</v>
      </c>
      <c r="AE93" s="15" t="n">
        <v>-1.1509</v>
      </c>
      <c r="AF93" s="15" t="n">
        <v>-0.41868</v>
      </c>
      <c r="AG93" s="15" t="n">
        <v>0.1642</v>
      </c>
      <c r="AH93" s="15" t="n">
        <v>-0.4878</v>
      </c>
      <c r="AI93" s="15" t="n">
        <v>0.31422</v>
      </c>
      <c r="AJ93" s="15" t="n">
        <v>-0.58969</v>
      </c>
      <c r="AK93" s="15" t="n">
        <v>-0.40922</v>
      </c>
      <c r="AL93" s="15" t="n">
        <v>-0.61252</v>
      </c>
      <c r="AM93" s="15" t="n">
        <v>0.11828</v>
      </c>
      <c r="AN93" s="15" t="n">
        <v>-0.7783</v>
      </c>
      <c r="AO93" s="15" t="n">
        <v>0.62881</v>
      </c>
      <c r="AP93" s="15" t="n">
        <v>-1.1886</v>
      </c>
      <c r="AQ93" s="15" t="n">
        <v>0.71297</v>
      </c>
      <c r="AR93" s="15" t="n">
        <v>-0.71828</v>
      </c>
      <c r="AS93" s="15" t="n">
        <v>-0.0084442</v>
      </c>
      <c r="AT93" s="15" t="n">
        <v>-0.13985</v>
      </c>
      <c r="AU93" s="15" t="n">
        <v>0.21247</v>
      </c>
      <c r="AV93" s="15" t="n">
        <v>0.28039</v>
      </c>
      <c r="AW93" s="15" t="n">
        <v>-0.44731</v>
      </c>
      <c r="AX93" s="15" t="n">
        <v>0.55717</v>
      </c>
      <c r="AY93" s="15" t="n">
        <v>-0.21173</v>
      </c>
      <c r="AZ93" s="15" t="n">
        <v>-0.27768</v>
      </c>
      <c r="BA93" s="15" t="n">
        <v>-0.0073766</v>
      </c>
      <c r="BB93" s="15" t="n">
        <v>0.3226</v>
      </c>
      <c r="BC93" s="15" t="n">
        <v>-0.61955</v>
      </c>
      <c r="BD93" s="15" t="n">
        <v>-0.30851</v>
      </c>
      <c r="BE93" s="15" t="n">
        <v>0.32807</v>
      </c>
      <c r="BF93" s="15" t="n">
        <v>0.11295</v>
      </c>
      <c r="BG93" s="15" t="n">
        <v>-1.7032</v>
      </c>
      <c r="BH93" s="15" t="n">
        <v>0.56008</v>
      </c>
      <c r="BI93" s="15" t="n">
        <v>-0.63917</v>
      </c>
      <c r="BJ93" s="15" t="n">
        <v>1.1946</v>
      </c>
      <c r="BK93" s="15" t="n">
        <v>0.28336</v>
      </c>
      <c r="BL93" s="15" t="n">
        <v>-0.20415</v>
      </c>
      <c r="BM93" s="15" t="n">
        <v>0.24888</v>
      </c>
      <c r="BN93" s="15" t="n">
        <v>-0.55995</v>
      </c>
      <c r="BO93" s="15" t="n">
        <v>0.019578</v>
      </c>
      <c r="BP93" s="15" t="n">
        <v>0.49013</v>
      </c>
      <c r="BQ93" s="15" t="n">
        <v>-0.66842</v>
      </c>
      <c r="BR93" s="15" t="n">
        <v>0.30731</v>
      </c>
      <c r="BS93" s="15" t="n">
        <v>-0.065632</v>
      </c>
      <c r="BT93" s="15" t="n">
        <v>1.0649</v>
      </c>
      <c r="BU93" s="15" t="n">
        <v>0.54847</v>
      </c>
      <c r="BV93" s="15" t="n">
        <v>0.43204</v>
      </c>
      <c r="BW93" s="15" t="n">
        <v>0.53957</v>
      </c>
      <c r="BX93" s="15" t="n">
        <v>0.36061</v>
      </c>
      <c r="BY93" s="15" t="n">
        <v>-0.28068</v>
      </c>
      <c r="BZ93" s="15" t="n">
        <v>-1.0612</v>
      </c>
      <c r="CA93" s="15" t="n">
        <v>0.4568</v>
      </c>
      <c r="CB93" s="15" t="n">
        <v>-0.16299</v>
      </c>
      <c r="CC93" s="15" t="n">
        <v>0.016706</v>
      </c>
      <c r="CD93" s="15" t="n">
        <v>-0.055744</v>
      </c>
      <c r="CE93" s="15" t="n">
        <v>-1.0555</v>
      </c>
      <c r="CF93" s="15" t="n">
        <v>0.20016</v>
      </c>
      <c r="CG93" s="15" t="n">
        <v>0.54683</v>
      </c>
      <c r="CH93" s="15" t="n">
        <v>0.0030542</v>
      </c>
      <c r="CI93" s="15" t="n">
        <v>-0.3742</v>
      </c>
      <c r="CJ93" s="15" t="n">
        <v>-1.3576</v>
      </c>
      <c r="CK93" s="15" t="n">
        <v>0.062262</v>
      </c>
      <c r="CL93" s="15" t="n">
        <v>-0.25211</v>
      </c>
      <c r="CM93" s="15" t="n">
        <v>-0.2183</v>
      </c>
      <c r="CN93" s="15" t="n">
        <v>0.75724</v>
      </c>
      <c r="CO93" s="15" t="n">
        <v>-0.59877</v>
      </c>
      <c r="CP93" s="15" t="n">
        <v>0.033005</v>
      </c>
      <c r="CQ93" s="15" t="n">
        <v>0.57674</v>
      </c>
      <c r="CR93" s="15" t="n">
        <v>0.10316</v>
      </c>
      <c r="CS93" s="15" t="n">
        <v>0.29476</v>
      </c>
      <c r="CT93" s="15" t="n">
        <v>-0.15509</v>
      </c>
      <c r="CU93" s="15" t="n">
        <v>0.59038</v>
      </c>
      <c r="CV93" s="15" t="n">
        <v>-0.10464</v>
      </c>
      <c r="CW93" s="15" t="n">
        <v>-0.68233</v>
      </c>
      <c r="CX93" s="15" t="n">
        <v>0.54254</v>
      </c>
      <c r="CY93" s="15" t="n">
        <v>0.83344</v>
      </c>
    </row>
    <row r="94" customFormat="false" ht="15" hidden="false" customHeight="false" outlineLevel="0" collapsed="false">
      <c r="A94" s="4" t="s">
        <v>98</v>
      </c>
      <c r="B94" s="2" t="n">
        <f aca="false">COUNTIF('1.3 TF-IDF coseno'!$M$10:$M$123,A94)</f>
        <v>0</v>
      </c>
      <c r="C94" s="2" t="n">
        <f aca="false">COUNTIF('1.3 TF-IDF coseno'!$N$10:$N$102,A94)</f>
        <v>3</v>
      </c>
      <c r="D94" s="15" t="n">
        <v>-0.17943</v>
      </c>
      <c r="E94" s="15" t="n">
        <v>0.74934</v>
      </c>
      <c r="F94" s="15" t="n">
        <v>0.5073</v>
      </c>
      <c r="G94" s="15" t="n">
        <v>0.43314</v>
      </c>
      <c r="H94" s="15" t="n">
        <v>0.33523</v>
      </c>
      <c r="I94" s="15" t="n">
        <v>-0.65611</v>
      </c>
      <c r="J94" s="15" t="n">
        <v>-0.51882</v>
      </c>
      <c r="K94" s="15" t="n">
        <v>-0.82561</v>
      </c>
      <c r="L94" s="15" t="n">
        <v>0.37629</v>
      </c>
      <c r="M94" s="15" t="n">
        <v>-0.39154</v>
      </c>
      <c r="N94" s="15" t="n">
        <v>0.092771</v>
      </c>
      <c r="O94" s="15" t="n">
        <v>-0.27144</v>
      </c>
      <c r="P94" s="15" t="n">
        <v>0.31189</v>
      </c>
      <c r="Q94" s="15" t="n">
        <v>-0.02071</v>
      </c>
      <c r="R94" s="15" t="n">
        <v>-0.17946</v>
      </c>
      <c r="S94" s="15" t="n">
        <v>-0.27324</v>
      </c>
      <c r="T94" s="15" t="n">
        <v>-0.13531</v>
      </c>
      <c r="U94" s="15" t="n">
        <v>-0.023518</v>
      </c>
      <c r="V94" s="15" t="n">
        <v>-0.52193</v>
      </c>
      <c r="W94" s="15" t="n">
        <v>-0.72487</v>
      </c>
      <c r="X94" s="15" t="n">
        <v>0.34895</v>
      </c>
      <c r="Y94" s="15" t="n">
        <v>-0.48586</v>
      </c>
      <c r="Z94" s="15" t="n">
        <v>0.52148</v>
      </c>
      <c r="AA94" s="15" t="n">
        <v>0.19411</v>
      </c>
      <c r="AB94" s="15" t="n">
        <v>0.064155</v>
      </c>
      <c r="AC94" s="15" t="n">
        <v>-0.53878</v>
      </c>
      <c r="AD94" s="15" t="n">
        <v>0.49184</v>
      </c>
      <c r="AE94" s="15" t="n">
        <v>-0.26788</v>
      </c>
      <c r="AF94" s="15" t="n">
        <v>-0.69041</v>
      </c>
      <c r="AG94" s="15" t="n">
        <v>0.42825</v>
      </c>
      <c r="AH94" s="15" t="n">
        <v>-0.62316</v>
      </c>
      <c r="AI94" s="15" t="n">
        <v>0.082218</v>
      </c>
      <c r="AJ94" s="15" t="n">
        <v>0.092546</v>
      </c>
      <c r="AK94" s="15" t="n">
        <v>0.67137</v>
      </c>
      <c r="AL94" s="15" t="n">
        <v>-0.58263</v>
      </c>
      <c r="AM94" s="15" t="n">
        <v>0.4472</v>
      </c>
      <c r="AN94" s="15" t="n">
        <v>0.32993</v>
      </c>
      <c r="AO94" s="15" t="n">
        <v>-0.13726</v>
      </c>
      <c r="AP94" s="15" t="n">
        <v>-0.46387</v>
      </c>
      <c r="AQ94" s="15" t="n">
        <v>0.69762</v>
      </c>
      <c r="AR94" s="15" t="n">
        <v>-0.73038</v>
      </c>
      <c r="AS94" s="15" t="n">
        <v>-0.98175</v>
      </c>
      <c r="AT94" s="15" t="n">
        <v>0.33569</v>
      </c>
      <c r="AU94" s="15" t="n">
        <v>-0.61716</v>
      </c>
      <c r="AV94" s="15" t="n">
        <v>-1.1967</v>
      </c>
      <c r="AW94" s="15" t="n">
        <v>-0.48909</v>
      </c>
      <c r="AX94" s="15" t="n">
        <v>-0.18114</v>
      </c>
      <c r="AY94" s="15" t="n">
        <v>0.3209</v>
      </c>
      <c r="AZ94" s="15" t="n">
        <v>-0.75904</v>
      </c>
      <c r="BA94" s="15" t="n">
        <v>-0.86791</v>
      </c>
      <c r="BB94" s="15" t="n">
        <v>0.79634</v>
      </c>
      <c r="BC94" s="15" t="n">
        <v>0.027124</v>
      </c>
      <c r="BD94" s="15" t="n">
        <v>-0.27388</v>
      </c>
      <c r="BE94" s="15" t="n">
        <v>1.4744</v>
      </c>
      <c r="BF94" s="15" t="n">
        <v>0.2901</v>
      </c>
      <c r="BG94" s="15" t="n">
        <v>-1.4269</v>
      </c>
      <c r="BH94" s="15" t="n">
        <v>0.70946</v>
      </c>
      <c r="BI94" s="15" t="n">
        <v>-0.41418</v>
      </c>
      <c r="BJ94" s="15" t="n">
        <v>1.701</v>
      </c>
      <c r="BK94" s="15" t="n">
        <v>0.66936</v>
      </c>
      <c r="BL94" s="15" t="n">
        <v>-0.32985</v>
      </c>
      <c r="BM94" s="15" t="n">
        <v>0.25132</v>
      </c>
      <c r="BN94" s="15" t="n">
        <v>-0.44879</v>
      </c>
      <c r="BO94" s="15" t="n">
        <v>-0.79732</v>
      </c>
      <c r="BP94" s="15" t="n">
        <v>1.1933</v>
      </c>
      <c r="BQ94" s="15" t="n">
        <v>-8.3366E-005</v>
      </c>
      <c r="BR94" s="15" t="n">
        <v>0.64838</v>
      </c>
      <c r="BS94" s="15" t="n">
        <v>0.32015</v>
      </c>
      <c r="BT94" s="15" t="n">
        <v>0.94161</v>
      </c>
      <c r="BU94" s="15" t="n">
        <v>-0.0059216</v>
      </c>
      <c r="BV94" s="15" t="n">
        <v>-0.19101</v>
      </c>
      <c r="BW94" s="15" t="n">
        <v>-0.013997</v>
      </c>
      <c r="BX94" s="15" t="n">
        <v>-0.21357</v>
      </c>
      <c r="BY94" s="15" t="n">
        <v>0.010751</v>
      </c>
      <c r="BZ94" s="15" t="n">
        <v>-0.20859</v>
      </c>
      <c r="CA94" s="15" t="n">
        <v>0.16564</v>
      </c>
      <c r="CB94" s="15" t="n">
        <v>-0.81731</v>
      </c>
      <c r="CC94" s="15" t="n">
        <v>0.45243</v>
      </c>
      <c r="CD94" s="15" t="n">
        <v>-0.88155</v>
      </c>
      <c r="CE94" s="15" t="n">
        <v>-0.23452</v>
      </c>
      <c r="CF94" s="15" t="n">
        <v>0.016506</v>
      </c>
      <c r="CG94" s="15" t="n">
        <v>0.24845</v>
      </c>
      <c r="CH94" s="15" t="n">
        <v>0.80407</v>
      </c>
      <c r="CI94" s="15" t="n">
        <v>0.31205</v>
      </c>
      <c r="CJ94" s="15" t="n">
        <v>-1.9157</v>
      </c>
      <c r="CK94" s="15" t="n">
        <v>-0.14293</v>
      </c>
      <c r="CL94" s="15" t="n">
        <v>-0.68776</v>
      </c>
      <c r="CM94" s="15" t="n">
        <v>-0.17291</v>
      </c>
      <c r="CN94" s="15" t="n">
        <v>-0.084251</v>
      </c>
      <c r="CO94" s="15" t="n">
        <v>-0.6268</v>
      </c>
      <c r="CP94" s="15" t="n">
        <v>-0.41643</v>
      </c>
      <c r="CQ94" s="15" t="n">
        <v>0.18095</v>
      </c>
      <c r="CR94" s="15" t="n">
        <v>-0.81675</v>
      </c>
      <c r="CS94" s="15" t="n">
        <v>-0.16009</v>
      </c>
      <c r="CT94" s="15" t="n">
        <v>-0.6937</v>
      </c>
      <c r="CU94" s="15" t="n">
        <v>1.2226</v>
      </c>
      <c r="CV94" s="15" t="n">
        <v>-0.074623</v>
      </c>
      <c r="CW94" s="15" t="n">
        <v>-0.16406</v>
      </c>
      <c r="CX94" s="15" t="n">
        <v>1.1696</v>
      </c>
      <c r="CY94" s="15" t="n">
        <v>0.46147</v>
      </c>
    </row>
    <row r="95" customFormat="false" ht="15" hidden="false" customHeight="false" outlineLevel="0" collapsed="false">
      <c r="A95" s="4" t="s">
        <v>100</v>
      </c>
      <c r="B95" s="2" t="n">
        <f aca="false">COUNTIF('1.3 TF-IDF coseno'!$M$10:$M$123,A95)</f>
        <v>0</v>
      </c>
      <c r="C95" s="2" t="n">
        <f aca="false">COUNTIF('1.3 TF-IDF coseno'!$N$10:$N$102,A95)</f>
        <v>1</v>
      </c>
      <c r="D95" s="15" t="n">
        <v>0.047705</v>
      </c>
      <c r="E95" s="15" t="n">
        <v>0.17862</v>
      </c>
      <c r="F95" s="15" t="n">
        <v>-0.3216</v>
      </c>
      <c r="G95" s="15" t="n">
        <v>-0.084016</v>
      </c>
      <c r="H95" s="15" t="n">
        <v>0.031792</v>
      </c>
      <c r="I95" s="15" t="n">
        <v>0.44599</v>
      </c>
      <c r="J95" s="15" t="n">
        <v>0.58692</v>
      </c>
      <c r="K95" s="15" t="n">
        <v>-0.49011</v>
      </c>
      <c r="L95" s="15" t="n">
        <v>0.53524</v>
      </c>
      <c r="M95" s="15" t="n">
        <v>1.141</v>
      </c>
      <c r="N95" s="15" t="n">
        <v>0.10333</v>
      </c>
      <c r="O95" s="15" t="n">
        <v>0.79551</v>
      </c>
      <c r="P95" s="15" t="n">
        <v>-0.49285</v>
      </c>
      <c r="Q95" s="15" t="n">
        <v>0.1035</v>
      </c>
      <c r="R95" s="15" t="n">
        <v>-0.4913</v>
      </c>
      <c r="S95" s="15" t="n">
        <v>0.10799</v>
      </c>
      <c r="T95" s="15" t="n">
        <v>-0.20404</v>
      </c>
      <c r="U95" s="15" t="n">
        <v>0.47864</v>
      </c>
      <c r="V95" s="15" t="n">
        <v>-0.19083</v>
      </c>
      <c r="W95" s="15" t="n">
        <v>0.16717</v>
      </c>
      <c r="X95" s="15" t="n">
        <v>-0.66758</v>
      </c>
      <c r="Y95" s="15" t="n">
        <v>-0.2005</v>
      </c>
      <c r="Z95" s="15" t="n">
        <v>0.077532</v>
      </c>
      <c r="AA95" s="15" t="n">
        <v>0.2882</v>
      </c>
      <c r="AB95" s="15" t="n">
        <v>0.34035</v>
      </c>
      <c r="AC95" s="15" t="n">
        <v>0.3772</v>
      </c>
      <c r="AD95" s="15" t="n">
        <v>0.36017</v>
      </c>
      <c r="AE95" s="15" t="n">
        <v>0.15</v>
      </c>
      <c r="AF95" s="15" t="n">
        <v>-0.58601</v>
      </c>
      <c r="AG95" s="15" t="n">
        <v>-0.15072</v>
      </c>
      <c r="AH95" s="15" t="n">
        <v>0.094629</v>
      </c>
      <c r="AI95" s="15" t="n">
        <v>0.37777</v>
      </c>
      <c r="AJ95" s="15" t="n">
        <v>0.11534</v>
      </c>
      <c r="AK95" s="15" t="n">
        <v>0.0011985</v>
      </c>
      <c r="AL95" s="15" t="n">
        <v>-0.46492</v>
      </c>
      <c r="AM95" s="15" t="n">
        <v>-0.099647</v>
      </c>
      <c r="AN95" s="15" t="n">
        <v>-0.49095</v>
      </c>
      <c r="AO95" s="15" t="n">
        <v>-0.80842</v>
      </c>
      <c r="AP95" s="15" t="n">
        <v>-0.24686</v>
      </c>
      <c r="AQ95" s="15" t="n">
        <v>0.094032</v>
      </c>
      <c r="AR95" s="15" t="n">
        <v>-0.73099</v>
      </c>
      <c r="AS95" s="15" t="n">
        <v>0.6864</v>
      </c>
      <c r="AT95" s="15" t="n">
        <v>-0.41441</v>
      </c>
      <c r="AU95" s="15" t="n">
        <v>-0.34094</v>
      </c>
      <c r="AV95" s="15" t="n">
        <v>-0.3949</v>
      </c>
      <c r="AW95" s="15" t="n">
        <v>-0.18513</v>
      </c>
      <c r="AX95" s="15" t="n">
        <v>0.79496</v>
      </c>
      <c r="AY95" s="15" t="n">
        <v>-0.56742</v>
      </c>
      <c r="AZ95" s="15" t="n">
        <v>0.062179</v>
      </c>
      <c r="BA95" s="15" t="n">
        <v>-0.23269</v>
      </c>
      <c r="BB95" s="15" t="n">
        <v>0.78306</v>
      </c>
      <c r="BC95" s="15" t="n">
        <v>0.30962</v>
      </c>
      <c r="BD95" s="15" t="n">
        <v>-0.45834</v>
      </c>
      <c r="BE95" s="15" t="n">
        <v>0.34209</v>
      </c>
      <c r="BF95" s="15" t="n">
        <v>-0.96378</v>
      </c>
      <c r="BG95" s="15" t="n">
        <v>0.18985</v>
      </c>
      <c r="BH95" s="15" t="n">
        <v>0.28013</v>
      </c>
      <c r="BI95" s="15" t="n">
        <v>-0.38306</v>
      </c>
      <c r="BJ95" s="15" t="n">
        <v>-0.20956</v>
      </c>
      <c r="BK95" s="15" t="n">
        <v>-0.1</v>
      </c>
      <c r="BL95" s="15" t="n">
        <v>-0.32706</v>
      </c>
      <c r="BM95" s="15" t="n">
        <v>-0.04417</v>
      </c>
      <c r="BN95" s="15" t="n">
        <v>-0.059627</v>
      </c>
      <c r="BO95" s="15" t="n">
        <v>0.56271</v>
      </c>
      <c r="BP95" s="15" t="n">
        <v>0.49912</v>
      </c>
      <c r="BQ95" s="15" t="n">
        <v>-0.41104</v>
      </c>
      <c r="BR95" s="15" t="n">
        <v>1.4345</v>
      </c>
      <c r="BS95" s="15" t="n">
        <v>-0.33935</v>
      </c>
      <c r="BT95" s="15" t="n">
        <v>0.33225</v>
      </c>
      <c r="BU95" s="15" t="n">
        <v>0.019422</v>
      </c>
      <c r="BV95" s="15" t="n">
        <v>-0.67807</v>
      </c>
      <c r="BW95" s="15" t="n">
        <v>0.67263</v>
      </c>
      <c r="BX95" s="15" t="n">
        <v>-0.20061</v>
      </c>
      <c r="BY95" s="15" t="n">
        <v>0.27567</v>
      </c>
      <c r="BZ95" s="15" t="n">
        <v>-0.81702</v>
      </c>
      <c r="CA95" s="15" t="n">
        <v>0.27606</v>
      </c>
      <c r="CB95" s="15" t="n">
        <v>0.56885</v>
      </c>
      <c r="CC95" s="15" t="n">
        <v>0.3249</v>
      </c>
      <c r="CD95" s="15" t="n">
        <v>-0.49344</v>
      </c>
      <c r="CE95" s="15" t="n">
        <v>0.62714</v>
      </c>
      <c r="CF95" s="15" t="n">
        <v>0.17585</v>
      </c>
      <c r="CG95" s="15" t="n">
        <v>-0.17848</v>
      </c>
      <c r="CH95" s="15" t="n">
        <v>0.59319</v>
      </c>
      <c r="CI95" s="15" t="n">
        <v>-0.17338</v>
      </c>
      <c r="CJ95" s="15" t="n">
        <v>-0.65033</v>
      </c>
      <c r="CK95" s="15" t="n">
        <v>-0.29025</v>
      </c>
      <c r="CL95" s="15" t="n">
        <v>-0.25731</v>
      </c>
      <c r="CM95" s="15" t="n">
        <v>0.23179</v>
      </c>
      <c r="CN95" s="15" t="n">
        <v>0.44897</v>
      </c>
      <c r="CO95" s="15" t="n">
        <v>-0.12144</v>
      </c>
      <c r="CP95" s="15" t="n">
        <v>-0.37068</v>
      </c>
      <c r="CQ95" s="15" t="n">
        <v>0.22585</v>
      </c>
      <c r="CR95" s="15" t="n">
        <v>-0.55017</v>
      </c>
      <c r="CS95" s="15" t="n">
        <v>0.067425</v>
      </c>
      <c r="CT95" s="15" t="n">
        <v>1.4753</v>
      </c>
      <c r="CU95" s="15" t="n">
        <v>-0.20266</v>
      </c>
      <c r="CV95" s="15" t="n">
        <v>-0.34916</v>
      </c>
      <c r="CW95" s="15" t="n">
        <v>-0.19625</v>
      </c>
      <c r="CX95" s="15" t="n">
        <v>0.019171</v>
      </c>
      <c r="CY95" s="15" t="n">
        <v>0.075748</v>
      </c>
    </row>
    <row r="96" customFormat="false" ht="15" hidden="false" customHeight="false" outlineLevel="0" collapsed="false">
      <c r="A96" s="4" t="s">
        <v>101</v>
      </c>
      <c r="B96" s="2" t="n">
        <f aca="false">COUNTIF('1.3 TF-IDF coseno'!$M$10:$M$123,A96)</f>
        <v>0</v>
      </c>
      <c r="C96" s="2" t="n">
        <f aca="false">COUNTIF('1.3 TF-IDF coseno'!$N$10:$N$102,A96)</f>
        <v>1</v>
      </c>
      <c r="D96" s="15" t="n">
        <v>0.56783</v>
      </c>
      <c r="E96" s="15" t="n">
        <v>-0.04999</v>
      </c>
      <c r="F96" s="15" t="n">
        <v>0.62358</v>
      </c>
      <c r="G96" s="15" t="n">
        <v>-0.4814</v>
      </c>
      <c r="H96" s="15" t="n">
        <v>-0.49006</v>
      </c>
      <c r="I96" s="15" t="n">
        <v>0.70353</v>
      </c>
      <c r="J96" s="15" t="n">
        <v>-0.3793</v>
      </c>
      <c r="K96" s="15" t="n">
        <v>0.47724</v>
      </c>
      <c r="L96" s="15" t="n">
        <v>0.25334</v>
      </c>
      <c r="M96" s="15" t="n">
        <v>0.44895</v>
      </c>
      <c r="N96" s="15" t="n">
        <v>-0.050806</v>
      </c>
      <c r="O96" s="15" t="n">
        <v>1.0364</v>
      </c>
      <c r="P96" s="15" t="n">
        <v>-0.12493</v>
      </c>
      <c r="Q96" s="15" t="n">
        <v>0.30392</v>
      </c>
      <c r="R96" s="15" t="n">
        <v>-0.17041</v>
      </c>
      <c r="S96" s="15" t="n">
        <v>-0.037052</v>
      </c>
      <c r="T96" s="15" t="n">
        <v>-0.20823</v>
      </c>
      <c r="U96" s="15" t="n">
        <v>0.45353</v>
      </c>
      <c r="V96" s="15" t="n">
        <v>0.084713</v>
      </c>
      <c r="W96" s="15" t="n">
        <v>0.83109</v>
      </c>
      <c r="X96" s="15" t="n">
        <v>-0.64396</v>
      </c>
      <c r="Y96" s="15" t="n">
        <v>-0.16896</v>
      </c>
      <c r="Z96" s="15" t="n">
        <v>0.31663</v>
      </c>
      <c r="AA96" s="15" t="n">
        <v>0.0072674</v>
      </c>
      <c r="AB96" s="15" t="n">
        <v>-0.10117</v>
      </c>
      <c r="AC96" s="15" t="n">
        <v>0.1675</v>
      </c>
      <c r="AD96" s="15" t="n">
        <v>0.016655</v>
      </c>
      <c r="AE96" s="15" t="n">
        <v>-0.44267</v>
      </c>
      <c r="AF96" s="15" t="n">
        <v>0.049945</v>
      </c>
      <c r="AG96" s="15" t="n">
        <v>0.061581</v>
      </c>
      <c r="AH96" s="15" t="n">
        <v>0.13992</v>
      </c>
      <c r="AI96" s="15" t="n">
        <v>0.20147</v>
      </c>
      <c r="AJ96" s="15" t="n">
        <v>0.55566</v>
      </c>
      <c r="AK96" s="15" t="n">
        <v>-0.33838</v>
      </c>
      <c r="AL96" s="15" t="n">
        <v>0.37801</v>
      </c>
      <c r="AM96" s="15" t="n">
        <v>-0.33129</v>
      </c>
      <c r="AN96" s="15" t="n">
        <v>-0.46078</v>
      </c>
      <c r="AO96" s="15" t="n">
        <v>-0.50968</v>
      </c>
      <c r="AP96" s="15" t="n">
        <v>-0.25991</v>
      </c>
      <c r="AQ96" s="15" t="n">
        <v>0.11147</v>
      </c>
      <c r="AR96" s="15" t="n">
        <v>-0.86421</v>
      </c>
      <c r="AS96" s="15" t="n">
        <v>0.5695</v>
      </c>
      <c r="AT96" s="15" t="n">
        <v>0.1791</v>
      </c>
      <c r="AU96" s="15" t="n">
        <v>-0.67984</v>
      </c>
      <c r="AV96" s="15" t="n">
        <v>-0.49576</v>
      </c>
      <c r="AW96" s="15" t="n">
        <v>-0.0035648</v>
      </c>
      <c r="AX96" s="15" t="n">
        <v>0.3225</v>
      </c>
      <c r="AY96" s="15" t="n">
        <v>-0.44582</v>
      </c>
      <c r="AZ96" s="15" t="n">
        <v>-0.28643</v>
      </c>
      <c r="BA96" s="15" t="n">
        <v>-0.58877</v>
      </c>
      <c r="BB96" s="15" t="n">
        <v>-0.11876</v>
      </c>
      <c r="BC96" s="15" t="n">
        <v>-0.0085489</v>
      </c>
      <c r="BD96" s="15" t="n">
        <v>-0.31587</v>
      </c>
      <c r="BE96" s="15" t="n">
        <v>0.66543</v>
      </c>
      <c r="BF96" s="15" t="n">
        <v>-0.93861</v>
      </c>
      <c r="BG96" s="15" t="n">
        <v>-0.39721</v>
      </c>
      <c r="BH96" s="15" t="n">
        <v>-0.027407</v>
      </c>
      <c r="BI96" s="15" t="n">
        <v>0.08273</v>
      </c>
      <c r="BJ96" s="15" t="n">
        <v>0.38252</v>
      </c>
      <c r="BK96" s="15" t="n">
        <v>-0.072116</v>
      </c>
      <c r="BL96" s="15" t="n">
        <v>-0.46613</v>
      </c>
      <c r="BM96" s="15" t="n">
        <v>-0.24846</v>
      </c>
      <c r="BN96" s="15" t="n">
        <v>-0.30238</v>
      </c>
      <c r="BO96" s="15" t="n">
        <v>0.30799</v>
      </c>
      <c r="BP96" s="15" t="n">
        <v>0.25648</v>
      </c>
      <c r="BQ96" s="15" t="n">
        <v>0.40063</v>
      </c>
      <c r="BR96" s="15" t="n">
        <v>1.133</v>
      </c>
      <c r="BS96" s="15" t="n">
        <v>-0.43443</v>
      </c>
      <c r="BT96" s="15" t="n">
        <v>0.87329</v>
      </c>
      <c r="BU96" s="15" t="n">
        <v>0.022373</v>
      </c>
      <c r="BV96" s="15" t="n">
        <v>-0.54923</v>
      </c>
      <c r="BW96" s="15" t="n">
        <v>0.20433</v>
      </c>
      <c r="BX96" s="15" t="n">
        <v>-0.1164</v>
      </c>
      <c r="BY96" s="15" t="n">
        <v>0.26289</v>
      </c>
      <c r="BZ96" s="15" t="n">
        <v>-0.88507</v>
      </c>
      <c r="CA96" s="15" t="n">
        <v>0.36705</v>
      </c>
      <c r="CB96" s="15" t="n">
        <v>0.36422</v>
      </c>
      <c r="CC96" s="15" t="n">
        <v>0.045411</v>
      </c>
      <c r="CD96" s="15" t="n">
        <v>-0.57048</v>
      </c>
      <c r="CE96" s="15" t="n">
        <v>0.61797</v>
      </c>
      <c r="CF96" s="15" t="n">
        <v>1.0702</v>
      </c>
      <c r="CG96" s="15" t="n">
        <v>0.39</v>
      </c>
      <c r="CH96" s="15" t="n">
        <v>0.23271</v>
      </c>
      <c r="CI96" s="15" t="n">
        <v>-0.41946</v>
      </c>
      <c r="CJ96" s="15" t="n">
        <v>-1.0825</v>
      </c>
      <c r="CK96" s="15" t="n">
        <v>-0.65654</v>
      </c>
      <c r="CL96" s="15" t="n">
        <v>-0.29942</v>
      </c>
      <c r="CM96" s="15" t="n">
        <v>0.12788</v>
      </c>
      <c r="CN96" s="15" t="n">
        <v>-0.43678</v>
      </c>
      <c r="CO96" s="15" t="n">
        <v>-0.78947</v>
      </c>
      <c r="CP96" s="15" t="n">
        <v>-0.93316</v>
      </c>
      <c r="CQ96" s="15" t="n">
        <v>0.37549</v>
      </c>
      <c r="CR96" s="15" t="n">
        <v>0.17207</v>
      </c>
      <c r="CS96" s="15" t="n">
        <v>-0.12442</v>
      </c>
      <c r="CT96" s="15" t="n">
        <v>1.198</v>
      </c>
      <c r="CU96" s="15" t="n">
        <v>-0.010434</v>
      </c>
      <c r="CV96" s="15" t="n">
        <v>-0.31038</v>
      </c>
      <c r="CW96" s="15" t="n">
        <v>0.017942</v>
      </c>
      <c r="CX96" s="15" t="n">
        <v>0.12078</v>
      </c>
      <c r="CY96" s="15" t="n">
        <v>-0.14407</v>
      </c>
    </row>
    <row r="97" customFormat="false" ht="15" hidden="false" customHeight="false" outlineLevel="0" collapsed="false">
      <c r="A97" s="4" t="s">
        <v>102</v>
      </c>
      <c r="B97" s="2" t="n">
        <f aca="false">COUNTIF('1.3 TF-IDF coseno'!$M$10:$M$123,A97)</f>
        <v>0</v>
      </c>
      <c r="C97" s="2" t="n">
        <f aca="false">COUNTIF('1.3 TF-IDF coseno'!$N$10:$N$102,A97)</f>
        <v>1</v>
      </c>
      <c r="D97" s="15" t="n">
        <v>-0.050252</v>
      </c>
      <c r="E97" s="15" t="n">
        <v>0.23597</v>
      </c>
      <c r="F97" s="15" t="n">
        <v>-0.0034903</v>
      </c>
      <c r="G97" s="15" t="n">
        <v>0.25844</v>
      </c>
      <c r="H97" s="15" t="n">
        <v>0.16469</v>
      </c>
      <c r="I97" s="15" t="n">
        <v>-0.23728</v>
      </c>
      <c r="J97" s="15" t="n">
        <v>-0.066626</v>
      </c>
      <c r="K97" s="15" t="n">
        <v>-0.1639</v>
      </c>
      <c r="L97" s="15" t="n">
        <v>0.49686</v>
      </c>
      <c r="M97" s="15" t="n">
        <v>-0.32791</v>
      </c>
      <c r="N97" s="15" t="n">
        <v>-0.18058</v>
      </c>
      <c r="O97" s="15" t="n">
        <v>0.1509</v>
      </c>
      <c r="P97" s="15" t="n">
        <v>0.020886</v>
      </c>
      <c r="Q97" s="15" t="n">
        <v>-0.51835</v>
      </c>
      <c r="R97" s="15" t="n">
        <v>-0.20707</v>
      </c>
      <c r="S97" s="15" t="n">
        <v>-0.07332</v>
      </c>
      <c r="T97" s="15" t="n">
        <v>-0.3478</v>
      </c>
      <c r="U97" s="15" t="n">
        <v>0.11412</v>
      </c>
      <c r="V97" s="15" t="n">
        <v>0.010649</v>
      </c>
      <c r="W97" s="15" t="n">
        <v>0.32461</v>
      </c>
      <c r="X97" s="15" t="n">
        <v>0.26372</v>
      </c>
      <c r="Y97" s="15" t="n">
        <v>-0.22516</v>
      </c>
      <c r="Z97" s="15" t="n">
        <v>-0.25253</v>
      </c>
      <c r="AA97" s="15" t="n">
        <v>-0.19517</v>
      </c>
      <c r="AB97" s="15" t="n">
        <v>-0.29497</v>
      </c>
      <c r="AC97" s="15" t="n">
        <v>-0.31666</v>
      </c>
      <c r="AD97" s="15" t="n">
        <v>-0.21245</v>
      </c>
      <c r="AE97" s="15" t="n">
        <v>-0.075345</v>
      </c>
      <c r="AF97" s="15" t="n">
        <v>-0.11385</v>
      </c>
      <c r="AG97" s="15" t="n">
        <v>-0.38976</v>
      </c>
      <c r="AH97" s="15" t="n">
        <v>0.23376</v>
      </c>
      <c r="AI97" s="15" t="n">
        <v>0.18444</v>
      </c>
      <c r="AJ97" s="15" t="n">
        <v>-0.40793</v>
      </c>
      <c r="AK97" s="15" t="n">
        <v>0.015463</v>
      </c>
      <c r="AL97" s="15" t="n">
        <v>0.28477</v>
      </c>
      <c r="AM97" s="15" t="n">
        <v>0.36883</v>
      </c>
      <c r="AN97" s="15" t="n">
        <v>0.14132</v>
      </c>
      <c r="AO97" s="15" t="n">
        <v>-0.0038556</v>
      </c>
      <c r="AP97" s="15" t="n">
        <v>-0.16643</v>
      </c>
      <c r="AQ97" s="15" t="n">
        <v>-0.28585</v>
      </c>
      <c r="AR97" s="15" t="n">
        <v>-0.50254</v>
      </c>
      <c r="AS97" s="15" t="n">
        <v>-0.18775</v>
      </c>
      <c r="AT97" s="15" t="n">
        <v>0.30771</v>
      </c>
      <c r="AU97" s="15" t="n">
        <v>0.099815</v>
      </c>
      <c r="AV97" s="15" t="n">
        <v>-0.013654</v>
      </c>
      <c r="AW97" s="15" t="n">
        <v>-0.66302</v>
      </c>
      <c r="AX97" s="15" t="n">
        <v>0.84712</v>
      </c>
      <c r="AY97" s="15" t="n">
        <v>0.059663</v>
      </c>
      <c r="AZ97" s="15" t="n">
        <v>0.086149</v>
      </c>
      <c r="BA97" s="15" t="n">
        <v>-0.83817</v>
      </c>
      <c r="BB97" s="15" t="n">
        <v>0.64313</v>
      </c>
      <c r="BC97" s="15" t="n">
        <v>-0.34943</v>
      </c>
      <c r="BD97" s="15" t="n">
        <v>0.17977</v>
      </c>
      <c r="BE97" s="15" t="n">
        <v>0.60758</v>
      </c>
      <c r="BF97" s="15" t="n">
        <v>0.20657</v>
      </c>
      <c r="BG97" s="15" t="n">
        <v>-1.2118</v>
      </c>
      <c r="BH97" s="15" t="n">
        <v>-0.046194</v>
      </c>
      <c r="BI97" s="15" t="n">
        <v>-0.23219</v>
      </c>
      <c r="BJ97" s="15" t="n">
        <v>0.22587</v>
      </c>
      <c r="BK97" s="15" t="n">
        <v>0.30932</v>
      </c>
      <c r="BL97" s="15" t="n">
        <v>-0.10204</v>
      </c>
      <c r="BM97" s="15" t="n">
        <v>0.17048</v>
      </c>
      <c r="BN97" s="15" t="n">
        <v>-0.13442</v>
      </c>
      <c r="BO97" s="15" t="n">
        <v>-0.043113</v>
      </c>
      <c r="BP97" s="15" t="n">
        <v>0.35509</v>
      </c>
      <c r="BQ97" s="15" t="n">
        <v>-0.16739</v>
      </c>
      <c r="BR97" s="15" t="n">
        <v>0.076268</v>
      </c>
      <c r="BS97" s="15" t="n">
        <v>0.3645</v>
      </c>
      <c r="BT97" s="15" t="n">
        <v>0.042239</v>
      </c>
      <c r="BU97" s="15" t="n">
        <v>-0.11335</v>
      </c>
      <c r="BV97" s="15" t="n">
        <v>0.56554</v>
      </c>
      <c r="BW97" s="15" t="n">
        <v>-0.052502</v>
      </c>
      <c r="BX97" s="15" t="n">
        <v>0.046299</v>
      </c>
      <c r="BY97" s="15" t="n">
        <v>0.12489</v>
      </c>
      <c r="BZ97" s="15" t="n">
        <v>0.19204</v>
      </c>
      <c r="CA97" s="15" t="n">
        <v>0.0037491</v>
      </c>
      <c r="CB97" s="15" t="n">
        <v>-0.24209</v>
      </c>
      <c r="CC97" s="15" t="n">
        <v>-0.16326</v>
      </c>
      <c r="CD97" s="15" t="n">
        <v>-0.53515</v>
      </c>
      <c r="CE97" s="15" t="n">
        <v>-0.068802</v>
      </c>
      <c r="CF97" s="15" t="n">
        <v>0.12162</v>
      </c>
      <c r="CG97" s="15" t="n">
        <v>0.0072561</v>
      </c>
      <c r="CH97" s="15" t="n">
        <v>-0.33844</v>
      </c>
      <c r="CI97" s="15" t="n">
        <v>-0.17216</v>
      </c>
      <c r="CJ97" s="15" t="n">
        <v>-1.1387</v>
      </c>
      <c r="CK97" s="15" t="n">
        <v>-0.70404</v>
      </c>
      <c r="CL97" s="15" t="n">
        <v>0.0587</v>
      </c>
      <c r="CM97" s="15" t="n">
        <v>-0.025772</v>
      </c>
      <c r="CN97" s="15" t="n">
        <v>-0.39503</v>
      </c>
      <c r="CO97" s="15" t="n">
        <v>-0.14218</v>
      </c>
      <c r="CP97" s="15" t="n">
        <v>-0.0026275</v>
      </c>
      <c r="CQ97" s="15" t="n">
        <v>-0.60491</v>
      </c>
      <c r="CR97" s="15" t="n">
        <v>-0.036436</v>
      </c>
      <c r="CS97" s="15" t="n">
        <v>0.1958</v>
      </c>
      <c r="CT97" s="15" t="n">
        <v>-0.25445</v>
      </c>
      <c r="CU97" s="15" t="n">
        <v>0.50262</v>
      </c>
      <c r="CV97" s="15" t="n">
        <v>-0.24793</v>
      </c>
      <c r="CW97" s="15" t="n">
        <v>-0.26154</v>
      </c>
      <c r="CX97" s="15" t="n">
        <v>-0.21175</v>
      </c>
      <c r="CY97" s="15" t="n">
        <v>0.65673</v>
      </c>
    </row>
    <row r="98" customFormat="false" ht="15" hidden="false" customHeight="false" outlineLevel="0" collapsed="false">
      <c r="A98" s="4" t="s">
        <v>103</v>
      </c>
      <c r="B98" s="2" t="n">
        <f aca="false">COUNTIF('1.3 TF-IDF coseno'!$M$10:$M$123,A98)</f>
        <v>0</v>
      </c>
      <c r="C98" s="2" t="n">
        <f aca="false">COUNTIF('1.3 TF-IDF coseno'!$N$10:$N$102,A98)</f>
        <v>1</v>
      </c>
      <c r="D98" s="15" t="n">
        <v>-0.7404</v>
      </c>
      <c r="E98" s="15" t="n">
        <v>0.27454</v>
      </c>
      <c r="F98" s="15" t="n">
        <v>0.1424</v>
      </c>
      <c r="G98" s="15" t="n">
        <v>0.53178</v>
      </c>
      <c r="H98" s="15" t="n">
        <v>0.26387</v>
      </c>
      <c r="I98" s="15" t="n">
        <v>-0.36512</v>
      </c>
      <c r="J98" s="15" t="n">
        <v>-0.21823</v>
      </c>
      <c r="K98" s="15" t="n">
        <v>-0.51183</v>
      </c>
      <c r="L98" s="15" t="n">
        <v>0.103</v>
      </c>
      <c r="M98" s="15" t="n">
        <v>-0.02869</v>
      </c>
      <c r="N98" s="15" t="n">
        <v>-0.15197</v>
      </c>
      <c r="O98" s="15" t="n">
        <v>-0.54318</v>
      </c>
      <c r="P98" s="15" t="n">
        <v>-0.15861</v>
      </c>
      <c r="Q98" s="15" t="n">
        <v>-0.30224</v>
      </c>
      <c r="R98" s="15" t="n">
        <v>-0.20783</v>
      </c>
      <c r="S98" s="15" t="n">
        <v>0.13453</v>
      </c>
      <c r="T98" s="15" t="n">
        <v>0.060973</v>
      </c>
      <c r="U98" s="15" t="n">
        <v>-0.47383</v>
      </c>
      <c r="V98" s="15" t="n">
        <v>0.16498</v>
      </c>
      <c r="W98" s="15" t="n">
        <v>0.42727</v>
      </c>
      <c r="X98" s="15" t="n">
        <v>0.18123</v>
      </c>
      <c r="Y98" s="15" t="n">
        <v>-0.060213</v>
      </c>
      <c r="Z98" s="15" t="n">
        <v>-0.29849</v>
      </c>
      <c r="AA98" s="15" t="n">
        <v>-0.25167</v>
      </c>
      <c r="AB98" s="15" t="n">
        <v>0.091173</v>
      </c>
      <c r="AC98" s="15" t="n">
        <v>-0.0085085</v>
      </c>
      <c r="AD98" s="15" t="n">
        <v>0.099134</v>
      </c>
      <c r="AE98" s="15" t="n">
        <v>0.2937</v>
      </c>
      <c r="AF98" s="15" t="n">
        <v>0.25916</v>
      </c>
      <c r="AG98" s="15" t="n">
        <v>0.68552</v>
      </c>
      <c r="AH98" s="15" t="n">
        <v>0.29568</v>
      </c>
      <c r="AI98" s="15" t="n">
        <v>0.030716</v>
      </c>
      <c r="AJ98" s="15" t="n">
        <v>0.056561</v>
      </c>
      <c r="AK98" s="15" t="n">
        <v>0.48212</v>
      </c>
      <c r="AL98" s="15" t="n">
        <v>-0.30729</v>
      </c>
      <c r="AM98" s="15" t="n">
        <v>0.064207</v>
      </c>
      <c r="AN98" s="15" t="n">
        <v>-0.34484</v>
      </c>
      <c r="AO98" s="15" t="n">
        <v>0.43391</v>
      </c>
      <c r="AP98" s="15" t="n">
        <v>-0.69106</v>
      </c>
      <c r="AQ98" s="15" t="n">
        <v>0.47913</v>
      </c>
      <c r="AR98" s="15" t="n">
        <v>-0.73992</v>
      </c>
      <c r="AS98" s="15" t="n">
        <v>-0.071964</v>
      </c>
      <c r="AT98" s="15" t="n">
        <v>0.38172</v>
      </c>
      <c r="AU98" s="15" t="n">
        <v>0.070107</v>
      </c>
      <c r="AV98" s="15" t="n">
        <v>0.054866</v>
      </c>
      <c r="AW98" s="15" t="n">
        <v>-0.12056</v>
      </c>
      <c r="AX98" s="15" t="n">
        <v>0.21075</v>
      </c>
      <c r="AY98" s="15" t="n">
        <v>-0.13613</v>
      </c>
      <c r="AZ98" s="15" t="n">
        <v>-0.56221</v>
      </c>
      <c r="BA98" s="15" t="n">
        <v>-0.26398</v>
      </c>
      <c r="BB98" s="15" t="n">
        <v>0.78236</v>
      </c>
      <c r="BC98" s="15" t="n">
        <v>-0.071399</v>
      </c>
      <c r="BD98" s="15" t="n">
        <v>-0.016229</v>
      </c>
      <c r="BE98" s="15" t="n">
        <v>0.883</v>
      </c>
      <c r="BF98" s="15" t="n">
        <v>0.33707</v>
      </c>
      <c r="BG98" s="15" t="n">
        <v>-2.0999</v>
      </c>
      <c r="BH98" s="15" t="n">
        <v>0.61291</v>
      </c>
      <c r="BI98" s="15" t="n">
        <v>-0.44518</v>
      </c>
      <c r="BJ98" s="15" t="n">
        <v>1.4964</v>
      </c>
      <c r="BK98" s="15" t="n">
        <v>0.15115</v>
      </c>
      <c r="BL98" s="15" t="n">
        <v>-0.24874</v>
      </c>
      <c r="BM98" s="15" t="n">
        <v>0.51489</v>
      </c>
      <c r="BN98" s="15" t="n">
        <v>-0.36264</v>
      </c>
      <c r="BO98" s="15" t="n">
        <v>0.016762</v>
      </c>
      <c r="BP98" s="15" t="n">
        <v>0.89264</v>
      </c>
      <c r="BQ98" s="15" t="n">
        <v>-0.27091</v>
      </c>
      <c r="BR98" s="15" t="n">
        <v>0.11724</v>
      </c>
      <c r="BS98" s="15" t="n">
        <v>-0.21203</v>
      </c>
      <c r="BT98" s="15" t="n">
        <v>0.13033</v>
      </c>
      <c r="BU98" s="15" t="n">
        <v>-0.040305</v>
      </c>
      <c r="BV98" s="15" t="n">
        <v>-0.24911</v>
      </c>
      <c r="BW98" s="15" t="n">
        <v>0.44709</v>
      </c>
      <c r="BX98" s="15" t="n">
        <v>0.29213</v>
      </c>
      <c r="BY98" s="15" t="n">
        <v>0.12369</v>
      </c>
      <c r="BZ98" s="15" t="n">
        <v>0.052361</v>
      </c>
      <c r="CA98" s="15" t="n">
        <v>0.027349</v>
      </c>
      <c r="CB98" s="15" t="n">
        <v>-0.38734</v>
      </c>
      <c r="CC98" s="15" t="n">
        <v>-0.0072008</v>
      </c>
      <c r="CD98" s="15" t="n">
        <v>-0.77289</v>
      </c>
      <c r="CE98" s="15" t="n">
        <v>-0.48908</v>
      </c>
      <c r="CF98" s="15" t="n">
        <v>0.34426</v>
      </c>
      <c r="CG98" s="15" t="n">
        <v>0.57487</v>
      </c>
      <c r="CH98" s="15" t="n">
        <v>-0.62901</v>
      </c>
      <c r="CI98" s="15" t="n">
        <v>0.039798</v>
      </c>
      <c r="CJ98" s="15" t="n">
        <v>-1.7957</v>
      </c>
      <c r="CK98" s="15" t="n">
        <v>0.11817</v>
      </c>
      <c r="CL98" s="15" t="n">
        <v>0.18697</v>
      </c>
      <c r="CM98" s="15" t="n">
        <v>-0.0077416</v>
      </c>
      <c r="CN98" s="15" t="n">
        <v>-0.74229</v>
      </c>
      <c r="CO98" s="15" t="n">
        <v>-0.48965</v>
      </c>
      <c r="CP98" s="15" t="n">
        <v>0.29335</v>
      </c>
      <c r="CQ98" s="15" t="n">
        <v>0.20599</v>
      </c>
      <c r="CR98" s="15" t="n">
        <v>-0.2348</v>
      </c>
      <c r="CS98" s="15" t="n">
        <v>0.39733</v>
      </c>
      <c r="CT98" s="15" t="n">
        <v>-0.3073</v>
      </c>
      <c r="CU98" s="15" t="n">
        <v>0.86299</v>
      </c>
      <c r="CV98" s="15" t="n">
        <v>0.15235</v>
      </c>
      <c r="CW98" s="15" t="n">
        <v>-0.34901</v>
      </c>
      <c r="CX98" s="15" t="n">
        <v>0.34354</v>
      </c>
      <c r="CY98" s="15" t="n">
        <v>0.83093</v>
      </c>
    </row>
    <row r="99" customFormat="false" ht="15" hidden="false" customHeight="false" outlineLevel="0" collapsed="false">
      <c r="A99" s="4" t="s">
        <v>104</v>
      </c>
      <c r="B99" s="2" t="n">
        <f aca="false">COUNTIF('1.3 TF-IDF coseno'!$M$10:$M$123,A99)</f>
        <v>0</v>
      </c>
      <c r="C99" s="2" t="n">
        <f aca="false">COUNTIF('1.3 TF-IDF coseno'!$N$10:$N$102,A99)</f>
        <v>1</v>
      </c>
      <c r="D99" s="15" t="n">
        <v>-0.1274</v>
      </c>
      <c r="E99" s="15" t="n">
        <v>0.135</v>
      </c>
      <c r="F99" s="15" t="n">
        <v>0.30868</v>
      </c>
      <c r="G99" s="15" t="n">
        <v>0.60171</v>
      </c>
      <c r="H99" s="15" t="n">
        <v>-0.34448</v>
      </c>
      <c r="I99" s="15" t="n">
        <v>-0.15687</v>
      </c>
      <c r="J99" s="15" t="n">
        <v>-0.79283</v>
      </c>
      <c r="K99" s="15" t="n">
        <v>0.30545</v>
      </c>
      <c r="L99" s="15" t="n">
        <v>0.097768</v>
      </c>
      <c r="M99" s="15" t="n">
        <v>-0.33139</v>
      </c>
      <c r="N99" s="15" t="n">
        <v>-0.44221</v>
      </c>
      <c r="O99" s="15" t="n">
        <v>-0.098126</v>
      </c>
      <c r="P99" s="15" t="n">
        <v>-0.10752</v>
      </c>
      <c r="Q99" s="15" t="n">
        <v>-0.34693</v>
      </c>
      <c r="R99" s="15" t="n">
        <v>-0.33925</v>
      </c>
      <c r="S99" s="15" t="n">
        <v>-0.46091</v>
      </c>
      <c r="T99" s="15" t="n">
        <v>-0.096321</v>
      </c>
      <c r="U99" s="15" t="n">
        <v>0.25605</v>
      </c>
      <c r="V99" s="15" t="n">
        <v>-0.34309</v>
      </c>
      <c r="W99" s="15" t="n">
        <v>0.40316</v>
      </c>
      <c r="X99" s="15" t="n">
        <v>-0.22782</v>
      </c>
      <c r="Y99" s="15" t="n">
        <v>-0.2143</v>
      </c>
      <c r="Z99" s="15" t="n">
        <v>-0.17276</v>
      </c>
      <c r="AA99" s="15" t="n">
        <v>-0.31215</v>
      </c>
      <c r="AB99" s="15" t="n">
        <v>-0.4393</v>
      </c>
      <c r="AC99" s="15" t="n">
        <v>0.066887</v>
      </c>
      <c r="AD99" s="15" t="n">
        <v>-0.11633</v>
      </c>
      <c r="AE99" s="15" t="n">
        <v>-0.57353</v>
      </c>
      <c r="AF99" s="15" t="n">
        <v>0.045435</v>
      </c>
      <c r="AG99" s="15" t="n">
        <v>0.20958</v>
      </c>
      <c r="AH99" s="15" t="n">
        <v>-0.0042014</v>
      </c>
      <c r="AI99" s="15" t="n">
        <v>0.25746</v>
      </c>
      <c r="AJ99" s="15" t="n">
        <v>-0.46099</v>
      </c>
      <c r="AK99" s="15" t="n">
        <v>-0.26969</v>
      </c>
      <c r="AL99" s="15" t="n">
        <v>0.29778</v>
      </c>
      <c r="AM99" s="15" t="n">
        <v>0.018562</v>
      </c>
      <c r="AN99" s="15" t="n">
        <v>0.15829</v>
      </c>
      <c r="AO99" s="15" t="n">
        <v>-0.35213</v>
      </c>
      <c r="AP99" s="15" t="n">
        <v>-0.17307</v>
      </c>
      <c r="AQ99" s="15" t="n">
        <v>-0.45062</v>
      </c>
      <c r="AR99" s="15" t="n">
        <v>-0.78237</v>
      </c>
      <c r="AS99" s="15" t="n">
        <v>0.18937</v>
      </c>
      <c r="AT99" s="15" t="n">
        <v>0.6784</v>
      </c>
      <c r="AU99" s="15" t="n">
        <v>-0.52878</v>
      </c>
      <c r="AV99" s="15" t="n">
        <v>-0.43109</v>
      </c>
      <c r="AW99" s="15" t="n">
        <v>-0.14757</v>
      </c>
      <c r="AX99" s="15" t="n">
        <v>0.13099</v>
      </c>
      <c r="AY99" s="15" t="n">
        <v>-0.22331</v>
      </c>
      <c r="AZ99" s="15" t="n">
        <v>-0.71113</v>
      </c>
      <c r="BA99" s="15" t="n">
        <v>-1.1266</v>
      </c>
      <c r="BB99" s="15" t="n">
        <v>0.7947</v>
      </c>
      <c r="BC99" s="15" t="n">
        <v>-0.060828</v>
      </c>
      <c r="BD99" s="15" t="n">
        <v>-0.034943</v>
      </c>
      <c r="BE99" s="15" t="n">
        <v>0.73618</v>
      </c>
      <c r="BF99" s="15" t="n">
        <v>-0.85425</v>
      </c>
      <c r="BG99" s="15" t="n">
        <v>-1.5794</v>
      </c>
      <c r="BH99" s="15" t="n">
        <v>0.62391</v>
      </c>
      <c r="BI99" s="15" t="n">
        <v>-0.50488</v>
      </c>
      <c r="BJ99" s="15" t="n">
        <v>1.5538</v>
      </c>
      <c r="BK99" s="15" t="n">
        <v>0.21311</v>
      </c>
      <c r="BL99" s="15" t="n">
        <v>-0.44731</v>
      </c>
      <c r="BM99" s="15" t="n">
        <v>0.2958</v>
      </c>
      <c r="BN99" s="15" t="n">
        <v>-0.033066</v>
      </c>
      <c r="BO99" s="15" t="n">
        <v>-0.24798</v>
      </c>
      <c r="BP99" s="15" t="n">
        <v>1.1644</v>
      </c>
      <c r="BQ99" s="15" t="n">
        <v>-0.020061</v>
      </c>
      <c r="BR99" s="15" t="n">
        <v>0.20239</v>
      </c>
      <c r="BS99" s="15" t="n">
        <v>1.0067</v>
      </c>
      <c r="BT99" s="15" t="n">
        <v>-0.60068</v>
      </c>
      <c r="BU99" s="15" t="n">
        <v>-0.21605</v>
      </c>
      <c r="BV99" s="15" t="n">
        <v>-0.11924</v>
      </c>
      <c r="BW99" s="15" t="n">
        <v>-0.50631</v>
      </c>
      <c r="BX99" s="15" t="n">
        <v>-0.60183</v>
      </c>
      <c r="BY99" s="15" t="n">
        <v>-0.41068</v>
      </c>
      <c r="BZ99" s="15" t="n">
        <v>-0.50602</v>
      </c>
      <c r="CA99" s="15" t="n">
        <v>-0.092132</v>
      </c>
      <c r="CB99" s="15" t="n">
        <v>-0.17481</v>
      </c>
      <c r="CC99" s="15" t="n">
        <v>-0.12053</v>
      </c>
      <c r="CD99" s="15" t="n">
        <v>-0.34686</v>
      </c>
      <c r="CE99" s="15" t="n">
        <v>-0.20235</v>
      </c>
      <c r="CF99" s="15" t="n">
        <v>0.089971</v>
      </c>
      <c r="CG99" s="15" t="n">
        <v>-0.41844</v>
      </c>
      <c r="CH99" s="15" t="n">
        <v>-0.51869</v>
      </c>
      <c r="CI99" s="15" t="n">
        <v>-0.12442</v>
      </c>
      <c r="CJ99" s="15" t="n">
        <v>-1.1073</v>
      </c>
      <c r="CK99" s="15" t="n">
        <v>-0.085266</v>
      </c>
      <c r="CL99" s="15" t="n">
        <v>0.16108</v>
      </c>
      <c r="CM99" s="15" t="n">
        <v>0.08297</v>
      </c>
      <c r="CN99" s="15" t="n">
        <v>-0.40574</v>
      </c>
      <c r="CO99" s="15" t="n">
        <v>-0.45787</v>
      </c>
      <c r="CP99" s="15" t="n">
        <v>-0.087265</v>
      </c>
      <c r="CQ99" s="15" t="n">
        <v>-0.16363</v>
      </c>
      <c r="CR99" s="15" t="n">
        <v>-0.35333</v>
      </c>
      <c r="CS99" s="15" t="n">
        <v>-0.65161</v>
      </c>
      <c r="CT99" s="15" t="n">
        <v>-0.57499</v>
      </c>
      <c r="CU99" s="15" t="n">
        <v>-0.0053176</v>
      </c>
      <c r="CV99" s="15" t="n">
        <v>-0.19942</v>
      </c>
      <c r="CW99" s="15" t="n">
        <v>-0.28666</v>
      </c>
      <c r="CX99" s="15" t="n">
        <v>0.66296</v>
      </c>
      <c r="CY99" s="15" t="n">
        <v>0.20317</v>
      </c>
    </row>
    <row r="100" customFormat="false" ht="15" hidden="false" customHeight="false" outlineLevel="0" collapsed="false">
      <c r="A100" s="4" t="s">
        <v>105</v>
      </c>
      <c r="B100" s="2" t="n">
        <f aca="false">COUNTIF('1.3 TF-IDF coseno'!$M$10:$M$123,A100)</f>
        <v>0</v>
      </c>
      <c r="C100" s="2" t="n">
        <f aca="false">COUNTIF('1.3 TF-IDF coseno'!$N$10:$N$102,A100)</f>
        <v>2</v>
      </c>
      <c r="D100" s="15" t="n">
        <v>-0.45336</v>
      </c>
      <c r="E100" s="15" t="n">
        <v>0.55227</v>
      </c>
      <c r="F100" s="15" t="n">
        <v>0.21899</v>
      </c>
      <c r="G100" s="15" t="n">
        <v>0.32392</v>
      </c>
      <c r="H100" s="15" t="n">
        <v>-0.17651</v>
      </c>
      <c r="I100" s="15" t="n">
        <v>-0.64308</v>
      </c>
      <c r="J100" s="15" t="n">
        <v>0.77261</v>
      </c>
      <c r="K100" s="15" t="n">
        <v>0.39094</v>
      </c>
      <c r="L100" s="15" t="n">
        <v>-0.30385</v>
      </c>
      <c r="M100" s="15" t="n">
        <v>0.47002</v>
      </c>
      <c r="N100" s="15" t="n">
        <v>0.36798</v>
      </c>
      <c r="O100" s="15" t="n">
        <v>-0.49082</v>
      </c>
      <c r="P100" s="15" t="n">
        <v>0.50129</v>
      </c>
      <c r="Q100" s="15" t="n">
        <v>-0.017086</v>
      </c>
      <c r="R100" s="15" t="n">
        <v>0.60169</v>
      </c>
      <c r="S100" s="15" t="n">
        <v>0.11981</v>
      </c>
      <c r="T100" s="15" t="n">
        <v>0.1566</v>
      </c>
      <c r="U100" s="15" t="n">
        <v>1.054</v>
      </c>
      <c r="V100" s="15" t="n">
        <v>0.79274</v>
      </c>
      <c r="W100" s="15" t="n">
        <v>-0.1088</v>
      </c>
      <c r="X100" s="15" t="n">
        <v>0.10583</v>
      </c>
      <c r="Y100" s="15" t="n">
        <v>-0.66237</v>
      </c>
      <c r="Z100" s="15" t="n">
        <v>0.49587</v>
      </c>
      <c r="AA100" s="15" t="n">
        <v>0.47655</v>
      </c>
      <c r="AB100" s="15" t="n">
        <v>0.3474</v>
      </c>
      <c r="AC100" s="15" t="n">
        <v>-0.48268</v>
      </c>
      <c r="AD100" s="15" t="n">
        <v>0.05699</v>
      </c>
      <c r="AE100" s="15" t="n">
        <v>-0.70759</v>
      </c>
      <c r="AF100" s="15" t="n">
        <v>-0.31869</v>
      </c>
      <c r="AG100" s="15" t="n">
        <v>0.074566</v>
      </c>
      <c r="AH100" s="15" t="n">
        <v>0.65361</v>
      </c>
      <c r="AI100" s="15" t="n">
        <v>0.40939</v>
      </c>
      <c r="AJ100" s="15" t="n">
        <v>-1.2333</v>
      </c>
      <c r="AK100" s="15" t="n">
        <v>-0.30763</v>
      </c>
      <c r="AL100" s="15" t="n">
        <v>0.96312</v>
      </c>
      <c r="AM100" s="15" t="n">
        <v>0.80062</v>
      </c>
      <c r="AN100" s="15" t="n">
        <v>0.7561</v>
      </c>
      <c r="AO100" s="15" t="n">
        <v>-0.11162</v>
      </c>
      <c r="AP100" s="15" t="n">
        <v>0.045247</v>
      </c>
      <c r="AQ100" s="15" t="n">
        <v>-0.3686</v>
      </c>
      <c r="AR100" s="15" t="n">
        <v>0.13686</v>
      </c>
      <c r="AS100" s="15" t="n">
        <v>-0.56366</v>
      </c>
      <c r="AT100" s="15" t="n">
        <v>-0.44242</v>
      </c>
      <c r="AU100" s="15" t="n">
        <v>0.17546</v>
      </c>
      <c r="AV100" s="15" t="n">
        <v>-0.77201</v>
      </c>
      <c r="AW100" s="15" t="n">
        <v>0.35075</v>
      </c>
      <c r="AX100" s="15" t="n">
        <v>0.44141</v>
      </c>
      <c r="AY100" s="15" t="n">
        <v>-0.31169</v>
      </c>
      <c r="AZ100" s="15" t="n">
        <v>-0.32668</v>
      </c>
      <c r="BA100" s="15" t="n">
        <v>0.043376</v>
      </c>
      <c r="BB100" s="15" t="n">
        <v>-0.051214</v>
      </c>
      <c r="BC100" s="15" t="n">
        <v>0.044595</v>
      </c>
      <c r="BD100" s="15" t="n">
        <v>-0.59502</v>
      </c>
      <c r="BE100" s="15" t="n">
        <v>1.0882</v>
      </c>
      <c r="BF100" s="15" t="n">
        <v>0.5464</v>
      </c>
      <c r="BG100" s="15" t="n">
        <v>-1.2399</v>
      </c>
      <c r="BH100" s="15" t="n">
        <v>-0.6741</v>
      </c>
      <c r="BI100" s="15" t="n">
        <v>0.65818</v>
      </c>
      <c r="BJ100" s="15" t="n">
        <v>1.0314</v>
      </c>
      <c r="BK100" s="15" t="n">
        <v>-0.069234</v>
      </c>
      <c r="BL100" s="15" t="n">
        <v>-0.0026639</v>
      </c>
      <c r="BM100" s="15" t="n">
        <v>0.99316</v>
      </c>
      <c r="BN100" s="15" t="n">
        <v>-0.43837</v>
      </c>
      <c r="BO100" s="15" t="n">
        <v>0.74668</v>
      </c>
      <c r="BP100" s="15" t="n">
        <v>0.86403</v>
      </c>
      <c r="BQ100" s="15" t="n">
        <v>-0.15016</v>
      </c>
      <c r="BR100" s="15" t="n">
        <v>-0.45625</v>
      </c>
      <c r="BS100" s="15" t="n">
        <v>-0.59972</v>
      </c>
      <c r="BT100" s="15" t="n">
        <v>0.32447</v>
      </c>
      <c r="BU100" s="15" t="n">
        <v>0.09415</v>
      </c>
      <c r="BV100" s="15" t="n">
        <v>0.46077</v>
      </c>
      <c r="BW100" s="15" t="n">
        <v>0.17502</v>
      </c>
      <c r="BX100" s="15" t="n">
        <v>-0.32572</v>
      </c>
      <c r="BY100" s="15" t="n">
        <v>-0.37859</v>
      </c>
      <c r="BZ100" s="15" t="n">
        <v>-0.088225</v>
      </c>
      <c r="CA100" s="15" t="n">
        <v>0.096861</v>
      </c>
      <c r="CB100" s="15" t="n">
        <v>1.0533</v>
      </c>
      <c r="CC100" s="15" t="n">
        <v>0.36611</v>
      </c>
      <c r="CD100" s="15" t="n">
        <v>-0.32635</v>
      </c>
      <c r="CE100" s="15" t="n">
        <v>-0.9572</v>
      </c>
      <c r="CF100" s="15" t="n">
        <v>0.13999</v>
      </c>
      <c r="CG100" s="15" t="n">
        <v>-0.12604</v>
      </c>
      <c r="CH100" s="15" t="n">
        <v>-0.082512</v>
      </c>
      <c r="CI100" s="15" t="n">
        <v>-0.23573</v>
      </c>
      <c r="CJ100" s="15" t="n">
        <v>-1.3359</v>
      </c>
      <c r="CK100" s="15" t="n">
        <v>0.1127</v>
      </c>
      <c r="CL100" s="15" t="n">
        <v>0.24152</v>
      </c>
      <c r="CM100" s="15" t="n">
        <v>-0.97243</v>
      </c>
      <c r="CN100" s="15" t="n">
        <v>-0.66357</v>
      </c>
      <c r="CO100" s="15" t="n">
        <v>-0.65946</v>
      </c>
      <c r="CP100" s="15" t="n">
        <v>0.11332</v>
      </c>
      <c r="CQ100" s="15" t="n">
        <v>0.011534</v>
      </c>
      <c r="CR100" s="15" t="n">
        <v>0.38338</v>
      </c>
      <c r="CS100" s="15" t="n">
        <v>-0.81393</v>
      </c>
      <c r="CT100" s="15" t="n">
        <v>0.043004</v>
      </c>
      <c r="CU100" s="15" t="n">
        <v>-0.15725</v>
      </c>
      <c r="CV100" s="15" t="n">
        <v>-1.3554</v>
      </c>
      <c r="CW100" s="15" t="n">
        <v>-0.55936</v>
      </c>
      <c r="CX100" s="15" t="n">
        <v>1.5914</v>
      </c>
      <c r="CY100" s="15" t="n">
        <v>0.074783</v>
      </c>
    </row>
    <row r="101" customFormat="false" ht="15" hidden="false" customHeight="false" outlineLevel="0" collapsed="false">
      <c r="A101" s="4" t="s">
        <v>106</v>
      </c>
      <c r="B101" s="2" t="n">
        <f aca="false">COUNTIF('1.3 TF-IDF coseno'!$M$10:$M$123,A101)</f>
        <v>0</v>
      </c>
      <c r="C101" s="2" t="n">
        <f aca="false">COUNTIF('1.3 TF-IDF coseno'!$N$10:$N$102,A101)</f>
        <v>1</v>
      </c>
      <c r="D101" s="15" t="n">
        <v>-0.062443</v>
      </c>
      <c r="E101" s="15" t="n">
        <v>0.54646</v>
      </c>
      <c r="F101" s="15" t="n">
        <v>-0.63744</v>
      </c>
      <c r="G101" s="15" t="n">
        <v>-0.1629</v>
      </c>
      <c r="H101" s="15" t="n">
        <v>-0.33036</v>
      </c>
      <c r="I101" s="15" t="n">
        <v>0.14841</v>
      </c>
      <c r="J101" s="15" t="n">
        <v>0.2854</v>
      </c>
      <c r="K101" s="15" t="n">
        <v>-0.027062</v>
      </c>
      <c r="L101" s="15" t="n">
        <v>-0.96906</v>
      </c>
      <c r="M101" s="15" t="n">
        <v>0.87773</v>
      </c>
      <c r="N101" s="15" t="n">
        <v>0.31912</v>
      </c>
      <c r="O101" s="15" t="n">
        <v>-0.35297</v>
      </c>
      <c r="P101" s="15" t="n">
        <v>1.0904</v>
      </c>
      <c r="Q101" s="15" t="n">
        <v>0.4278</v>
      </c>
      <c r="R101" s="15" t="n">
        <v>-0.38768</v>
      </c>
      <c r="S101" s="15" t="n">
        <v>-0.44778</v>
      </c>
      <c r="T101" s="15" t="n">
        <v>0.50988</v>
      </c>
      <c r="U101" s="15" t="n">
        <v>-0.19683</v>
      </c>
      <c r="V101" s="15" t="n">
        <v>-0.63837</v>
      </c>
      <c r="W101" s="15" t="n">
        <v>-0.18694</v>
      </c>
      <c r="X101" s="15" t="n">
        <v>-0.0092035</v>
      </c>
      <c r="Y101" s="15" t="n">
        <v>-0.31984</v>
      </c>
      <c r="Z101" s="15" t="n">
        <v>0.49261</v>
      </c>
      <c r="AA101" s="15" t="n">
        <v>-1.0616</v>
      </c>
      <c r="AB101" s="15" t="n">
        <v>-0.49322</v>
      </c>
      <c r="AC101" s="15" t="n">
        <v>-0.66041</v>
      </c>
      <c r="AD101" s="15" t="n">
        <v>-0.51994</v>
      </c>
      <c r="AE101" s="15" t="n">
        <v>-0.79816</v>
      </c>
      <c r="AF101" s="15" t="n">
        <v>0.49114</v>
      </c>
      <c r="AG101" s="15" t="n">
        <v>0.15326</v>
      </c>
      <c r="AH101" s="15" t="n">
        <v>-0.94528</v>
      </c>
      <c r="AI101" s="15" t="n">
        <v>-0.0032227</v>
      </c>
      <c r="AJ101" s="15" t="n">
        <v>-0.38701</v>
      </c>
      <c r="AK101" s="15" t="n">
        <v>0.39566</v>
      </c>
      <c r="AL101" s="15" t="n">
        <v>1.1855</v>
      </c>
      <c r="AM101" s="15" t="n">
        <v>0.16325</v>
      </c>
      <c r="AN101" s="15" t="n">
        <v>-0.8457</v>
      </c>
      <c r="AO101" s="15" t="n">
        <v>0.81713</v>
      </c>
      <c r="AP101" s="15" t="n">
        <v>0.55036</v>
      </c>
      <c r="AQ101" s="15" t="n">
        <v>0.21164</v>
      </c>
      <c r="AR101" s="15" t="n">
        <v>-0.32873</v>
      </c>
      <c r="AS101" s="15" t="n">
        <v>0.3796</v>
      </c>
      <c r="AT101" s="15" t="n">
        <v>-0.10773</v>
      </c>
      <c r="AU101" s="15" t="n">
        <v>-0.43084</v>
      </c>
      <c r="AV101" s="15" t="n">
        <v>0.55792</v>
      </c>
      <c r="AW101" s="15" t="n">
        <v>-0.39808</v>
      </c>
      <c r="AX101" s="15" t="n">
        <v>0.18185</v>
      </c>
      <c r="AY101" s="15" t="n">
        <v>-0.27955</v>
      </c>
      <c r="AZ101" s="15" t="n">
        <v>0.29852</v>
      </c>
      <c r="BA101" s="15" t="n">
        <v>-0.54115</v>
      </c>
      <c r="BB101" s="15" t="n">
        <v>-0.92775</v>
      </c>
      <c r="BC101" s="15" t="n">
        <v>-0.144</v>
      </c>
      <c r="BD101" s="15" t="n">
        <v>0.13104</v>
      </c>
      <c r="BE101" s="15" t="n">
        <v>0.81646</v>
      </c>
      <c r="BF101" s="15" t="n">
        <v>0.21049</v>
      </c>
      <c r="BG101" s="15" t="n">
        <v>-0.96596</v>
      </c>
      <c r="BH101" s="15" t="n">
        <v>0.051749</v>
      </c>
      <c r="BI101" s="15" t="n">
        <v>-0.37073</v>
      </c>
      <c r="BJ101" s="15" t="n">
        <v>0.71554</v>
      </c>
      <c r="BK101" s="15" t="n">
        <v>-0.032604</v>
      </c>
      <c r="BL101" s="15" t="n">
        <v>1.0418</v>
      </c>
      <c r="BM101" s="15" t="n">
        <v>1.0808</v>
      </c>
      <c r="BN101" s="15" t="n">
        <v>0.25608</v>
      </c>
      <c r="BO101" s="15" t="n">
        <v>0.12312</v>
      </c>
      <c r="BP101" s="15" t="n">
        <v>0.34776</v>
      </c>
      <c r="BQ101" s="15" t="n">
        <v>0.091765</v>
      </c>
      <c r="BR101" s="15" t="n">
        <v>-0.081147</v>
      </c>
      <c r="BS101" s="15" t="n">
        <v>0.78831</v>
      </c>
      <c r="BT101" s="15" t="n">
        <v>0.4813</v>
      </c>
      <c r="BU101" s="15" t="n">
        <v>1.4923</v>
      </c>
      <c r="BV101" s="15" t="n">
        <v>-0.02388</v>
      </c>
      <c r="BW101" s="15" t="n">
        <v>-0.28598</v>
      </c>
      <c r="BX101" s="15" t="n">
        <v>-0.65951</v>
      </c>
      <c r="BY101" s="15" t="n">
        <v>0.37243</v>
      </c>
      <c r="BZ101" s="15" t="n">
        <v>0.23596</v>
      </c>
      <c r="CA101" s="15" t="n">
        <v>-0.24189</v>
      </c>
      <c r="CB101" s="15" t="n">
        <v>0.42615</v>
      </c>
      <c r="CC101" s="15" t="n">
        <v>-0.02102</v>
      </c>
      <c r="CD101" s="15" t="n">
        <v>-0.025176</v>
      </c>
      <c r="CE101" s="15" t="n">
        <v>-0.56494</v>
      </c>
      <c r="CF101" s="15" t="n">
        <v>1.3953</v>
      </c>
      <c r="CG101" s="15" t="n">
        <v>-0.10525</v>
      </c>
      <c r="CH101" s="15" t="n">
        <v>-0.73795</v>
      </c>
      <c r="CI101" s="15" t="n">
        <v>0.049167</v>
      </c>
      <c r="CJ101" s="15" t="n">
        <v>-1.3111</v>
      </c>
      <c r="CK101" s="15" t="n">
        <v>0.12982</v>
      </c>
      <c r="CL101" s="15" t="n">
        <v>0.41896</v>
      </c>
      <c r="CM101" s="15" t="n">
        <v>0.69944</v>
      </c>
      <c r="CN101" s="15" t="n">
        <v>-1.0149</v>
      </c>
      <c r="CO101" s="15" t="n">
        <v>-0.42981</v>
      </c>
      <c r="CP101" s="15" t="n">
        <v>-0.47183</v>
      </c>
      <c r="CQ101" s="15" t="n">
        <v>-0.77494</v>
      </c>
      <c r="CR101" s="15" t="n">
        <v>0.40253</v>
      </c>
      <c r="CS101" s="15" t="n">
        <v>0.042638</v>
      </c>
      <c r="CT101" s="15" t="n">
        <v>-0.43762</v>
      </c>
      <c r="CU101" s="15" t="n">
        <v>0.10231</v>
      </c>
      <c r="CV101" s="15" t="n">
        <v>-0.67743</v>
      </c>
      <c r="CW101" s="15" t="n">
        <v>-0.086742</v>
      </c>
      <c r="CX101" s="15" t="n">
        <v>-0.26923</v>
      </c>
      <c r="CY101" s="15" t="n">
        <v>-0.31565</v>
      </c>
    </row>
    <row r="102" customFormat="false" ht="15" hidden="false" customHeight="false" outlineLevel="0" collapsed="false">
      <c r="A102" s="4" t="s">
        <v>107</v>
      </c>
      <c r="B102" s="2" t="n">
        <f aca="false">COUNTIF('1.3 TF-IDF coseno'!$M$10:$M$123,A102)</f>
        <v>0</v>
      </c>
      <c r="C102" s="2" t="n">
        <f aca="false">COUNTIF('1.3 TF-IDF coseno'!$N$10:$N$102,A102)</f>
        <v>1</v>
      </c>
      <c r="D102" s="15" t="n">
        <v>-0.41464</v>
      </c>
      <c r="E102" s="15" t="n">
        <v>-0.024022</v>
      </c>
      <c r="F102" s="15" t="n">
        <v>0.69038</v>
      </c>
      <c r="G102" s="15" t="n">
        <v>-0.16917</v>
      </c>
      <c r="H102" s="15" t="n">
        <v>0.53466</v>
      </c>
      <c r="I102" s="15" t="n">
        <v>-0.32578</v>
      </c>
      <c r="J102" s="15" t="n">
        <v>-0.30617</v>
      </c>
      <c r="K102" s="15" t="n">
        <v>-0.43134</v>
      </c>
      <c r="L102" s="15" t="n">
        <v>0.68232</v>
      </c>
      <c r="M102" s="15" t="n">
        <v>-0.14584</v>
      </c>
      <c r="N102" s="15" t="n">
        <v>0.96716</v>
      </c>
      <c r="O102" s="15" t="n">
        <v>0.010579</v>
      </c>
      <c r="P102" s="15" t="n">
        <v>0.13908</v>
      </c>
      <c r="Q102" s="15" t="n">
        <v>-0.11725</v>
      </c>
      <c r="R102" s="15" t="n">
        <v>0.55441</v>
      </c>
      <c r="S102" s="15" t="n">
        <v>0.32449</v>
      </c>
      <c r="T102" s="15" t="n">
        <v>0.86632</v>
      </c>
      <c r="U102" s="15" t="n">
        <v>-0.35831</v>
      </c>
      <c r="V102" s="15" t="n">
        <v>-0.80944</v>
      </c>
      <c r="W102" s="15" t="n">
        <v>0.29462</v>
      </c>
      <c r="X102" s="15" t="n">
        <v>-0.82374</v>
      </c>
      <c r="Y102" s="15" t="n">
        <v>-0.36054</v>
      </c>
      <c r="Z102" s="15" t="n">
        <v>0.6543</v>
      </c>
      <c r="AA102" s="15" t="n">
        <v>-0.40186</v>
      </c>
      <c r="AB102" s="15" t="n">
        <v>-1.0906</v>
      </c>
      <c r="AC102" s="15" t="n">
        <v>-0.28781</v>
      </c>
      <c r="AD102" s="15" t="n">
        <v>0.74878</v>
      </c>
      <c r="AE102" s="15" t="n">
        <v>0.12371</v>
      </c>
      <c r="AF102" s="15" t="n">
        <v>-0.4749</v>
      </c>
      <c r="AG102" s="15" t="n">
        <v>0.058669</v>
      </c>
      <c r="AH102" s="15" t="n">
        <v>0.19408</v>
      </c>
      <c r="AI102" s="15" t="n">
        <v>0.52256</v>
      </c>
      <c r="AJ102" s="15" t="n">
        <v>-0.68032</v>
      </c>
      <c r="AK102" s="15" t="n">
        <v>0.11185</v>
      </c>
      <c r="AL102" s="15" t="n">
        <v>0.014003</v>
      </c>
      <c r="AM102" s="15" t="n">
        <v>-0.091424</v>
      </c>
      <c r="AN102" s="15" t="n">
        <v>-0.41769</v>
      </c>
      <c r="AO102" s="15" t="n">
        <v>0.60061</v>
      </c>
      <c r="AP102" s="15" t="n">
        <v>-0.31572</v>
      </c>
      <c r="AQ102" s="15" t="n">
        <v>-0.1572</v>
      </c>
      <c r="AR102" s="15" t="n">
        <v>-0.28079</v>
      </c>
      <c r="AS102" s="15" t="n">
        <v>-0.24416</v>
      </c>
      <c r="AT102" s="15" t="n">
        <v>-0.50088</v>
      </c>
      <c r="AU102" s="15" t="n">
        <v>-0.38712</v>
      </c>
      <c r="AV102" s="15" t="n">
        <v>-0.40294</v>
      </c>
      <c r="AW102" s="15" t="n">
        <v>-0.23302</v>
      </c>
      <c r="AX102" s="15" t="n">
        <v>-0.24607</v>
      </c>
      <c r="AY102" s="15" t="n">
        <v>-0.26591</v>
      </c>
      <c r="AZ102" s="15" t="n">
        <v>0.052459</v>
      </c>
      <c r="BA102" s="15" t="n">
        <v>-0.51935</v>
      </c>
      <c r="BB102" s="15" t="n">
        <v>1.2673</v>
      </c>
      <c r="BC102" s="15" t="n">
        <v>0.32769</v>
      </c>
      <c r="BD102" s="15" t="n">
        <v>0.31686</v>
      </c>
      <c r="BE102" s="15" t="n">
        <v>0.89019</v>
      </c>
      <c r="BF102" s="15" t="n">
        <v>0.14828</v>
      </c>
      <c r="BG102" s="15" t="n">
        <v>-1.4152</v>
      </c>
      <c r="BH102" s="15" t="n">
        <v>0.13825</v>
      </c>
      <c r="BI102" s="15" t="n">
        <v>-0.10252</v>
      </c>
      <c r="BJ102" s="15" t="n">
        <v>2.6421</v>
      </c>
      <c r="BK102" s="15" t="n">
        <v>0.24993</v>
      </c>
      <c r="BL102" s="15" t="n">
        <v>-0.62259</v>
      </c>
      <c r="BM102" s="15" t="n">
        <v>0.68818</v>
      </c>
      <c r="BN102" s="15" t="n">
        <v>0.076016</v>
      </c>
      <c r="BO102" s="15" t="n">
        <v>-0.35118</v>
      </c>
      <c r="BP102" s="15" t="n">
        <v>0.72557</v>
      </c>
      <c r="BQ102" s="15" t="n">
        <v>-0.37386</v>
      </c>
      <c r="BR102" s="15" t="n">
        <v>0.54931</v>
      </c>
      <c r="BS102" s="15" t="n">
        <v>0.14937</v>
      </c>
      <c r="BT102" s="15" t="n">
        <v>1.1453</v>
      </c>
      <c r="BU102" s="15" t="n">
        <v>0.57868</v>
      </c>
      <c r="BV102" s="15" t="n">
        <v>-0.4066</v>
      </c>
      <c r="BW102" s="15" t="n">
        <v>-0.28072</v>
      </c>
      <c r="BX102" s="15" t="n">
        <v>0.51556</v>
      </c>
      <c r="BY102" s="15" t="n">
        <v>-1.2488</v>
      </c>
      <c r="BZ102" s="15" t="n">
        <v>0.55752</v>
      </c>
      <c r="CA102" s="15" t="n">
        <v>0.37994</v>
      </c>
      <c r="CB102" s="15" t="n">
        <v>0.27854</v>
      </c>
      <c r="CC102" s="15" t="n">
        <v>-0.16695</v>
      </c>
      <c r="CD102" s="15" t="n">
        <v>-1.6687</v>
      </c>
      <c r="CE102" s="15" t="n">
        <v>-0.28786</v>
      </c>
      <c r="CF102" s="15" t="n">
        <v>0.99649</v>
      </c>
      <c r="CG102" s="15" t="n">
        <v>0.38067</v>
      </c>
      <c r="CH102" s="15" t="n">
        <v>-0.30222</v>
      </c>
      <c r="CI102" s="15" t="n">
        <v>-0.30318</v>
      </c>
      <c r="CJ102" s="15" t="n">
        <v>-1.6912</v>
      </c>
      <c r="CK102" s="15" t="n">
        <v>-0.033104</v>
      </c>
      <c r="CL102" s="15" t="n">
        <v>0.74713</v>
      </c>
      <c r="CM102" s="15" t="n">
        <v>0.0074808</v>
      </c>
      <c r="CN102" s="15" t="n">
        <v>-0.050721</v>
      </c>
      <c r="CO102" s="15" t="n">
        <v>-0.0013296</v>
      </c>
      <c r="CP102" s="15" t="n">
        <v>0.16473</v>
      </c>
      <c r="CQ102" s="15" t="n">
        <v>0.23013</v>
      </c>
      <c r="CR102" s="15" t="n">
        <v>0.12429</v>
      </c>
      <c r="CS102" s="15" t="n">
        <v>-0.38696</v>
      </c>
      <c r="CT102" s="15" t="n">
        <v>0.083726</v>
      </c>
      <c r="CU102" s="15" t="n">
        <v>0.015447</v>
      </c>
      <c r="CV102" s="15" t="n">
        <v>0.36349</v>
      </c>
      <c r="CW102" s="15" t="n">
        <v>-0.88175</v>
      </c>
      <c r="CX102" s="15" t="n">
        <v>0.44565</v>
      </c>
      <c r="CY102" s="15" t="n">
        <v>0.40437</v>
      </c>
    </row>
    <row r="103" customFormat="false" ht="15" hidden="false" customHeight="false" outlineLevel="0" collapsed="false">
      <c r="A103" s="4" t="s">
        <v>109</v>
      </c>
      <c r="B103" s="2" t="n">
        <f aca="false">COUNTIF('1.3 TF-IDF coseno'!$M$10:$M$123,A103)</f>
        <v>0</v>
      </c>
      <c r="C103" s="2" t="n">
        <f aca="false">COUNTIF('1.3 TF-IDF coseno'!$N$10:$N$102,A103)</f>
        <v>1</v>
      </c>
      <c r="D103" s="15" t="n">
        <v>0.17614</v>
      </c>
      <c r="E103" s="15" t="n">
        <v>0.0020898</v>
      </c>
      <c r="F103" s="15" t="n">
        <v>0.1467</v>
      </c>
      <c r="G103" s="15" t="n">
        <v>-0.40558</v>
      </c>
      <c r="H103" s="15" t="n">
        <v>0.99673</v>
      </c>
      <c r="I103" s="15" t="n">
        <v>0.30492</v>
      </c>
      <c r="J103" s="15" t="n">
        <v>-0.47011</v>
      </c>
      <c r="K103" s="15" t="n">
        <v>-0.95874</v>
      </c>
      <c r="L103" s="15" t="n">
        <v>1.0572</v>
      </c>
      <c r="M103" s="15" t="n">
        <v>-0.35594</v>
      </c>
      <c r="N103" s="15" t="n">
        <v>0.50133</v>
      </c>
      <c r="O103" s="15" t="n">
        <v>-0.057034</v>
      </c>
      <c r="P103" s="15" t="n">
        <v>-0.30951</v>
      </c>
      <c r="Q103" s="15" t="n">
        <v>-1.0017</v>
      </c>
      <c r="R103" s="15" t="n">
        <v>0.10728</v>
      </c>
      <c r="S103" s="15" t="n">
        <v>-0.3755</v>
      </c>
      <c r="T103" s="15" t="n">
        <v>0.54464</v>
      </c>
      <c r="U103" s="15" t="n">
        <v>0.014829</v>
      </c>
      <c r="V103" s="15" t="n">
        <v>-0.42237</v>
      </c>
      <c r="W103" s="15" t="n">
        <v>0.27966</v>
      </c>
      <c r="X103" s="15" t="n">
        <v>-0.46403</v>
      </c>
      <c r="Y103" s="15" t="n">
        <v>-0.019231</v>
      </c>
      <c r="Z103" s="15" t="n">
        <v>0.6233</v>
      </c>
      <c r="AA103" s="15" t="n">
        <v>0.23696</v>
      </c>
      <c r="AB103" s="15" t="n">
        <v>0.12333</v>
      </c>
      <c r="AC103" s="15" t="n">
        <v>-0.36887</v>
      </c>
      <c r="AD103" s="15" t="n">
        <v>0.4163</v>
      </c>
      <c r="AE103" s="15" t="n">
        <v>0.36672</v>
      </c>
      <c r="AF103" s="15" t="n">
        <v>-0.58706</v>
      </c>
      <c r="AG103" s="15" t="n">
        <v>0.013912</v>
      </c>
      <c r="AH103" s="15" t="n">
        <v>0.50224</v>
      </c>
      <c r="AI103" s="15" t="n">
        <v>1.2097</v>
      </c>
      <c r="AJ103" s="15" t="n">
        <v>-0.040044</v>
      </c>
      <c r="AK103" s="15" t="n">
        <v>-0.059534</v>
      </c>
      <c r="AL103" s="15" t="n">
        <v>0.96173</v>
      </c>
      <c r="AM103" s="15" t="n">
        <v>0.068382</v>
      </c>
      <c r="AN103" s="15" t="n">
        <v>-0.73642</v>
      </c>
      <c r="AO103" s="15" t="n">
        <v>-0.30881</v>
      </c>
      <c r="AP103" s="15" t="n">
        <v>0.088176</v>
      </c>
      <c r="AQ103" s="15" t="n">
        <v>-0.063495</v>
      </c>
      <c r="AR103" s="15" t="n">
        <v>0.040179</v>
      </c>
      <c r="AS103" s="15" t="n">
        <v>0.30791</v>
      </c>
      <c r="AT103" s="15" t="n">
        <v>-0.81516</v>
      </c>
      <c r="AU103" s="15" t="n">
        <v>-0.0050823</v>
      </c>
      <c r="AV103" s="15" t="n">
        <v>-0.57673</v>
      </c>
      <c r="AW103" s="15" t="n">
        <v>-0.39189</v>
      </c>
      <c r="AX103" s="15" t="n">
        <v>-0.069063</v>
      </c>
      <c r="AY103" s="15" t="n">
        <v>-0.36243</v>
      </c>
      <c r="AZ103" s="15" t="n">
        <v>0.90528</v>
      </c>
      <c r="BA103" s="15" t="n">
        <v>-0.39594</v>
      </c>
      <c r="BB103" s="15" t="n">
        <v>0.38109</v>
      </c>
      <c r="BC103" s="15" t="n">
        <v>0.5872</v>
      </c>
      <c r="BD103" s="15" t="n">
        <v>-0.10179</v>
      </c>
      <c r="BE103" s="15" t="n">
        <v>0.21177</v>
      </c>
      <c r="BF103" s="15" t="n">
        <v>-0.21521</v>
      </c>
      <c r="BG103" s="15" t="n">
        <v>-2.1785</v>
      </c>
      <c r="BH103" s="15" t="n">
        <v>-0.26321</v>
      </c>
      <c r="BI103" s="15" t="n">
        <v>0.12013</v>
      </c>
      <c r="BJ103" s="15" t="n">
        <v>2.6017</v>
      </c>
      <c r="BK103" s="15" t="n">
        <v>0.38926</v>
      </c>
      <c r="BL103" s="15" t="n">
        <v>-0.50828</v>
      </c>
      <c r="BM103" s="15" t="n">
        <v>0.10227</v>
      </c>
      <c r="BN103" s="15" t="n">
        <v>0.20727</v>
      </c>
      <c r="BO103" s="15" t="n">
        <v>-0.73404</v>
      </c>
      <c r="BP103" s="15" t="n">
        <v>0.39809</v>
      </c>
      <c r="BQ103" s="15" t="n">
        <v>0.67336</v>
      </c>
      <c r="BR103" s="15" t="n">
        <v>0.68002</v>
      </c>
      <c r="BS103" s="15" t="n">
        <v>-0.39948</v>
      </c>
      <c r="BT103" s="15" t="n">
        <v>1.1548</v>
      </c>
      <c r="BU103" s="15" t="n">
        <v>0.055404</v>
      </c>
      <c r="BV103" s="15" t="n">
        <v>0.15538</v>
      </c>
      <c r="BW103" s="15" t="n">
        <v>0.044348</v>
      </c>
      <c r="BX103" s="15" t="n">
        <v>0.20843</v>
      </c>
      <c r="BY103" s="15" t="n">
        <v>-0.48981</v>
      </c>
      <c r="BZ103" s="15" t="n">
        <v>-0.74639</v>
      </c>
      <c r="CA103" s="15" t="n">
        <v>-0.22592</v>
      </c>
      <c r="CB103" s="15" t="n">
        <v>0.40956</v>
      </c>
      <c r="CC103" s="15" t="n">
        <v>-0.3046</v>
      </c>
      <c r="CD103" s="15" t="n">
        <v>-0.77986</v>
      </c>
      <c r="CE103" s="15" t="n">
        <v>-0.55812</v>
      </c>
      <c r="CF103" s="15" t="n">
        <v>1.4222</v>
      </c>
      <c r="CG103" s="15" t="n">
        <v>-0.69689</v>
      </c>
      <c r="CH103" s="15" t="n">
        <v>-0.098353</v>
      </c>
      <c r="CI103" s="15" t="n">
        <v>0.15418</v>
      </c>
      <c r="CJ103" s="15" t="n">
        <v>-1.7747</v>
      </c>
      <c r="CK103" s="15" t="n">
        <v>-0.35546</v>
      </c>
      <c r="CL103" s="15" t="n">
        <v>0.2716</v>
      </c>
      <c r="CM103" s="15" t="n">
        <v>-0.33047</v>
      </c>
      <c r="CN103" s="15" t="n">
        <v>-0.27469</v>
      </c>
      <c r="CO103" s="15" t="n">
        <v>-0.23951</v>
      </c>
      <c r="CP103" s="15" t="n">
        <v>0.63268</v>
      </c>
      <c r="CQ103" s="15" t="n">
        <v>1.0139</v>
      </c>
      <c r="CR103" s="15" t="n">
        <v>0.43262</v>
      </c>
      <c r="CS103" s="15" t="n">
        <v>-0.59572</v>
      </c>
      <c r="CT103" s="15" t="n">
        <v>0.2076</v>
      </c>
      <c r="CU103" s="15" t="n">
        <v>-0.28086</v>
      </c>
      <c r="CV103" s="15" t="n">
        <v>0.050469</v>
      </c>
      <c r="CW103" s="15" t="n">
        <v>-0.52468</v>
      </c>
      <c r="CX103" s="15" t="n">
        <v>0.76502</v>
      </c>
      <c r="CY103" s="15" t="n">
        <v>0.65232</v>
      </c>
    </row>
    <row r="104" customFormat="false" ht="15" hidden="false" customHeight="false" outlineLevel="0" collapsed="false">
      <c r="A104" s="4" t="s">
        <v>110</v>
      </c>
      <c r="B104" s="2" t="n">
        <f aca="false">COUNTIF('1.3 TF-IDF coseno'!$M$10:$M$123,A104)</f>
        <v>0</v>
      </c>
      <c r="C104" s="2" t="n">
        <f aca="false">COUNTIF('1.3 TF-IDF coseno'!$N$10:$N$102,A104)</f>
        <v>1</v>
      </c>
      <c r="D104" s="15" t="n">
        <v>-0.36331</v>
      </c>
      <c r="E104" s="15" t="n">
        <v>0.37887</v>
      </c>
      <c r="F104" s="15" t="n">
        <v>-0.26294</v>
      </c>
      <c r="G104" s="15" t="n">
        <v>0.077637</v>
      </c>
      <c r="H104" s="15" t="n">
        <v>0.14661</v>
      </c>
      <c r="I104" s="15" t="n">
        <v>-0.82105</v>
      </c>
      <c r="J104" s="15" t="n">
        <v>0.38839</v>
      </c>
      <c r="K104" s="15" t="n">
        <v>0.38699</v>
      </c>
      <c r="L104" s="15" t="n">
        <v>0.011603</v>
      </c>
      <c r="M104" s="15" t="n">
        <v>0.22379</v>
      </c>
      <c r="N104" s="15" t="n">
        <v>-0.23895</v>
      </c>
      <c r="O104" s="15" t="n">
        <v>-0.33575</v>
      </c>
      <c r="P104" s="15" t="n">
        <v>0.19397</v>
      </c>
      <c r="Q104" s="15" t="n">
        <v>0.18208</v>
      </c>
      <c r="R104" s="15" t="n">
        <v>0.056372</v>
      </c>
      <c r="S104" s="15" t="n">
        <v>-0.23177</v>
      </c>
      <c r="T104" s="15" t="n">
        <v>0.26636</v>
      </c>
      <c r="U104" s="15" t="n">
        <v>0.56484</v>
      </c>
      <c r="V104" s="15" t="n">
        <v>0.63836</v>
      </c>
      <c r="W104" s="15" t="n">
        <v>0.23001</v>
      </c>
      <c r="X104" s="15" t="n">
        <v>0.35029</v>
      </c>
      <c r="Y104" s="15" t="n">
        <v>-0.78069</v>
      </c>
      <c r="Z104" s="15" t="n">
        <v>0.3315</v>
      </c>
      <c r="AA104" s="15" t="n">
        <v>-0.19761</v>
      </c>
      <c r="AB104" s="15" t="n">
        <v>-0.47471</v>
      </c>
      <c r="AC104" s="15" t="n">
        <v>-0.050195</v>
      </c>
      <c r="AD104" s="15" t="n">
        <v>0.065035</v>
      </c>
      <c r="AE104" s="15" t="n">
        <v>-0.24245</v>
      </c>
      <c r="AF104" s="15" t="n">
        <v>0.24212</v>
      </c>
      <c r="AG104" s="15" t="n">
        <v>0.086568</v>
      </c>
      <c r="AH104" s="15" t="n">
        <v>-0.16685</v>
      </c>
      <c r="AI104" s="15" t="n">
        <v>0.51527</v>
      </c>
      <c r="AJ104" s="15" t="n">
        <v>-0.45067</v>
      </c>
      <c r="AK104" s="15" t="n">
        <v>-0.39433</v>
      </c>
      <c r="AL104" s="15" t="n">
        <v>0.39833</v>
      </c>
      <c r="AM104" s="15" t="n">
        <v>0.28866</v>
      </c>
      <c r="AN104" s="15" t="n">
        <v>0.61017</v>
      </c>
      <c r="AO104" s="15" t="n">
        <v>-0.65272</v>
      </c>
      <c r="AP104" s="15" t="n">
        <v>-0.67198</v>
      </c>
      <c r="AQ104" s="15" t="n">
        <v>0.10511</v>
      </c>
      <c r="AR104" s="15" t="n">
        <v>0.15274</v>
      </c>
      <c r="AS104" s="15" t="n">
        <v>-0.067644</v>
      </c>
      <c r="AT104" s="15" t="n">
        <v>-1.0093</v>
      </c>
      <c r="AU104" s="15" t="n">
        <v>-0.92195</v>
      </c>
      <c r="AV104" s="15" t="n">
        <v>0.29851</v>
      </c>
      <c r="AW104" s="15" t="n">
        <v>-0.36029</v>
      </c>
      <c r="AX104" s="15" t="n">
        <v>0.12801</v>
      </c>
      <c r="AY104" s="15" t="n">
        <v>-0.50232</v>
      </c>
      <c r="AZ104" s="15" t="n">
        <v>-0.60604</v>
      </c>
      <c r="BA104" s="15" t="n">
        <v>-0.80704</v>
      </c>
      <c r="BB104" s="15" t="n">
        <v>-0.065399</v>
      </c>
      <c r="BC104" s="15" t="n">
        <v>-0.25899</v>
      </c>
      <c r="BD104" s="15" t="n">
        <v>-0.0092758</v>
      </c>
      <c r="BE104" s="15" t="n">
        <v>0.50599</v>
      </c>
      <c r="BF104" s="15" t="n">
        <v>0.39722</v>
      </c>
      <c r="BG104" s="15" t="n">
        <v>-1.6327</v>
      </c>
      <c r="BH104" s="15" t="n">
        <v>-0.67515</v>
      </c>
      <c r="BI104" s="15" t="n">
        <v>0.22802</v>
      </c>
      <c r="BJ104" s="15" t="n">
        <v>1.2091</v>
      </c>
      <c r="BK104" s="15" t="n">
        <v>-0.42204</v>
      </c>
      <c r="BL104" s="15" t="n">
        <v>0.33357</v>
      </c>
      <c r="BM104" s="15" t="n">
        <v>1.106</v>
      </c>
      <c r="BN104" s="15" t="n">
        <v>-0.2195</v>
      </c>
      <c r="BO104" s="15" t="n">
        <v>-0.20304</v>
      </c>
      <c r="BP104" s="15" t="n">
        <v>1.0423</v>
      </c>
      <c r="BQ104" s="15" t="n">
        <v>-0.35388</v>
      </c>
      <c r="BR104" s="15" t="n">
        <v>0.55348</v>
      </c>
      <c r="BS104" s="15" t="n">
        <v>0.013141</v>
      </c>
      <c r="BT104" s="15" t="n">
        <v>0.30327</v>
      </c>
      <c r="BU104" s="15" t="n">
        <v>-0.99107</v>
      </c>
      <c r="BV104" s="15" t="n">
        <v>0.49016</v>
      </c>
      <c r="BW104" s="15" t="n">
        <v>0.090471</v>
      </c>
      <c r="BX104" s="15" t="n">
        <v>0.26348</v>
      </c>
      <c r="BY104" s="15" t="n">
        <v>-0.065629</v>
      </c>
      <c r="BZ104" s="15" t="n">
        <v>0.45246</v>
      </c>
      <c r="CA104" s="15" t="n">
        <v>0.50732</v>
      </c>
      <c r="CB104" s="15" t="n">
        <v>-0.22767</v>
      </c>
      <c r="CC104" s="15" t="n">
        <v>-0.59593</v>
      </c>
      <c r="CD104" s="15" t="n">
        <v>-0.65764</v>
      </c>
      <c r="CE104" s="15" t="n">
        <v>0.42431</v>
      </c>
      <c r="CF104" s="15" t="n">
        <v>0.90952</v>
      </c>
      <c r="CG104" s="15" t="n">
        <v>0.29077</v>
      </c>
      <c r="CH104" s="15" t="n">
        <v>-1.1311</v>
      </c>
      <c r="CI104" s="15" t="n">
        <v>0.32259</v>
      </c>
      <c r="CJ104" s="15" t="n">
        <v>-0.98807</v>
      </c>
      <c r="CK104" s="15" t="n">
        <v>0.17626</v>
      </c>
      <c r="CL104" s="15" t="n">
        <v>1.1488</v>
      </c>
      <c r="CM104" s="15" t="n">
        <v>0.11766</v>
      </c>
      <c r="CN104" s="15" t="n">
        <v>-0.1056</v>
      </c>
      <c r="CO104" s="15" t="n">
        <v>0.24413</v>
      </c>
      <c r="CP104" s="15" t="n">
        <v>0.11991</v>
      </c>
      <c r="CQ104" s="15" t="n">
        <v>-0.16356</v>
      </c>
      <c r="CR104" s="15" t="n">
        <v>-0.48624</v>
      </c>
      <c r="CS104" s="15" t="n">
        <v>-0.82253</v>
      </c>
      <c r="CT104" s="15" t="n">
        <v>-0.66697</v>
      </c>
      <c r="CU104" s="15" t="n">
        <v>-0.35918</v>
      </c>
      <c r="CV104" s="15" t="n">
        <v>-0.50464</v>
      </c>
      <c r="CW104" s="15" t="n">
        <v>-0.61651</v>
      </c>
      <c r="CX104" s="15" t="n">
        <v>1.3769</v>
      </c>
      <c r="CY104" s="15" t="n">
        <v>-0.14216</v>
      </c>
    </row>
    <row r="105" customFormat="false" ht="15" hidden="false" customHeight="false" outlineLevel="0" collapsed="false">
      <c r="A105" s="4" t="s">
        <v>111</v>
      </c>
      <c r="B105" s="2" t="n">
        <f aca="false">COUNTIF('1.3 TF-IDF coseno'!$M$10:$M$123,A105)</f>
        <v>0</v>
      </c>
      <c r="C105" s="2" t="n">
        <f aca="false">COUNTIF('1.3 TF-IDF coseno'!$N$10:$N$102,A105)</f>
        <v>1</v>
      </c>
      <c r="D105" s="15" t="n">
        <v>-0.15672</v>
      </c>
      <c r="E105" s="15" t="n">
        <v>-0.48372</v>
      </c>
      <c r="F105" s="15" t="n">
        <v>0.37977</v>
      </c>
      <c r="G105" s="15" t="n">
        <v>-0.14539</v>
      </c>
      <c r="H105" s="15" t="n">
        <v>-0.79672</v>
      </c>
      <c r="I105" s="15" t="n">
        <v>0.37773</v>
      </c>
      <c r="J105" s="15" t="n">
        <v>0.10309</v>
      </c>
      <c r="K105" s="15" t="n">
        <v>0.23438</v>
      </c>
      <c r="L105" s="15" t="n">
        <v>0.25659</v>
      </c>
      <c r="M105" s="15" t="n">
        <v>0.13808</v>
      </c>
      <c r="N105" s="15" t="n">
        <v>-0.31072</v>
      </c>
      <c r="O105" s="15" t="n">
        <v>0.13381</v>
      </c>
      <c r="P105" s="15" t="n">
        <v>0.47543</v>
      </c>
      <c r="Q105" s="15" t="n">
        <v>-0.55566</v>
      </c>
      <c r="R105" s="15" t="n">
        <v>0.61472</v>
      </c>
      <c r="S105" s="15" t="n">
        <v>0.60423</v>
      </c>
      <c r="T105" s="15" t="n">
        <v>-0.67364</v>
      </c>
      <c r="U105" s="15" t="n">
        <v>-0.84676</v>
      </c>
      <c r="V105" s="15" t="n">
        <v>0.394</v>
      </c>
      <c r="W105" s="15" t="n">
        <v>0.4567</v>
      </c>
      <c r="X105" s="15" t="n">
        <v>-0.076432</v>
      </c>
      <c r="Y105" s="15" t="n">
        <v>0.25174</v>
      </c>
      <c r="Z105" s="15" t="n">
        <v>0.98497</v>
      </c>
      <c r="AA105" s="15" t="n">
        <v>-0.07011</v>
      </c>
      <c r="AB105" s="15" t="n">
        <v>0.17447</v>
      </c>
      <c r="AC105" s="15" t="n">
        <v>-0.46224</v>
      </c>
      <c r="AD105" s="15" t="n">
        <v>0.39632</v>
      </c>
      <c r="AE105" s="15" t="n">
        <v>0.20757</v>
      </c>
      <c r="AF105" s="15" t="n">
        <v>-0.10214</v>
      </c>
      <c r="AG105" s="15" t="n">
        <v>0.73604</v>
      </c>
      <c r="AH105" s="15" t="n">
        <v>0.90018</v>
      </c>
      <c r="AI105" s="15" t="n">
        <v>0.37079</v>
      </c>
      <c r="AJ105" s="15" t="n">
        <v>-0.62043</v>
      </c>
      <c r="AK105" s="15" t="n">
        <v>0.05313</v>
      </c>
      <c r="AL105" s="15" t="n">
        <v>0.22992</v>
      </c>
      <c r="AM105" s="15" t="n">
        <v>-0.34211</v>
      </c>
      <c r="AN105" s="15" t="n">
        <v>0.16791</v>
      </c>
      <c r="AO105" s="15" t="n">
        <v>0.1639</v>
      </c>
      <c r="AP105" s="15" t="n">
        <v>-0.56091</v>
      </c>
      <c r="AQ105" s="15" t="n">
        <v>0.11024</v>
      </c>
      <c r="AR105" s="15" t="n">
        <v>-1.0605</v>
      </c>
      <c r="AS105" s="15" t="n">
        <v>0.38115</v>
      </c>
      <c r="AT105" s="15" t="n">
        <v>-0.66501</v>
      </c>
      <c r="AU105" s="15" t="n">
        <v>-0.25546</v>
      </c>
      <c r="AV105" s="15" t="n">
        <v>-0.72307</v>
      </c>
      <c r="AW105" s="15" t="n">
        <v>-1.3461</v>
      </c>
      <c r="AX105" s="15" t="n">
        <v>0.50131</v>
      </c>
      <c r="AY105" s="15" t="n">
        <v>-0.029032</v>
      </c>
      <c r="AZ105" s="15" t="n">
        <v>-0.71443</v>
      </c>
      <c r="BA105" s="15" t="n">
        <v>-1.0274</v>
      </c>
      <c r="BB105" s="15" t="n">
        <v>0.20058</v>
      </c>
      <c r="BC105" s="15" t="n">
        <v>0.65939</v>
      </c>
      <c r="BD105" s="15" t="n">
        <v>0.072724</v>
      </c>
      <c r="BE105" s="15" t="n">
        <v>0.71509</v>
      </c>
      <c r="BF105" s="15" t="n">
        <v>-0.83789</v>
      </c>
      <c r="BG105" s="15" t="n">
        <v>-0.12026</v>
      </c>
      <c r="BH105" s="15" t="n">
        <v>0.92475</v>
      </c>
      <c r="BI105" s="15" t="n">
        <v>0.064282</v>
      </c>
      <c r="BJ105" s="15" t="n">
        <v>0.85451</v>
      </c>
      <c r="BK105" s="15" t="n">
        <v>-1.2892</v>
      </c>
      <c r="BL105" s="15" t="n">
        <v>-0.36079</v>
      </c>
      <c r="BM105" s="15" t="n">
        <v>-0.55692</v>
      </c>
      <c r="BN105" s="15" t="n">
        <v>0.030289</v>
      </c>
      <c r="BO105" s="15" t="n">
        <v>0.55653</v>
      </c>
      <c r="BP105" s="15" t="n">
        <v>0.76113</v>
      </c>
      <c r="BQ105" s="15" t="n">
        <v>-1.0057</v>
      </c>
      <c r="BR105" s="15" t="n">
        <v>0.34187</v>
      </c>
      <c r="BS105" s="15" t="n">
        <v>0.64303</v>
      </c>
      <c r="BT105" s="15" t="n">
        <v>-0.60294</v>
      </c>
      <c r="BU105" s="15" t="n">
        <v>0.34737</v>
      </c>
      <c r="BV105" s="15" t="n">
        <v>0.020734</v>
      </c>
      <c r="BW105" s="15" t="n">
        <v>-0.40986</v>
      </c>
      <c r="BX105" s="15" t="n">
        <v>0.67963</v>
      </c>
      <c r="BY105" s="15" t="n">
        <v>0.03945</v>
      </c>
      <c r="BZ105" s="15" t="n">
        <v>-0.11221</v>
      </c>
      <c r="CA105" s="15" t="n">
        <v>-0.55119</v>
      </c>
      <c r="CB105" s="15" t="n">
        <v>0.12618</v>
      </c>
      <c r="CC105" s="15" t="n">
        <v>0.73708</v>
      </c>
      <c r="CD105" s="15" t="n">
        <v>-0.36704</v>
      </c>
      <c r="CE105" s="15" t="n">
        <v>-0.52986</v>
      </c>
      <c r="CF105" s="15" t="n">
        <v>0.20953</v>
      </c>
      <c r="CG105" s="15" t="n">
        <v>0.70039</v>
      </c>
      <c r="CH105" s="15" t="n">
        <v>-0.71076</v>
      </c>
      <c r="CI105" s="15" t="n">
        <v>-0.29597</v>
      </c>
      <c r="CJ105" s="15" t="n">
        <v>-0.93615</v>
      </c>
      <c r="CK105" s="15" t="n">
        <v>-0.6907</v>
      </c>
      <c r="CL105" s="15" t="n">
        <v>-0.62838</v>
      </c>
      <c r="CM105" s="15" t="n">
        <v>0.36052</v>
      </c>
      <c r="CN105" s="15" t="n">
        <v>-0.12397</v>
      </c>
      <c r="CO105" s="15" t="n">
        <v>-0.65952</v>
      </c>
      <c r="CP105" s="15" t="n">
        <v>-0.46831</v>
      </c>
      <c r="CQ105" s="15" t="n">
        <v>-0.3865</v>
      </c>
      <c r="CR105" s="15" t="n">
        <v>-0.55707</v>
      </c>
      <c r="CS105" s="15" t="n">
        <v>-0.061137</v>
      </c>
      <c r="CT105" s="15" t="n">
        <v>1.0697</v>
      </c>
      <c r="CU105" s="15" t="n">
        <v>0.12455</v>
      </c>
      <c r="CV105" s="15" t="n">
        <v>-0.43475</v>
      </c>
      <c r="CW105" s="15" t="n">
        <v>-0.069791</v>
      </c>
      <c r="CX105" s="15" t="n">
        <v>0.17359</v>
      </c>
      <c r="CY105" s="15" t="n">
        <v>1.1786</v>
      </c>
    </row>
    <row r="106" customFormat="false" ht="15" hidden="false" customHeight="false" outlineLevel="0" collapsed="false">
      <c r="A106" s="4" t="s">
        <v>112</v>
      </c>
      <c r="B106" s="2" t="n">
        <f aca="false">COUNTIF('1.3 TF-IDF coseno'!$M$10:$M$123,A106)</f>
        <v>0</v>
      </c>
      <c r="C106" s="2" t="n">
        <f aca="false">COUNTIF('1.3 TF-IDF coseno'!$N$10:$N$102,A106)</f>
        <v>1</v>
      </c>
      <c r="D106" s="15" t="n">
        <v>0.99376</v>
      </c>
      <c r="E106" s="15" t="n">
        <v>-0.38105</v>
      </c>
      <c r="F106" s="15" t="n">
        <v>-0.23368</v>
      </c>
      <c r="G106" s="15" t="n">
        <v>-0.27427</v>
      </c>
      <c r="H106" s="15" t="n">
        <v>-0.94039</v>
      </c>
      <c r="I106" s="15" t="n">
        <v>0.55891</v>
      </c>
      <c r="J106" s="15" t="n">
        <v>-0.68969</v>
      </c>
      <c r="K106" s="15" t="n">
        <v>0.44305</v>
      </c>
      <c r="L106" s="15" t="n">
        <v>0.53744</v>
      </c>
      <c r="M106" s="15" t="n">
        <v>0.7844</v>
      </c>
      <c r="N106" s="15" t="n">
        <v>-0.99445</v>
      </c>
      <c r="O106" s="15" t="n">
        <v>-0.35738</v>
      </c>
      <c r="P106" s="15" t="n">
        <v>0.1436</v>
      </c>
      <c r="Q106" s="15" t="n">
        <v>-0.3444</v>
      </c>
      <c r="R106" s="15" t="n">
        <v>0.87852</v>
      </c>
      <c r="S106" s="15" t="n">
        <v>0.38555</v>
      </c>
      <c r="T106" s="15" t="n">
        <v>0.12534</v>
      </c>
      <c r="U106" s="15" t="n">
        <v>0.046095</v>
      </c>
      <c r="V106" s="15" t="n">
        <v>-0.21506</v>
      </c>
      <c r="W106" s="15" t="n">
        <v>-0.337</v>
      </c>
      <c r="X106" s="15" t="n">
        <v>0.88878</v>
      </c>
      <c r="Y106" s="15" t="n">
        <v>0.27853</v>
      </c>
      <c r="Z106" s="15" t="n">
        <v>0.69859</v>
      </c>
      <c r="AA106" s="15" t="n">
        <v>0.43376</v>
      </c>
      <c r="AB106" s="15" t="n">
        <v>0.029709</v>
      </c>
      <c r="AC106" s="15" t="n">
        <v>-0.40077</v>
      </c>
      <c r="AD106" s="15" t="n">
        <v>0.52459</v>
      </c>
      <c r="AE106" s="15" t="n">
        <v>-0.53547</v>
      </c>
      <c r="AF106" s="15" t="n">
        <v>-0.93157</v>
      </c>
      <c r="AG106" s="15" t="n">
        <v>-0.026664</v>
      </c>
      <c r="AH106" s="15" t="n">
        <v>0.14005</v>
      </c>
      <c r="AI106" s="15" t="n">
        <v>0.86935</v>
      </c>
      <c r="AJ106" s="15" t="n">
        <v>0.09801</v>
      </c>
      <c r="AK106" s="15" t="n">
        <v>-0.43333</v>
      </c>
      <c r="AL106" s="15" t="n">
        <v>-0.10542</v>
      </c>
      <c r="AM106" s="15" t="n">
        <v>-0.32727</v>
      </c>
      <c r="AN106" s="15" t="n">
        <v>0.18805</v>
      </c>
      <c r="AO106" s="15" t="n">
        <v>-0.94566</v>
      </c>
      <c r="AP106" s="15" t="n">
        <v>-0.81493</v>
      </c>
      <c r="AQ106" s="15" t="n">
        <v>-0.095048</v>
      </c>
      <c r="AR106" s="15" t="n">
        <v>-0.86804</v>
      </c>
      <c r="AS106" s="15" t="n">
        <v>0.062788</v>
      </c>
      <c r="AT106" s="15" t="n">
        <v>0.29865</v>
      </c>
      <c r="AU106" s="15" t="n">
        <v>0.99543</v>
      </c>
      <c r="AV106" s="15" t="n">
        <v>-0.33932</v>
      </c>
      <c r="AW106" s="15" t="n">
        <v>-0.59846</v>
      </c>
      <c r="AX106" s="15" t="n">
        <v>0.20412</v>
      </c>
      <c r="AY106" s="15" t="n">
        <v>0.30899</v>
      </c>
      <c r="AZ106" s="15" t="n">
        <v>-1.1194</v>
      </c>
      <c r="BA106" s="15" t="n">
        <v>-0.79141</v>
      </c>
      <c r="BB106" s="15" t="n">
        <v>0.039156</v>
      </c>
      <c r="BC106" s="15" t="n">
        <v>0.62859</v>
      </c>
      <c r="BD106" s="15" t="n">
        <v>-0.62871</v>
      </c>
      <c r="BE106" s="15" t="n">
        <v>-0.14057</v>
      </c>
      <c r="BF106" s="15" t="n">
        <v>-0.57516</v>
      </c>
      <c r="BG106" s="15" t="n">
        <v>0.13185</v>
      </c>
      <c r="BH106" s="15" t="n">
        <v>1.1361</v>
      </c>
      <c r="BI106" s="15" t="n">
        <v>-0.34526</v>
      </c>
      <c r="BJ106" s="15" t="n">
        <v>1.1562</v>
      </c>
      <c r="BK106" s="15" t="n">
        <v>-0.85594</v>
      </c>
      <c r="BL106" s="15" t="n">
        <v>-0.46037</v>
      </c>
      <c r="BM106" s="15" t="n">
        <v>-1.0873</v>
      </c>
      <c r="BN106" s="15" t="n">
        <v>-0.11021</v>
      </c>
      <c r="BO106" s="15" t="n">
        <v>-0.13569</v>
      </c>
      <c r="BP106" s="15" t="n">
        <v>0.74399</v>
      </c>
      <c r="BQ106" s="15" t="n">
        <v>-0.91938</v>
      </c>
      <c r="BR106" s="15" t="n">
        <v>0.56472</v>
      </c>
      <c r="BS106" s="15" t="n">
        <v>0.13469</v>
      </c>
      <c r="BT106" s="15" t="n">
        <v>-0.18606</v>
      </c>
      <c r="BU106" s="15" t="n">
        <v>-0.99534</v>
      </c>
      <c r="BV106" s="15" t="n">
        <v>-0.03399</v>
      </c>
      <c r="BW106" s="15" t="n">
        <v>-0.96963</v>
      </c>
      <c r="BX106" s="15" t="n">
        <v>0.43998</v>
      </c>
      <c r="BY106" s="15" t="n">
        <v>0.27469</v>
      </c>
      <c r="BZ106" s="15" t="n">
        <v>0.0023387</v>
      </c>
      <c r="CA106" s="15" t="n">
        <v>-0.085358</v>
      </c>
      <c r="CB106" s="15" t="n">
        <v>-0.016441</v>
      </c>
      <c r="CC106" s="15" t="n">
        <v>0.05881</v>
      </c>
      <c r="CD106" s="15" t="n">
        <v>-0.37911</v>
      </c>
      <c r="CE106" s="15" t="n">
        <v>-0.22588</v>
      </c>
      <c r="CF106" s="15" t="n">
        <v>0.31119</v>
      </c>
      <c r="CG106" s="15" t="n">
        <v>-0.41123</v>
      </c>
      <c r="CH106" s="15" t="n">
        <v>0.00238</v>
      </c>
      <c r="CI106" s="15" t="n">
        <v>0.26843</v>
      </c>
      <c r="CJ106" s="15" t="n">
        <v>-1.1628</v>
      </c>
      <c r="CK106" s="15" t="n">
        <v>-0.25249</v>
      </c>
      <c r="CL106" s="15" t="n">
        <v>-0.56033</v>
      </c>
      <c r="CM106" s="15" t="n">
        <v>-0.10887</v>
      </c>
      <c r="CN106" s="15" t="n">
        <v>-0.34164</v>
      </c>
      <c r="CO106" s="15" t="n">
        <v>-0.53039</v>
      </c>
      <c r="CP106" s="15" t="n">
        <v>-1.0124</v>
      </c>
      <c r="CQ106" s="15" t="n">
        <v>-0.47261</v>
      </c>
      <c r="CR106" s="15" t="n">
        <v>-0.034626</v>
      </c>
      <c r="CS106" s="15" t="n">
        <v>0.19557</v>
      </c>
      <c r="CT106" s="15" t="n">
        <v>1.038</v>
      </c>
      <c r="CU106" s="15" t="n">
        <v>0.30225</v>
      </c>
      <c r="CV106" s="15" t="n">
        <v>-0.49897</v>
      </c>
      <c r="CW106" s="15" t="n">
        <v>-0.42597</v>
      </c>
      <c r="CX106" s="15" t="n">
        <v>0.18736</v>
      </c>
      <c r="CY106" s="15" t="n">
        <v>0.20323</v>
      </c>
    </row>
    <row r="107" customFormat="false" ht="15" hidden="false" customHeight="false" outlineLevel="0" collapsed="false">
      <c r="A107" s="4" t="s">
        <v>113</v>
      </c>
      <c r="B107" s="2" t="n">
        <f aca="false">COUNTIF('1.3 TF-IDF coseno'!$M$10:$M$123,A107)</f>
        <v>0</v>
      </c>
      <c r="C107" s="2" t="n">
        <f aca="false">COUNTIF('1.3 TF-IDF coseno'!$N$10:$N$102,A107)</f>
        <v>2</v>
      </c>
      <c r="D107" s="15" t="n">
        <v>-0.65374</v>
      </c>
      <c r="E107" s="15" t="n">
        <v>0.21497</v>
      </c>
      <c r="F107" s="15" t="n">
        <v>0.45573</v>
      </c>
      <c r="G107" s="15" t="n">
        <v>-0.0050499</v>
      </c>
      <c r="H107" s="15" t="n">
        <v>0.59336</v>
      </c>
      <c r="I107" s="15" t="n">
        <v>-0.81214</v>
      </c>
      <c r="J107" s="15" t="n">
        <v>-0.22256</v>
      </c>
      <c r="K107" s="15" t="n">
        <v>0.69809</v>
      </c>
      <c r="L107" s="15" t="n">
        <v>0.045719</v>
      </c>
      <c r="M107" s="15" t="n">
        <v>0.37288</v>
      </c>
      <c r="N107" s="15" t="n">
        <v>0.45334</v>
      </c>
      <c r="O107" s="15" t="n">
        <v>-0.19573</v>
      </c>
      <c r="P107" s="15" t="n">
        <v>0.15226</v>
      </c>
      <c r="Q107" s="15" t="n">
        <v>0.07403</v>
      </c>
      <c r="R107" s="15" t="n">
        <v>0.21889</v>
      </c>
      <c r="S107" s="15" t="n">
        <v>0.57518</v>
      </c>
      <c r="T107" s="15" t="n">
        <v>-0.50766</v>
      </c>
      <c r="U107" s="15" t="n">
        <v>0.49393</v>
      </c>
      <c r="V107" s="15" t="n">
        <v>0.53892</v>
      </c>
      <c r="W107" s="15" t="n">
        <v>0.37376</v>
      </c>
      <c r="X107" s="15" t="n">
        <v>-0.10406</v>
      </c>
      <c r="Y107" s="15" t="n">
        <v>-1.1411</v>
      </c>
      <c r="Z107" s="15" t="n">
        <v>0.73155</v>
      </c>
      <c r="AA107" s="15" t="n">
        <v>-0.27069</v>
      </c>
      <c r="AB107" s="15" t="n">
        <v>-0.016781</v>
      </c>
      <c r="AC107" s="15" t="n">
        <v>-0.21464</v>
      </c>
      <c r="AD107" s="15" t="n">
        <v>0.55146</v>
      </c>
      <c r="AE107" s="15" t="n">
        <v>0.80131</v>
      </c>
      <c r="AF107" s="15" t="n">
        <v>-0.10858</v>
      </c>
      <c r="AG107" s="15" t="n">
        <v>0.080072</v>
      </c>
      <c r="AH107" s="15" t="n">
        <v>0.45645</v>
      </c>
      <c r="AI107" s="15" t="n">
        <v>0.41373</v>
      </c>
      <c r="AJ107" s="15" t="n">
        <v>-0.22961</v>
      </c>
      <c r="AK107" s="15" t="n">
        <v>0.11035</v>
      </c>
      <c r="AL107" s="15" t="n">
        <v>0.012148</v>
      </c>
      <c r="AM107" s="15" t="n">
        <v>0.16487</v>
      </c>
      <c r="AN107" s="15" t="n">
        <v>-0.051954</v>
      </c>
      <c r="AO107" s="15" t="n">
        <v>0.16774</v>
      </c>
      <c r="AP107" s="15" t="n">
        <v>-0.68037</v>
      </c>
      <c r="AQ107" s="15" t="n">
        <v>-0.62231</v>
      </c>
      <c r="AR107" s="15" t="n">
        <v>0.374</v>
      </c>
      <c r="AS107" s="15" t="n">
        <v>-0.086542</v>
      </c>
      <c r="AT107" s="15" t="n">
        <v>-0.79215</v>
      </c>
      <c r="AU107" s="15" t="n">
        <v>0.20859</v>
      </c>
      <c r="AV107" s="15" t="n">
        <v>-0.12112</v>
      </c>
      <c r="AW107" s="15" t="n">
        <v>-0.071584</v>
      </c>
      <c r="AX107" s="15" t="n">
        <v>-0.01038</v>
      </c>
      <c r="AY107" s="15" t="n">
        <v>-0.22068</v>
      </c>
      <c r="AZ107" s="15" t="n">
        <v>-0.52581</v>
      </c>
      <c r="BA107" s="15" t="n">
        <v>-0.28609</v>
      </c>
      <c r="BB107" s="15" t="n">
        <v>-0.56283</v>
      </c>
      <c r="BC107" s="15" t="n">
        <v>0.21814</v>
      </c>
      <c r="BD107" s="15" t="n">
        <v>0.14743</v>
      </c>
      <c r="BE107" s="15" t="n">
        <v>0.62913</v>
      </c>
      <c r="BF107" s="15" t="n">
        <v>0.77799</v>
      </c>
      <c r="BG107" s="15" t="n">
        <v>0.68537</v>
      </c>
      <c r="BH107" s="15" t="n">
        <v>0.039059</v>
      </c>
      <c r="BI107" s="15" t="n">
        <v>-0.13842</v>
      </c>
      <c r="BJ107" s="15" t="n">
        <v>-0.24519</v>
      </c>
      <c r="BK107" s="15" t="n">
        <v>-0.1805</v>
      </c>
      <c r="BL107" s="15" t="n">
        <v>-0.17875</v>
      </c>
      <c r="BM107" s="15" t="n">
        <v>-0.1074</v>
      </c>
      <c r="BN107" s="15" t="n">
        <v>-0.22263</v>
      </c>
      <c r="BO107" s="15" t="n">
        <v>-0.028344</v>
      </c>
      <c r="BP107" s="15" t="n">
        <v>0.486</v>
      </c>
      <c r="BQ107" s="15" t="n">
        <v>-0.010783</v>
      </c>
      <c r="BR107" s="15" t="n">
        <v>-0.24077</v>
      </c>
      <c r="BS107" s="15" t="n">
        <v>-0.39002</v>
      </c>
      <c r="BT107" s="15" t="n">
        <v>0.51549</v>
      </c>
      <c r="BU107" s="15" t="n">
        <v>0.10514</v>
      </c>
      <c r="BV107" s="15" t="n">
        <v>-0.21367</v>
      </c>
      <c r="BW107" s="15" t="n">
        <v>0.24449</v>
      </c>
      <c r="BX107" s="15" t="n">
        <v>1.218</v>
      </c>
      <c r="BY107" s="15" t="n">
        <v>-0.20224</v>
      </c>
      <c r="BZ107" s="15" t="n">
        <v>0.25431</v>
      </c>
      <c r="CA107" s="15" t="n">
        <v>0.1572</v>
      </c>
      <c r="CB107" s="15" t="n">
        <v>0.11165</v>
      </c>
      <c r="CC107" s="15" t="n">
        <v>-0.5268</v>
      </c>
      <c r="CD107" s="15" t="n">
        <v>0.23164</v>
      </c>
      <c r="CE107" s="15" t="n">
        <v>-0.17662</v>
      </c>
      <c r="CF107" s="15" t="n">
        <v>0.096987</v>
      </c>
      <c r="CG107" s="15" t="n">
        <v>0.26612</v>
      </c>
      <c r="CH107" s="15" t="n">
        <v>-1.1774</v>
      </c>
      <c r="CI107" s="15" t="n">
        <v>-0.33723</v>
      </c>
      <c r="CJ107" s="15" t="n">
        <v>-0.93138</v>
      </c>
      <c r="CK107" s="15" t="n">
        <v>0.60592</v>
      </c>
      <c r="CL107" s="15" t="n">
        <v>0.93246</v>
      </c>
      <c r="CM107" s="15" t="n">
        <v>-0.51391</v>
      </c>
      <c r="CN107" s="15" t="n">
        <v>0.32874</v>
      </c>
      <c r="CO107" s="15" t="n">
        <v>-0.38217</v>
      </c>
      <c r="CP107" s="15" t="n">
        <v>-0.74668</v>
      </c>
      <c r="CQ107" s="15" t="n">
        <v>1.0007</v>
      </c>
      <c r="CR107" s="15" t="n">
        <v>-0.68156</v>
      </c>
      <c r="CS107" s="15" t="n">
        <v>-0.056224</v>
      </c>
      <c r="CT107" s="15" t="n">
        <v>-0.27986</v>
      </c>
      <c r="CU107" s="15" t="n">
        <v>-0.56934</v>
      </c>
      <c r="CV107" s="15" t="n">
        <v>0.19622</v>
      </c>
      <c r="CW107" s="15" t="n">
        <v>-0.62717</v>
      </c>
      <c r="CX107" s="15" t="n">
        <v>1.0695</v>
      </c>
      <c r="CY107" s="15" t="n">
        <v>-0.39375</v>
      </c>
    </row>
    <row r="108" customFormat="false" ht="15" hidden="false" customHeight="false" outlineLevel="0" collapsed="false">
      <c r="A108" s="4" t="s">
        <v>114</v>
      </c>
      <c r="B108" s="2" t="n">
        <f aca="false">COUNTIF('1.3 TF-IDF coseno'!$M$10:$M$123,A108)</f>
        <v>0</v>
      </c>
      <c r="C108" s="2" t="n">
        <f aca="false">COUNTIF('1.3 TF-IDF coseno'!$N$10:$N$102,A108)</f>
        <v>1</v>
      </c>
      <c r="D108" s="15" t="n">
        <v>0.40413</v>
      </c>
      <c r="E108" s="15" t="n">
        <v>0.21365</v>
      </c>
      <c r="F108" s="15" t="n">
        <v>0.17135</v>
      </c>
      <c r="G108" s="15" t="n">
        <v>0.26503</v>
      </c>
      <c r="H108" s="15" t="n">
        <v>-0.23648</v>
      </c>
      <c r="I108" s="15" t="n">
        <v>0.5647</v>
      </c>
      <c r="J108" s="15" t="n">
        <v>0.40875</v>
      </c>
      <c r="K108" s="15" t="n">
        <v>0.28119</v>
      </c>
      <c r="L108" s="15" t="n">
        <v>0.35186</v>
      </c>
      <c r="M108" s="15" t="n">
        <v>0.11447</v>
      </c>
      <c r="N108" s="15" t="n">
        <v>-0.51477</v>
      </c>
      <c r="O108" s="15" t="n">
        <v>-0.068151</v>
      </c>
      <c r="P108" s="15" t="n">
        <v>0.029314</v>
      </c>
      <c r="Q108" s="15" t="n">
        <v>-0.28988</v>
      </c>
      <c r="R108" s="15" t="n">
        <v>0.99816</v>
      </c>
      <c r="S108" s="15" t="n">
        <v>0.060958</v>
      </c>
      <c r="T108" s="15" t="n">
        <v>-0.58325</v>
      </c>
      <c r="U108" s="15" t="n">
        <v>0.58503</v>
      </c>
      <c r="V108" s="15" t="n">
        <v>0.59437</v>
      </c>
      <c r="W108" s="15" t="n">
        <v>-0.023674</v>
      </c>
      <c r="X108" s="15" t="n">
        <v>0.17685</v>
      </c>
      <c r="Y108" s="15" t="n">
        <v>-0.53242</v>
      </c>
      <c r="Z108" s="15" t="n">
        <v>-0.26329</v>
      </c>
      <c r="AA108" s="15" t="n">
        <v>0.032159</v>
      </c>
      <c r="AB108" s="15" t="n">
        <v>0.19067</v>
      </c>
      <c r="AC108" s="15" t="n">
        <v>0.48274</v>
      </c>
      <c r="AD108" s="15" t="n">
        <v>0.37958</v>
      </c>
      <c r="AE108" s="15" t="n">
        <v>0.54253</v>
      </c>
      <c r="AF108" s="15" t="n">
        <v>0.0074924</v>
      </c>
      <c r="AG108" s="15" t="n">
        <v>-0.53811</v>
      </c>
      <c r="AH108" s="15" t="n">
        <v>-0.015731</v>
      </c>
      <c r="AI108" s="15" t="n">
        <v>-0.37165</v>
      </c>
      <c r="AJ108" s="15" t="n">
        <v>0.0064927</v>
      </c>
      <c r="AK108" s="15" t="n">
        <v>-0.25378</v>
      </c>
      <c r="AL108" s="15" t="n">
        <v>-0.30708</v>
      </c>
      <c r="AM108" s="15" t="n">
        <v>0.1634</v>
      </c>
      <c r="AN108" s="15" t="n">
        <v>-0.01318</v>
      </c>
      <c r="AO108" s="15" t="n">
        <v>-0.032572</v>
      </c>
      <c r="AP108" s="15" t="n">
        <v>0.082647</v>
      </c>
      <c r="AQ108" s="15" t="n">
        <v>-0.3665</v>
      </c>
      <c r="AR108" s="15" t="n">
        <v>0.0085094</v>
      </c>
      <c r="AS108" s="15" t="n">
        <v>0.72059</v>
      </c>
      <c r="AT108" s="15" t="n">
        <v>0.074043</v>
      </c>
      <c r="AU108" s="15" t="n">
        <v>-0.037044</v>
      </c>
      <c r="AV108" s="15" t="n">
        <v>-0.11162</v>
      </c>
      <c r="AW108" s="15" t="n">
        <v>0.094522</v>
      </c>
      <c r="AX108" s="15" t="n">
        <v>0.29401</v>
      </c>
      <c r="AY108" s="15" t="n">
        <v>0.28313</v>
      </c>
      <c r="AZ108" s="15" t="n">
        <v>-0.12177</v>
      </c>
      <c r="BA108" s="15" t="n">
        <v>0.031121</v>
      </c>
      <c r="BB108" s="15" t="n">
        <v>-0.66812</v>
      </c>
      <c r="BC108" s="15" t="n">
        <v>0.0082951</v>
      </c>
      <c r="BD108" s="15" t="n">
        <v>0.34488</v>
      </c>
      <c r="BE108" s="15" t="n">
        <v>-0.049174</v>
      </c>
      <c r="BF108" s="15" t="n">
        <v>0.47764</v>
      </c>
      <c r="BG108" s="15" t="n">
        <v>0.22884</v>
      </c>
      <c r="BH108" s="15" t="n">
        <v>0.2638</v>
      </c>
      <c r="BI108" s="15" t="n">
        <v>0.2732</v>
      </c>
      <c r="BJ108" s="15" t="n">
        <v>-0.42114</v>
      </c>
      <c r="BK108" s="15" t="n">
        <v>0.24904</v>
      </c>
      <c r="BL108" s="15" t="n">
        <v>0.45024</v>
      </c>
      <c r="BM108" s="15" t="n">
        <v>0.34676</v>
      </c>
      <c r="BN108" s="15" t="n">
        <v>0.057619</v>
      </c>
      <c r="BO108" s="15" t="n">
        <v>-0.4043</v>
      </c>
      <c r="BP108" s="15" t="n">
        <v>0.083109</v>
      </c>
      <c r="BQ108" s="15" t="n">
        <v>-0.1711</v>
      </c>
      <c r="BR108" s="15" t="n">
        <v>0.5978</v>
      </c>
      <c r="BS108" s="15" t="n">
        <v>-0.67457</v>
      </c>
      <c r="BT108" s="15" t="n">
        <v>-0.069927</v>
      </c>
      <c r="BU108" s="15" t="n">
        <v>-0.38653</v>
      </c>
      <c r="BV108" s="15" t="n">
        <v>-0.10654</v>
      </c>
      <c r="BW108" s="15" t="n">
        <v>0.028727</v>
      </c>
      <c r="BX108" s="15" t="n">
        <v>0.16132</v>
      </c>
      <c r="BY108" s="15" t="n">
        <v>-0.21979</v>
      </c>
      <c r="BZ108" s="15" t="n">
        <v>-0.10326</v>
      </c>
      <c r="CA108" s="15" t="n">
        <v>-0.02735</v>
      </c>
      <c r="CB108" s="15" t="n">
        <v>0.37687</v>
      </c>
      <c r="CC108" s="15" t="n">
        <v>-0.074291</v>
      </c>
      <c r="CD108" s="15" t="n">
        <v>-0.58336</v>
      </c>
      <c r="CE108" s="15" t="n">
        <v>0.12468</v>
      </c>
      <c r="CF108" s="15" t="n">
        <v>-0.67085</v>
      </c>
      <c r="CG108" s="15" t="n">
        <v>0.25181</v>
      </c>
      <c r="CH108" s="15" t="n">
        <v>-0.15359</v>
      </c>
      <c r="CI108" s="15" t="n">
        <v>0.15646</v>
      </c>
      <c r="CJ108" s="15" t="n">
        <v>-0.76541</v>
      </c>
      <c r="CK108" s="15" t="n">
        <v>0.30295</v>
      </c>
      <c r="CL108" s="15" t="n">
        <v>0.20139</v>
      </c>
      <c r="CM108" s="15" t="n">
        <v>-0.091333</v>
      </c>
      <c r="CN108" s="15" t="n">
        <v>-0.013707</v>
      </c>
      <c r="CO108" s="15" t="n">
        <v>-0.56148</v>
      </c>
      <c r="CP108" s="15" t="n">
        <v>0.010842</v>
      </c>
      <c r="CQ108" s="15" t="n">
        <v>0.18039</v>
      </c>
      <c r="CR108" s="15" t="n">
        <v>0.18185</v>
      </c>
      <c r="CS108" s="15" t="n">
        <v>0.24183</v>
      </c>
      <c r="CT108" s="15" t="n">
        <v>1.0034</v>
      </c>
      <c r="CU108" s="15" t="n">
        <v>-0.21849</v>
      </c>
      <c r="CV108" s="15" t="n">
        <v>0.42664</v>
      </c>
      <c r="CW108" s="15" t="n">
        <v>-0.052735</v>
      </c>
      <c r="CX108" s="15" t="n">
        <v>-0.33985</v>
      </c>
      <c r="CY108" s="15" t="n">
        <v>-0.14532</v>
      </c>
    </row>
    <row r="109" customFormat="false" ht="15" hidden="false" customHeight="false" outlineLevel="0" collapsed="false">
      <c r="A109" s="4" t="s">
        <v>115</v>
      </c>
      <c r="B109" s="2" t="n">
        <f aca="false">COUNTIF('1.3 TF-IDF coseno'!$M$10:$M$123,A109)</f>
        <v>0</v>
      </c>
      <c r="C109" s="2" t="n">
        <f aca="false">COUNTIF('1.3 TF-IDF coseno'!$N$10:$N$102,A109)</f>
        <v>1</v>
      </c>
      <c r="D109" s="15" t="n">
        <v>-0.87364</v>
      </c>
      <c r="E109" s="15" t="n">
        <v>1.1051</v>
      </c>
      <c r="F109" s="15" t="n">
        <v>-0.71977</v>
      </c>
      <c r="G109" s="15" t="n">
        <v>0.35166</v>
      </c>
      <c r="H109" s="15" t="n">
        <v>0.22365</v>
      </c>
      <c r="I109" s="15" t="n">
        <v>0.23153</v>
      </c>
      <c r="J109" s="15" t="n">
        <v>-0.37941</v>
      </c>
      <c r="K109" s="15" t="n">
        <v>0.46698</v>
      </c>
      <c r="L109" s="15" t="n">
        <v>0.3092</v>
      </c>
      <c r="M109" s="15" t="n">
        <v>0.065826</v>
      </c>
      <c r="N109" s="15" t="n">
        <v>-0.14766</v>
      </c>
      <c r="O109" s="15" t="n">
        <v>-0.066801</v>
      </c>
      <c r="P109" s="15" t="n">
        <v>0.24272</v>
      </c>
      <c r="Q109" s="15" t="n">
        <v>0.11894</v>
      </c>
      <c r="R109" s="15" t="n">
        <v>-0.13984</v>
      </c>
      <c r="S109" s="15" t="n">
        <v>-0.13921</v>
      </c>
      <c r="T109" s="15" t="n">
        <v>0.043071</v>
      </c>
      <c r="U109" s="15" t="n">
        <v>0.14963</v>
      </c>
      <c r="V109" s="15" t="n">
        <v>0.41009</v>
      </c>
      <c r="W109" s="15" t="n">
        <v>-0.1139</v>
      </c>
      <c r="X109" s="15" t="n">
        <v>0.15608</v>
      </c>
      <c r="Y109" s="15" t="n">
        <v>0.32021</v>
      </c>
      <c r="Z109" s="15" t="n">
        <v>-0.12106</v>
      </c>
      <c r="AA109" s="15" t="n">
        <v>-0.56433</v>
      </c>
      <c r="AB109" s="15" t="n">
        <v>0.34044</v>
      </c>
      <c r="AC109" s="15" t="n">
        <v>-0.27576</v>
      </c>
      <c r="AD109" s="15" t="n">
        <v>-0.28746</v>
      </c>
      <c r="AE109" s="15" t="n">
        <v>0.12139</v>
      </c>
      <c r="AF109" s="15" t="n">
        <v>-0.5749</v>
      </c>
      <c r="AG109" s="15" t="n">
        <v>0.3635</v>
      </c>
      <c r="AH109" s="15" t="n">
        <v>0.44782</v>
      </c>
      <c r="AI109" s="15" t="n">
        <v>-0.069844</v>
      </c>
      <c r="AJ109" s="15" t="n">
        <v>0.10054</v>
      </c>
      <c r="AK109" s="15" t="n">
        <v>-0.35477</v>
      </c>
      <c r="AL109" s="15" t="n">
        <v>0.30884</v>
      </c>
      <c r="AM109" s="15" t="n">
        <v>-0.10581</v>
      </c>
      <c r="AN109" s="15" t="n">
        <v>0.74677</v>
      </c>
      <c r="AO109" s="15" t="n">
        <v>0.45838</v>
      </c>
      <c r="AP109" s="15" t="n">
        <v>-0.01312</v>
      </c>
      <c r="AQ109" s="15" t="n">
        <v>-0.020095</v>
      </c>
      <c r="AR109" s="15" t="n">
        <v>-0.014647</v>
      </c>
      <c r="AS109" s="15" t="n">
        <v>-0.80101</v>
      </c>
      <c r="AT109" s="15" t="n">
        <v>-0.062913</v>
      </c>
      <c r="AU109" s="15" t="n">
        <v>-0.11687</v>
      </c>
      <c r="AV109" s="15" t="n">
        <v>0.73187</v>
      </c>
      <c r="AW109" s="15" t="n">
        <v>-0.088486</v>
      </c>
      <c r="AX109" s="15" t="n">
        <v>0.40302</v>
      </c>
      <c r="AY109" s="15" t="n">
        <v>0.45706</v>
      </c>
      <c r="AZ109" s="15" t="n">
        <v>-0.065062</v>
      </c>
      <c r="BA109" s="15" t="n">
        <v>-0.010521</v>
      </c>
      <c r="BB109" s="15" t="n">
        <v>-0.21461</v>
      </c>
      <c r="BC109" s="15" t="n">
        <v>0.14057</v>
      </c>
      <c r="BD109" s="15" t="n">
        <v>0.24175</v>
      </c>
      <c r="BE109" s="15" t="n">
        <v>0.67336</v>
      </c>
      <c r="BF109" s="15" t="n">
        <v>-0.12951</v>
      </c>
      <c r="BG109" s="15" t="n">
        <v>-2.6595</v>
      </c>
      <c r="BH109" s="15" t="n">
        <v>-0.081076</v>
      </c>
      <c r="BI109" s="15" t="n">
        <v>-0.55141</v>
      </c>
      <c r="BJ109" s="15" t="n">
        <v>2.1546</v>
      </c>
      <c r="BK109" s="15" t="n">
        <v>0.095677</v>
      </c>
      <c r="BL109" s="15" t="n">
        <v>-0.45795</v>
      </c>
      <c r="BM109" s="15" t="n">
        <v>1.0711</v>
      </c>
      <c r="BN109" s="15" t="n">
        <v>0.37814</v>
      </c>
      <c r="BO109" s="15" t="n">
        <v>0.68593</v>
      </c>
      <c r="BP109" s="15" t="n">
        <v>1.1912</v>
      </c>
      <c r="BQ109" s="15" t="n">
        <v>-0.37919</v>
      </c>
      <c r="BR109" s="15" t="n">
        <v>0.30515</v>
      </c>
      <c r="BS109" s="15" t="n">
        <v>0.0056043</v>
      </c>
      <c r="BT109" s="15" t="n">
        <v>0.95735</v>
      </c>
      <c r="BU109" s="15" t="n">
        <v>0.041007</v>
      </c>
      <c r="BV109" s="15" t="n">
        <v>0.018179</v>
      </c>
      <c r="BW109" s="15" t="n">
        <v>-0.33099</v>
      </c>
      <c r="BX109" s="15" t="n">
        <v>0.13831</v>
      </c>
      <c r="BY109" s="15" t="n">
        <v>-0.010589</v>
      </c>
      <c r="BZ109" s="15" t="n">
        <v>0.10517</v>
      </c>
      <c r="CA109" s="15" t="n">
        <v>-0.021849</v>
      </c>
      <c r="CB109" s="15" t="n">
        <v>-0.28301</v>
      </c>
      <c r="CC109" s="15" t="n">
        <v>-0.2312</v>
      </c>
      <c r="CD109" s="15" t="n">
        <v>-0.37836</v>
      </c>
      <c r="CE109" s="15" t="n">
        <v>0.74866</v>
      </c>
      <c r="CF109" s="15" t="n">
        <v>1.6515</v>
      </c>
      <c r="CG109" s="15" t="n">
        <v>-0.11646</v>
      </c>
      <c r="CH109" s="15" t="n">
        <v>-0.64596</v>
      </c>
      <c r="CI109" s="15" t="n">
        <v>0.21062</v>
      </c>
      <c r="CJ109" s="15" t="n">
        <v>-0.93687</v>
      </c>
      <c r="CK109" s="15" t="n">
        <v>-0.79856</v>
      </c>
      <c r="CL109" s="15" t="n">
        <v>0.44815</v>
      </c>
      <c r="CM109" s="15" t="n">
        <v>-0.66311</v>
      </c>
      <c r="CN109" s="15" t="n">
        <v>0.18571</v>
      </c>
      <c r="CO109" s="15" t="n">
        <v>-0.15982</v>
      </c>
      <c r="CP109" s="15" t="n">
        <v>-0.09025</v>
      </c>
      <c r="CQ109" s="15" t="n">
        <v>-0.57068</v>
      </c>
      <c r="CR109" s="15" t="n">
        <v>-0.03635</v>
      </c>
      <c r="CS109" s="15" t="n">
        <v>-0.41282</v>
      </c>
      <c r="CT109" s="15" t="n">
        <v>-0.84714</v>
      </c>
      <c r="CU109" s="15" t="n">
        <v>-0.38274</v>
      </c>
      <c r="CV109" s="15" t="n">
        <v>-0.5892</v>
      </c>
      <c r="CW109" s="15" t="n">
        <v>-0.22287</v>
      </c>
      <c r="CX109" s="15" t="n">
        <v>0.96966</v>
      </c>
      <c r="CY109" s="15" t="n">
        <v>-0.14695</v>
      </c>
    </row>
    <row r="110" customFormat="false" ht="15" hidden="false" customHeight="false" outlineLevel="0" collapsed="false">
      <c r="A110" s="4" t="s">
        <v>116</v>
      </c>
      <c r="B110" s="2" t="n">
        <f aca="false">COUNTIF('1.3 TF-IDF coseno'!$M$10:$M$123,A110)</f>
        <v>0</v>
      </c>
      <c r="C110" s="2" t="n">
        <f aca="false">COUNTIF('1.3 TF-IDF coseno'!$N$10:$N$102,A110)</f>
        <v>1</v>
      </c>
      <c r="D110" s="15" t="n">
        <v>0.18519</v>
      </c>
      <c r="E110" s="15" t="n">
        <v>0.34111</v>
      </c>
      <c r="F110" s="15" t="n">
        <v>0.36097</v>
      </c>
      <c r="G110" s="15" t="n">
        <v>0.27093</v>
      </c>
      <c r="H110" s="15" t="n">
        <v>-0.031335</v>
      </c>
      <c r="I110" s="15" t="n">
        <v>0.83923</v>
      </c>
      <c r="J110" s="15" t="n">
        <v>-0.50534</v>
      </c>
      <c r="K110" s="15" t="n">
        <v>-0.80062</v>
      </c>
      <c r="L110" s="15" t="n">
        <v>0.40695</v>
      </c>
      <c r="M110" s="15" t="n">
        <v>0.82488</v>
      </c>
      <c r="N110" s="15" t="n">
        <v>-0.98239</v>
      </c>
      <c r="O110" s="15" t="n">
        <v>-0.6354</v>
      </c>
      <c r="P110" s="15" t="n">
        <v>-0.21382</v>
      </c>
      <c r="Q110" s="15" t="n">
        <v>0.079889</v>
      </c>
      <c r="R110" s="15" t="n">
        <v>-0.29557</v>
      </c>
      <c r="S110" s="15" t="n">
        <v>0.17075</v>
      </c>
      <c r="T110" s="15" t="n">
        <v>0.17479</v>
      </c>
      <c r="U110" s="15" t="n">
        <v>-0.74214</v>
      </c>
      <c r="V110" s="15" t="n">
        <v>-0.2677</v>
      </c>
      <c r="W110" s="15" t="n">
        <v>0.21074</v>
      </c>
      <c r="X110" s="15" t="n">
        <v>-0.41795</v>
      </c>
      <c r="Y110" s="15" t="n">
        <v>0.027713</v>
      </c>
      <c r="Z110" s="15" t="n">
        <v>0.71123</v>
      </c>
      <c r="AA110" s="15" t="n">
        <v>0.2063</v>
      </c>
      <c r="AB110" s="15" t="n">
        <v>-0.12266</v>
      </c>
      <c r="AC110" s="15" t="n">
        <v>-0.80088</v>
      </c>
      <c r="AD110" s="15" t="n">
        <v>0.22942</v>
      </c>
      <c r="AE110" s="15" t="n">
        <v>0.041037</v>
      </c>
      <c r="AF110" s="15" t="n">
        <v>-0.56901</v>
      </c>
      <c r="AG110" s="15" t="n">
        <v>0.097472</v>
      </c>
      <c r="AH110" s="15" t="n">
        <v>-0.59139</v>
      </c>
      <c r="AI110" s="15" t="n">
        <v>1.0524</v>
      </c>
      <c r="AJ110" s="15" t="n">
        <v>-0.66803</v>
      </c>
      <c r="AK110" s="15" t="n">
        <v>-0.70471</v>
      </c>
      <c r="AL110" s="15" t="n">
        <v>0.69757</v>
      </c>
      <c r="AM110" s="15" t="n">
        <v>-0.11137</v>
      </c>
      <c r="AN110" s="15" t="n">
        <v>-0.27816</v>
      </c>
      <c r="AO110" s="15" t="n">
        <v>0.047361</v>
      </c>
      <c r="AP110" s="15" t="n">
        <v>0.020305</v>
      </c>
      <c r="AQ110" s="15" t="n">
        <v>-0.184</v>
      </c>
      <c r="AR110" s="15" t="n">
        <v>-1.0254</v>
      </c>
      <c r="AS110" s="15" t="n">
        <v>0.11297</v>
      </c>
      <c r="AT110" s="15" t="n">
        <v>-0.79547</v>
      </c>
      <c r="AU110" s="15" t="n">
        <v>0.41642</v>
      </c>
      <c r="AV110" s="15" t="n">
        <v>-0.2508</v>
      </c>
      <c r="AW110" s="15" t="n">
        <v>-0.3188</v>
      </c>
      <c r="AX110" s="15" t="n">
        <v>0.37044</v>
      </c>
      <c r="AY110" s="15" t="n">
        <v>-0.26873</v>
      </c>
      <c r="AZ110" s="15" t="n">
        <v>-0.36185</v>
      </c>
      <c r="BA110" s="15" t="n">
        <v>-0.096621</v>
      </c>
      <c r="BB110" s="15" t="n">
        <v>-0.029956</v>
      </c>
      <c r="BC110" s="15" t="n">
        <v>0.67308</v>
      </c>
      <c r="BD110" s="15" t="n">
        <v>0.53102</v>
      </c>
      <c r="BE110" s="15" t="n">
        <v>0.62816</v>
      </c>
      <c r="BF110" s="15" t="n">
        <v>-0.11507</v>
      </c>
      <c r="BG110" s="15" t="n">
        <v>-1.5524</v>
      </c>
      <c r="BH110" s="15" t="n">
        <v>-0.30628</v>
      </c>
      <c r="BI110" s="15" t="n">
        <v>-0.4253</v>
      </c>
      <c r="BJ110" s="15" t="n">
        <v>1.8887</v>
      </c>
      <c r="BK110" s="15" t="n">
        <v>0.3247</v>
      </c>
      <c r="BL110" s="15" t="n">
        <v>0.60202</v>
      </c>
      <c r="BM110" s="15" t="n">
        <v>0.81163</v>
      </c>
      <c r="BN110" s="15" t="n">
        <v>-0.46029</v>
      </c>
      <c r="BO110" s="15" t="n">
        <v>-1.4061</v>
      </c>
      <c r="BP110" s="15" t="n">
        <v>0.80229</v>
      </c>
      <c r="BQ110" s="15" t="n">
        <v>0.2019</v>
      </c>
      <c r="BR110" s="15" t="n">
        <v>0.60938</v>
      </c>
      <c r="BS110" s="15" t="n">
        <v>0.063545</v>
      </c>
      <c r="BT110" s="15" t="n">
        <v>0.21925</v>
      </c>
      <c r="BU110" s="15" t="n">
        <v>-0.043372</v>
      </c>
      <c r="BV110" s="15" t="n">
        <v>-0.36648</v>
      </c>
      <c r="BW110" s="15" t="n">
        <v>0.61308</v>
      </c>
      <c r="BX110" s="15" t="n">
        <v>1.0207</v>
      </c>
      <c r="BY110" s="15" t="n">
        <v>-0.39014</v>
      </c>
      <c r="BZ110" s="15" t="n">
        <v>0.1717</v>
      </c>
      <c r="CA110" s="15" t="n">
        <v>0.61272</v>
      </c>
      <c r="CB110" s="15" t="n">
        <v>-0.80342</v>
      </c>
      <c r="CC110" s="15" t="n">
        <v>0.71295</v>
      </c>
      <c r="CD110" s="15" t="n">
        <v>-1.0938</v>
      </c>
      <c r="CE110" s="15" t="n">
        <v>-0.50546</v>
      </c>
      <c r="CF110" s="15" t="n">
        <v>-0.99668</v>
      </c>
      <c r="CG110" s="15" t="n">
        <v>-1.6701</v>
      </c>
      <c r="CH110" s="15" t="n">
        <v>-0.31804</v>
      </c>
      <c r="CI110" s="15" t="n">
        <v>-0.62934</v>
      </c>
      <c r="CJ110" s="15" t="n">
        <v>-2.0226</v>
      </c>
      <c r="CK110" s="15" t="n">
        <v>0.79405</v>
      </c>
      <c r="CL110" s="15" t="n">
        <v>-0.16994</v>
      </c>
      <c r="CM110" s="15" t="n">
        <v>-0.37627</v>
      </c>
      <c r="CN110" s="15" t="n">
        <v>0.57998</v>
      </c>
      <c r="CO110" s="15" t="n">
        <v>0.16643</v>
      </c>
      <c r="CP110" s="15" t="n">
        <v>0.1356</v>
      </c>
      <c r="CQ110" s="15" t="n">
        <v>0.0943</v>
      </c>
      <c r="CR110" s="15" t="n">
        <v>-0.24154</v>
      </c>
      <c r="CS110" s="15" t="n">
        <v>0.7123</v>
      </c>
      <c r="CT110" s="15" t="n">
        <v>-0.4201</v>
      </c>
      <c r="CU110" s="15" t="n">
        <v>0.24735</v>
      </c>
      <c r="CV110" s="15" t="n">
        <v>-0.94449</v>
      </c>
      <c r="CW110" s="15" t="n">
        <v>-1.0794</v>
      </c>
      <c r="CX110" s="15" t="n">
        <v>0.3413</v>
      </c>
      <c r="CY110" s="15" t="n">
        <v>0.34704</v>
      </c>
    </row>
    <row r="111" customFormat="false" ht="15" hidden="false" customHeight="false" outlineLevel="0" collapsed="false">
      <c r="A111" s="4" t="s">
        <v>117</v>
      </c>
      <c r="B111" s="2" t="n">
        <f aca="false">COUNTIF('1.3 TF-IDF coseno'!$M$10:$M$123,A111)</f>
        <v>0</v>
      </c>
      <c r="C111" s="2" t="n">
        <f aca="false">COUNTIF('1.3 TF-IDF coseno'!$N$10:$N$102,A111)</f>
        <v>1</v>
      </c>
      <c r="D111" s="15" t="n">
        <v>0.20141</v>
      </c>
      <c r="E111" s="15" t="n">
        <v>-0.22093</v>
      </c>
      <c r="F111" s="15" t="n">
        <v>-0.27207</v>
      </c>
      <c r="G111" s="15" t="n">
        <v>-0.16316</v>
      </c>
      <c r="H111" s="15" t="n">
        <v>0.5401</v>
      </c>
      <c r="I111" s="15" t="n">
        <v>1.1759</v>
      </c>
      <c r="J111" s="15" t="n">
        <v>-0.80574</v>
      </c>
      <c r="K111" s="15" t="n">
        <v>0.0018148</v>
      </c>
      <c r="L111" s="15" t="n">
        <v>-0.11412</v>
      </c>
      <c r="M111" s="15" t="n">
        <v>0.24721</v>
      </c>
      <c r="N111" s="15" t="n">
        <v>-0.19423</v>
      </c>
      <c r="O111" s="15" t="n">
        <v>-0.73501</v>
      </c>
      <c r="P111" s="15" t="n">
        <v>-0.080231</v>
      </c>
      <c r="Q111" s="15" t="n">
        <v>0.58905</v>
      </c>
      <c r="R111" s="15" t="n">
        <v>0.19204</v>
      </c>
      <c r="S111" s="15" t="n">
        <v>0.61424</v>
      </c>
      <c r="T111" s="15" t="n">
        <v>-0.25046</v>
      </c>
      <c r="U111" s="15" t="n">
        <v>0.45175</v>
      </c>
      <c r="V111" s="15" t="n">
        <v>-0.96591</v>
      </c>
      <c r="W111" s="15" t="n">
        <v>0.76093</v>
      </c>
      <c r="X111" s="15" t="n">
        <v>0.60828</v>
      </c>
      <c r="Y111" s="15" t="n">
        <v>-0.68273</v>
      </c>
      <c r="Z111" s="15" t="n">
        <v>0.10958</v>
      </c>
      <c r="AA111" s="15" t="n">
        <v>-0.64638</v>
      </c>
      <c r="AB111" s="15" t="n">
        <v>-0.19618</v>
      </c>
      <c r="AC111" s="15" t="n">
        <v>0.43959</v>
      </c>
      <c r="AD111" s="15" t="n">
        <v>0.29859</v>
      </c>
      <c r="AE111" s="15" t="n">
        <v>0.071484</v>
      </c>
      <c r="AF111" s="15" t="n">
        <v>0.57454</v>
      </c>
      <c r="AG111" s="15" t="n">
        <v>-0.029166</v>
      </c>
      <c r="AH111" s="15" t="n">
        <v>0.38517</v>
      </c>
      <c r="AI111" s="15" t="n">
        <v>0.36288</v>
      </c>
      <c r="AJ111" s="15" t="n">
        <v>-0.069003</v>
      </c>
      <c r="AK111" s="15" t="n">
        <v>-0.17652</v>
      </c>
      <c r="AL111" s="15" t="n">
        <v>-0.057273</v>
      </c>
      <c r="AM111" s="15" t="n">
        <v>-0.36002</v>
      </c>
      <c r="AN111" s="15" t="n">
        <v>0.29368</v>
      </c>
      <c r="AO111" s="15" t="n">
        <v>-0.81825</v>
      </c>
      <c r="AP111" s="15" t="n">
        <v>-0.32886</v>
      </c>
      <c r="AQ111" s="15" t="n">
        <v>-0.42611</v>
      </c>
      <c r="AR111" s="15" t="n">
        <v>-0.38236</v>
      </c>
      <c r="AS111" s="15" t="n">
        <v>0.90903</v>
      </c>
      <c r="AT111" s="15" t="n">
        <v>0.12723</v>
      </c>
      <c r="AU111" s="15" t="n">
        <v>0.36378</v>
      </c>
      <c r="AV111" s="15" t="n">
        <v>0.36262</v>
      </c>
      <c r="AW111" s="15" t="n">
        <v>-0.3329</v>
      </c>
      <c r="AX111" s="15" t="n">
        <v>-0.012657</v>
      </c>
      <c r="AY111" s="15" t="n">
        <v>-0.50728</v>
      </c>
      <c r="AZ111" s="15" t="n">
        <v>-0.55928</v>
      </c>
      <c r="BA111" s="15" t="n">
        <v>-0.8526</v>
      </c>
      <c r="BB111" s="15" t="n">
        <v>0.029677</v>
      </c>
      <c r="BC111" s="15" t="n">
        <v>0.35906</v>
      </c>
      <c r="BD111" s="15" t="n">
        <v>0.038187</v>
      </c>
      <c r="BE111" s="15" t="n">
        <v>0.88197</v>
      </c>
      <c r="BF111" s="15" t="n">
        <v>-0.24308</v>
      </c>
      <c r="BG111" s="15" t="n">
        <v>-1.2787</v>
      </c>
      <c r="BH111" s="15" t="n">
        <v>-0.0025165</v>
      </c>
      <c r="BI111" s="15" t="n">
        <v>-0.4399</v>
      </c>
      <c r="BJ111" s="15" t="n">
        <v>1.0017</v>
      </c>
      <c r="BK111" s="15" t="n">
        <v>0.51892</v>
      </c>
      <c r="BL111" s="15" t="n">
        <v>-0.36782</v>
      </c>
      <c r="BM111" s="15" t="n">
        <v>0.43758</v>
      </c>
      <c r="BN111" s="15" t="n">
        <v>-0.18495</v>
      </c>
      <c r="BO111" s="15" t="n">
        <v>-0.3875</v>
      </c>
      <c r="BP111" s="15" t="n">
        <v>0.9894</v>
      </c>
      <c r="BQ111" s="15" t="n">
        <v>-0.063499</v>
      </c>
      <c r="BR111" s="15" t="n">
        <v>0.65499</v>
      </c>
      <c r="BS111" s="15" t="n">
        <v>0.012414</v>
      </c>
      <c r="BT111" s="15" t="n">
        <v>0.55703</v>
      </c>
      <c r="BU111" s="15" t="n">
        <v>-0.8159</v>
      </c>
      <c r="BV111" s="15" t="n">
        <v>-0.20742</v>
      </c>
      <c r="BW111" s="15" t="n">
        <v>-1.2493</v>
      </c>
      <c r="BX111" s="15" t="n">
        <v>-0.061546</v>
      </c>
      <c r="BY111" s="15" t="n">
        <v>0.3173</v>
      </c>
      <c r="BZ111" s="15" t="n">
        <v>0.62116</v>
      </c>
      <c r="CA111" s="15" t="n">
        <v>-0.68544</v>
      </c>
      <c r="CB111" s="15" t="n">
        <v>0.31531</v>
      </c>
      <c r="CC111" s="15" t="n">
        <v>-0.083192</v>
      </c>
      <c r="CD111" s="15" t="n">
        <v>-0.37814</v>
      </c>
      <c r="CE111" s="15" t="n">
        <v>-0.15266</v>
      </c>
      <c r="CF111" s="15" t="n">
        <v>0.49768</v>
      </c>
      <c r="CG111" s="15" t="n">
        <v>0.075164</v>
      </c>
      <c r="CH111" s="15" t="n">
        <v>0.76893</v>
      </c>
      <c r="CI111" s="15" t="n">
        <v>0.65676</v>
      </c>
      <c r="CJ111" s="15" t="n">
        <v>-1.4623</v>
      </c>
      <c r="CK111" s="15" t="n">
        <v>-0.11816</v>
      </c>
      <c r="CL111" s="15" t="n">
        <v>-0.085387</v>
      </c>
      <c r="CM111" s="15" t="n">
        <v>-0.50634</v>
      </c>
      <c r="CN111" s="15" t="n">
        <v>0.28367</v>
      </c>
      <c r="CO111" s="15" t="n">
        <v>-0.35201</v>
      </c>
      <c r="CP111" s="15" t="n">
        <v>-0.93522</v>
      </c>
      <c r="CQ111" s="15" t="n">
        <v>-0.38033</v>
      </c>
      <c r="CR111" s="15" t="n">
        <v>-0.37555</v>
      </c>
      <c r="CS111" s="15" t="n">
        <v>0.57028</v>
      </c>
      <c r="CT111" s="15" t="n">
        <v>0.57443</v>
      </c>
      <c r="CU111" s="15" t="n">
        <v>0.21012</v>
      </c>
      <c r="CV111" s="15" t="n">
        <v>-0.70706</v>
      </c>
      <c r="CW111" s="15" t="n">
        <v>-0.76091</v>
      </c>
      <c r="CX111" s="15" t="n">
        <v>0.56432</v>
      </c>
      <c r="CY111" s="15" t="n">
        <v>-0.17084</v>
      </c>
    </row>
    <row r="112" customFormat="false" ht="15" hidden="false" customHeight="false" outlineLevel="0" collapsed="false">
      <c r="A112" s="4" t="s">
        <v>119</v>
      </c>
      <c r="B112" s="2" t="n">
        <f aca="false">COUNTIF('1.3 TF-IDF coseno'!$M$10:$M$123,A112)</f>
        <v>0</v>
      </c>
      <c r="C112" s="2" t="n">
        <f aca="false">COUNTIF('1.3 TF-IDF coseno'!$N$10:$N$102,A112)</f>
        <v>1</v>
      </c>
      <c r="D112" s="15" t="n">
        <v>-0.1982</v>
      </c>
      <c r="E112" s="15" t="n">
        <v>-0.28405</v>
      </c>
      <c r="F112" s="15" t="n">
        <v>0.14584</v>
      </c>
      <c r="G112" s="15" t="n">
        <v>-0.31859</v>
      </c>
      <c r="H112" s="15" t="n">
        <v>0.35192</v>
      </c>
      <c r="I112" s="15" t="n">
        <v>-0.17536</v>
      </c>
      <c r="J112" s="15" t="n">
        <v>0.51453</v>
      </c>
      <c r="K112" s="15" t="n">
        <v>0.22287</v>
      </c>
      <c r="L112" s="15" t="n">
        <v>-0.3827</v>
      </c>
      <c r="M112" s="15" t="n">
        <v>-0.015509</v>
      </c>
      <c r="N112" s="15" t="n">
        <v>0.33557</v>
      </c>
      <c r="O112" s="15" t="n">
        <v>-0.3486</v>
      </c>
      <c r="P112" s="15" t="n">
        <v>0.18489</v>
      </c>
      <c r="Q112" s="15" t="n">
        <v>0.50886</v>
      </c>
      <c r="R112" s="15" t="n">
        <v>0.45933</v>
      </c>
      <c r="S112" s="15" t="n">
        <v>-0.14549</v>
      </c>
      <c r="T112" s="15" t="n">
        <v>0.42201</v>
      </c>
      <c r="U112" s="15" t="n">
        <v>0.42403</v>
      </c>
      <c r="V112" s="15" t="n">
        <v>-0.32605</v>
      </c>
      <c r="W112" s="15" t="n">
        <v>0.058963</v>
      </c>
      <c r="X112" s="15" t="n">
        <v>0.27354</v>
      </c>
      <c r="Y112" s="15" t="n">
        <v>0.096216</v>
      </c>
      <c r="Z112" s="15" t="n">
        <v>0.048534</v>
      </c>
      <c r="AA112" s="15" t="n">
        <v>0.21598</v>
      </c>
      <c r="AB112" s="15" t="n">
        <v>-0.030559</v>
      </c>
      <c r="AC112" s="15" t="n">
        <v>-0.12433</v>
      </c>
      <c r="AD112" s="15" t="n">
        <v>-0.3235</v>
      </c>
      <c r="AE112" s="15" t="n">
        <v>-0.15598</v>
      </c>
      <c r="AF112" s="15" t="n">
        <v>-0.097838</v>
      </c>
      <c r="AG112" s="15" t="n">
        <v>-0.50238</v>
      </c>
      <c r="AH112" s="15" t="n">
        <v>-0.14542</v>
      </c>
      <c r="AI112" s="15" t="n">
        <v>0.82071</v>
      </c>
      <c r="AJ112" s="15" t="n">
        <v>-0.038955</v>
      </c>
      <c r="AK112" s="15" t="n">
        <v>-0.018687</v>
      </c>
      <c r="AL112" s="15" t="n">
        <v>0.19786</v>
      </c>
      <c r="AM112" s="15" t="n">
        <v>0.76392</v>
      </c>
      <c r="AN112" s="15" t="n">
        <v>0.086559</v>
      </c>
      <c r="AO112" s="15" t="n">
        <v>0.39519</v>
      </c>
      <c r="AP112" s="15" t="n">
        <v>-0.54875</v>
      </c>
      <c r="AQ112" s="15" t="n">
        <v>0.02119</v>
      </c>
      <c r="AR112" s="15" t="n">
        <v>-0.67961</v>
      </c>
      <c r="AS112" s="15" t="n">
        <v>-0.028829</v>
      </c>
      <c r="AT112" s="15" t="n">
        <v>0.43082</v>
      </c>
      <c r="AU112" s="15" t="n">
        <v>-0.19367</v>
      </c>
      <c r="AV112" s="15" t="n">
        <v>0.062897</v>
      </c>
      <c r="AW112" s="15" t="n">
        <v>-0.30931</v>
      </c>
      <c r="AX112" s="15" t="n">
        <v>0.2046</v>
      </c>
      <c r="AY112" s="15" t="n">
        <v>-0.55095</v>
      </c>
      <c r="AZ112" s="15" t="n">
        <v>0.045624</v>
      </c>
      <c r="BA112" s="15" t="n">
        <v>-0.94535</v>
      </c>
      <c r="BB112" s="15" t="n">
        <v>-0.11373</v>
      </c>
      <c r="BC112" s="15" t="n">
        <v>0.014583</v>
      </c>
      <c r="BD112" s="15" t="n">
        <v>0.44611</v>
      </c>
      <c r="BE112" s="15" t="n">
        <v>1.0166</v>
      </c>
      <c r="BF112" s="15" t="n">
        <v>-0.58189</v>
      </c>
      <c r="BG112" s="15" t="n">
        <v>-2.4982</v>
      </c>
      <c r="BH112" s="15" t="n">
        <v>-0.35776</v>
      </c>
      <c r="BI112" s="15" t="n">
        <v>-0.041392</v>
      </c>
      <c r="BJ112" s="15" t="n">
        <v>1.3316</v>
      </c>
      <c r="BK112" s="15" t="n">
        <v>0.67553</v>
      </c>
      <c r="BL112" s="15" t="n">
        <v>-0.21153</v>
      </c>
      <c r="BM112" s="15" t="n">
        <v>0.73355</v>
      </c>
      <c r="BN112" s="15" t="n">
        <v>-0.32923</v>
      </c>
      <c r="BO112" s="15" t="n">
        <v>0.63869</v>
      </c>
      <c r="BP112" s="15" t="n">
        <v>0.46185</v>
      </c>
      <c r="BQ112" s="15" t="n">
        <v>-0.76642</v>
      </c>
      <c r="BR112" s="15" t="n">
        <v>0.55702</v>
      </c>
      <c r="BS112" s="15" t="n">
        <v>0.64883</v>
      </c>
      <c r="BT112" s="15" t="n">
        <v>-0.22308</v>
      </c>
      <c r="BU112" s="15" t="n">
        <v>-0.56285</v>
      </c>
      <c r="BV112" s="15" t="n">
        <v>0.082082</v>
      </c>
      <c r="BW112" s="15" t="n">
        <v>-0.22448</v>
      </c>
      <c r="BX112" s="15" t="n">
        <v>0.16296</v>
      </c>
      <c r="BY112" s="15" t="n">
        <v>-0.38004</v>
      </c>
      <c r="BZ112" s="15" t="n">
        <v>0.32773</v>
      </c>
      <c r="CA112" s="15" t="n">
        <v>0.34815</v>
      </c>
      <c r="CB112" s="15" t="n">
        <v>-0.41732</v>
      </c>
      <c r="CC112" s="15" t="n">
        <v>0.43754</v>
      </c>
      <c r="CD112" s="15" t="n">
        <v>-0.98953</v>
      </c>
      <c r="CE112" s="15" t="n">
        <v>0.24076</v>
      </c>
      <c r="CF112" s="15" t="n">
        <v>0.82662</v>
      </c>
      <c r="CG112" s="15" t="n">
        <v>0.094291</v>
      </c>
      <c r="CH112" s="15" t="n">
        <v>-0.076368</v>
      </c>
      <c r="CI112" s="15" t="n">
        <v>0.38624</v>
      </c>
      <c r="CJ112" s="15" t="n">
        <v>-1.5678</v>
      </c>
      <c r="CK112" s="15" t="n">
        <v>-0.38339</v>
      </c>
      <c r="CL112" s="15" t="n">
        <v>0.20464</v>
      </c>
      <c r="CM112" s="15" t="n">
        <v>-0.11202</v>
      </c>
      <c r="CN112" s="15" t="n">
        <v>-0.34939</v>
      </c>
      <c r="CO112" s="15" t="n">
        <v>-0.50683</v>
      </c>
      <c r="CP112" s="15" t="n">
        <v>-0.07543</v>
      </c>
      <c r="CQ112" s="15" t="n">
        <v>-0.51435</v>
      </c>
      <c r="CR112" s="15" t="n">
        <v>-0.51315</v>
      </c>
      <c r="CS112" s="15" t="n">
        <v>-0.048638</v>
      </c>
      <c r="CT112" s="15" t="n">
        <v>-0.6143</v>
      </c>
      <c r="CU112" s="15" t="n">
        <v>-0.39498</v>
      </c>
      <c r="CV112" s="15" t="n">
        <v>-0.80424</v>
      </c>
      <c r="CW112" s="15" t="n">
        <v>-0.53594</v>
      </c>
      <c r="CX112" s="15" t="n">
        <v>0.52015</v>
      </c>
      <c r="CY112" s="15" t="n">
        <v>0.064196</v>
      </c>
    </row>
    <row r="113" customFormat="false" ht="15" hidden="false" customHeight="false" outlineLevel="0" collapsed="false">
      <c r="A113" s="4" t="s">
        <v>120</v>
      </c>
      <c r="B113" s="2" t="n">
        <f aca="false">COUNTIF('1.3 TF-IDF coseno'!$M$10:$M$123,A113)</f>
        <v>0</v>
      </c>
      <c r="C113" s="2" t="n">
        <f aca="false">COUNTIF('1.3 TF-IDF coseno'!$N$10:$N$102,A113)</f>
        <v>1</v>
      </c>
      <c r="D113" s="15" t="n">
        <v>0.3452</v>
      </c>
      <c r="E113" s="15" t="n">
        <v>-0.21136</v>
      </c>
      <c r="F113" s="15" t="n">
        <v>0.39368</v>
      </c>
      <c r="G113" s="15" t="n">
        <v>0.095471</v>
      </c>
      <c r="H113" s="15" t="n">
        <v>-0.64819</v>
      </c>
      <c r="I113" s="15" t="n">
        <v>0.57841</v>
      </c>
      <c r="J113" s="15" t="n">
        <v>0.35598</v>
      </c>
      <c r="K113" s="15" t="n">
        <v>0.015983</v>
      </c>
      <c r="L113" s="15" t="n">
        <v>0.63345</v>
      </c>
      <c r="M113" s="15" t="n">
        <v>-0.52247</v>
      </c>
      <c r="N113" s="15" t="n">
        <v>-0.18722</v>
      </c>
      <c r="O113" s="15" t="n">
        <v>0.23367</v>
      </c>
      <c r="P113" s="15" t="n">
        <v>-0.27545</v>
      </c>
      <c r="Q113" s="15" t="n">
        <v>-0.29641</v>
      </c>
      <c r="R113" s="15" t="n">
        <v>0.77512</v>
      </c>
      <c r="S113" s="15" t="n">
        <v>0.81146</v>
      </c>
      <c r="T113" s="15" t="n">
        <v>0.043486</v>
      </c>
      <c r="U113" s="15" t="n">
        <v>-0.29792</v>
      </c>
      <c r="V113" s="15" t="n">
        <v>-0.22995</v>
      </c>
      <c r="W113" s="15" t="n">
        <v>-0.13869</v>
      </c>
      <c r="X113" s="15" t="n">
        <v>0.49461</v>
      </c>
      <c r="Y113" s="15" t="n">
        <v>0.12095</v>
      </c>
      <c r="Z113" s="15" t="n">
        <v>0.10904</v>
      </c>
      <c r="AA113" s="15" t="n">
        <v>0.31686</v>
      </c>
      <c r="AB113" s="15" t="n">
        <v>-0.20162</v>
      </c>
      <c r="AC113" s="15" t="n">
        <v>-0.046521</v>
      </c>
      <c r="AD113" s="15" t="n">
        <v>0.39321</v>
      </c>
      <c r="AE113" s="15" t="n">
        <v>1.017</v>
      </c>
      <c r="AF113" s="15" t="n">
        <v>-0.7599</v>
      </c>
      <c r="AG113" s="15" t="n">
        <v>0.19255</v>
      </c>
      <c r="AH113" s="15" t="n">
        <v>0.56728</v>
      </c>
      <c r="AI113" s="15" t="n">
        <v>-0.22595</v>
      </c>
      <c r="AJ113" s="15" t="n">
        <v>-0.43423</v>
      </c>
      <c r="AK113" s="15" t="n">
        <v>-0.32075</v>
      </c>
      <c r="AL113" s="15" t="n">
        <v>-0.33063</v>
      </c>
      <c r="AM113" s="15" t="n">
        <v>0.38719</v>
      </c>
      <c r="AN113" s="15" t="n">
        <v>-0.96745</v>
      </c>
      <c r="AO113" s="15" t="n">
        <v>-0.72368</v>
      </c>
      <c r="AP113" s="15" t="n">
        <v>-0.2824</v>
      </c>
      <c r="AQ113" s="15" t="n">
        <v>0.4043</v>
      </c>
      <c r="AR113" s="15" t="n">
        <v>-0.40781</v>
      </c>
      <c r="AS113" s="15" t="n">
        <v>0.7367</v>
      </c>
      <c r="AT113" s="15" t="n">
        <v>0.19554</v>
      </c>
      <c r="AU113" s="15" t="n">
        <v>0.070351</v>
      </c>
      <c r="AV113" s="15" t="n">
        <v>-0.63588</v>
      </c>
      <c r="AW113" s="15" t="n">
        <v>-0.050416</v>
      </c>
      <c r="AX113" s="15" t="n">
        <v>0.51897</v>
      </c>
      <c r="AY113" s="15" t="n">
        <v>-0.40852</v>
      </c>
      <c r="AZ113" s="15" t="n">
        <v>0.20534</v>
      </c>
      <c r="BA113" s="15" t="n">
        <v>-0.65893</v>
      </c>
      <c r="BB113" s="15" t="n">
        <v>-0.54142</v>
      </c>
      <c r="BC113" s="15" t="n">
        <v>0.58333</v>
      </c>
      <c r="BD113" s="15" t="n">
        <v>0.5528</v>
      </c>
      <c r="BE113" s="15" t="n">
        <v>0.055891</v>
      </c>
      <c r="BF113" s="15" t="n">
        <v>-0.37592</v>
      </c>
      <c r="BG113" s="15" t="n">
        <v>0.722</v>
      </c>
      <c r="BH113" s="15" t="n">
        <v>0.83462</v>
      </c>
      <c r="BI113" s="15" t="n">
        <v>0.094609</v>
      </c>
      <c r="BJ113" s="15" t="n">
        <v>-0.48508</v>
      </c>
      <c r="BK113" s="15" t="n">
        <v>-0.38922</v>
      </c>
      <c r="BL113" s="15" t="n">
        <v>-0.065617</v>
      </c>
      <c r="BM113" s="15" t="n">
        <v>-0.089794</v>
      </c>
      <c r="BN113" s="15" t="n">
        <v>-0.29234</v>
      </c>
      <c r="BO113" s="15" t="n">
        <v>0.22523</v>
      </c>
      <c r="BP113" s="15" t="n">
        <v>0.32645</v>
      </c>
      <c r="BQ113" s="15" t="n">
        <v>-1.0941</v>
      </c>
      <c r="BR113" s="15" t="n">
        <v>0.93684</v>
      </c>
      <c r="BS113" s="15" t="n">
        <v>0.34273</v>
      </c>
      <c r="BT113" s="15" t="n">
        <v>0.27298</v>
      </c>
      <c r="BU113" s="15" t="n">
        <v>-0.64237</v>
      </c>
      <c r="BV113" s="15" t="n">
        <v>-0.02904</v>
      </c>
      <c r="BW113" s="15" t="n">
        <v>-0.60338</v>
      </c>
      <c r="BX113" s="15" t="n">
        <v>0.49308</v>
      </c>
      <c r="BY113" s="15" t="n">
        <v>-0.38818</v>
      </c>
      <c r="BZ113" s="15" t="n">
        <v>0.35097</v>
      </c>
      <c r="CA113" s="15" t="n">
        <v>0.40251</v>
      </c>
      <c r="CB113" s="15" t="n">
        <v>0.42408</v>
      </c>
      <c r="CC113" s="15" t="n">
        <v>0.58183</v>
      </c>
      <c r="CD113" s="15" t="n">
        <v>-0.25028</v>
      </c>
      <c r="CE113" s="15" t="n">
        <v>-0.47546</v>
      </c>
      <c r="CF113" s="15" t="n">
        <v>-0.16943</v>
      </c>
      <c r="CG113" s="15" t="n">
        <v>0.87091</v>
      </c>
      <c r="CH113" s="15" t="n">
        <v>-0.22993</v>
      </c>
      <c r="CI113" s="15" t="n">
        <v>0.41616</v>
      </c>
      <c r="CJ113" s="15" t="n">
        <v>0.13607</v>
      </c>
      <c r="CK113" s="15" t="n">
        <v>-0.3724</v>
      </c>
      <c r="CL113" s="15" t="n">
        <v>-0.026848</v>
      </c>
      <c r="CM113" s="15" t="n">
        <v>0.65533</v>
      </c>
      <c r="CN113" s="15" t="n">
        <v>-0.39801</v>
      </c>
      <c r="CO113" s="15" t="n">
        <v>-0.06753</v>
      </c>
      <c r="CP113" s="15" t="n">
        <v>-0.43603</v>
      </c>
      <c r="CQ113" s="15" t="n">
        <v>-0.092644</v>
      </c>
      <c r="CR113" s="15" t="n">
        <v>0.0053695</v>
      </c>
      <c r="CS113" s="15" t="n">
        <v>-0.28229</v>
      </c>
      <c r="CT113" s="15" t="n">
        <v>1.1188</v>
      </c>
      <c r="CU113" s="15" t="n">
        <v>0.081137</v>
      </c>
      <c r="CV113" s="15" t="n">
        <v>-0.20344</v>
      </c>
      <c r="CW113" s="15" t="n">
        <v>-0.024019</v>
      </c>
      <c r="CX113" s="15" t="n">
        <v>-0.12278</v>
      </c>
      <c r="CY113" s="15" t="n">
        <v>0.69278</v>
      </c>
    </row>
    <row r="114" customFormat="false" ht="15" hidden="false" customHeight="false" outlineLevel="0" collapsed="false">
      <c r="A114" s="4" t="s">
        <v>121</v>
      </c>
      <c r="B114" s="2" t="n">
        <f aca="false">COUNTIF('1.3 TF-IDF coseno'!$M$10:$M$123,A114)</f>
        <v>0</v>
      </c>
      <c r="C114" s="2" t="n">
        <f aca="false">COUNTIF('1.3 TF-IDF coseno'!$N$10:$N$102,A114)</f>
        <v>1</v>
      </c>
      <c r="D114" s="15" t="n">
        <v>-0.55661</v>
      </c>
      <c r="E114" s="15" t="n">
        <v>-0.11523</v>
      </c>
      <c r="F114" s="15" t="n">
        <v>0.32072</v>
      </c>
      <c r="G114" s="15" t="n">
        <v>-0.17623</v>
      </c>
      <c r="H114" s="15" t="n">
        <v>0.55808</v>
      </c>
      <c r="I114" s="15" t="n">
        <v>0.94068</v>
      </c>
      <c r="J114" s="15" t="n">
        <v>-0.13635</v>
      </c>
      <c r="K114" s="15" t="n">
        <v>-0.19624</v>
      </c>
      <c r="L114" s="15" t="n">
        <v>0.0095648</v>
      </c>
      <c r="M114" s="15" t="n">
        <v>-0.036229</v>
      </c>
      <c r="N114" s="15" t="n">
        <v>0.44484</v>
      </c>
      <c r="O114" s="15" t="n">
        <v>-0.4972</v>
      </c>
      <c r="P114" s="15" t="n">
        <v>0.015299</v>
      </c>
      <c r="Q114" s="15" t="n">
        <v>-0.38466</v>
      </c>
      <c r="R114" s="15" t="n">
        <v>0.26106</v>
      </c>
      <c r="S114" s="15" t="n">
        <v>0.53154</v>
      </c>
      <c r="T114" s="15" t="n">
        <v>0.32754</v>
      </c>
      <c r="U114" s="15" t="n">
        <v>-0.40044</v>
      </c>
      <c r="V114" s="15" t="n">
        <v>-0.84011</v>
      </c>
      <c r="W114" s="15" t="n">
        <v>-0.31007</v>
      </c>
      <c r="X114" s="15" t="n">
        <v>0.12026</v>
      </c>
      <c r="Y114" s="15" t="n">
        <v>-0.18321</v>
      </c>
      <c r="Z114" s="15" t="n">
        <v>-0.51268</v>
      </c>
      <c r="AA114" s="15" t="n">
        <v>0.70687</v>
      </c>
      <c r="AB114" s="15" t="n">
        <v>0.53859</v>
      </c>
      <c r="AC114" s="15" t="n">
        <v>-0.37344</v>
      </c>
      <c r="AD114" s="15" t="n">
        <v>0.33671</v>
      </c>
      <c r="AE114" s="15" t="n">
        <v>-0.42626</v>
      </c>
      <c r="AF114" s="15" t="n">
        <v>-0.019416</v>
      </c>
      <c r="AG114" s="15" t="n">
        <v>0.67391</v>
      </c>
      <c r="AH114" s="15" t="n">
        <v>0.29394</v>
      </c>
      <c r="AI114" s="15" t="n">
        <v>0.8665</v>
      </c>
      <c r="AJ114" s="15" t="n">
        <v>0.029028</v>
      </c>
      <c r="AK114" s="15" t="n">
        <v>-0.49131</v>
      </c>
      <c r="AL114" s="15" t="n">
        <v>-0.88367</v>
      </c>
      <c r="AM114" s="15" t="n">
        <v>0.42996</v>
      </c>
      <c r="AN114" s="15" t="n">
        <v>0.096754</v>
      </c>
      <c r="AO114" s="15" t="n">
        <v>-0.1536</v>
      </c>
      <c r="AP114" s="15" t="n">
        <v>-0.51853</v>
      </c>
      <c r="AQ114" s="15" t="n">
        <v>0.13712</v>
      </c>
      <c r="AR114" s="15" t="n">
        <v>-0.80408</v>
      </c>
      <c r="AS114" s="15" t="n">
        <v>0.24735</v>
      </c>
      <c r="AT114" s="15" t="n">
        <v>0.083508</v>
      </c>
      <c r="AU114" s="15" t="n">
        <v>0.18431</v>
      </c>
      <c r="AV114" s="15" t="n">
        <v>-0.20423</v>
      </c>
      <c r="AW114" s="15" t="n">
        <v>-0.39277</v>
      </c>
      <c r="AX114" s="15" t="n">
        <v>0.033989</v>
      </c>
      <c r="AY114" s="15" t="n">
        <v>-0.89525</v>
      </c>
      <c r="AZ114" s="15" t="n">
        <v>-0.42241</v>
      </c>
      <c r="BA114" s="15" t="n">
        <v>-0.34142</v>
      </c>
      <c r="BB114" s="15" t="n">
        <v>1.4802</v>
      </c>
      <c r="BC114" s="15" t="n">
        <v>0.93219</v>
      </c>
      <c r="BD114" s="15" t="n">
        <v>0.29383</v>
      </c>
      <c r="BE114" s="15" t="n">
        <v>0.42804</v>
      </c>
      <c r="BF114" s="15" t="n">
        <v>-0.87268</v>
      </c>
      <c r="BG114" s="15" t="n">
        <v>-1.5721</v>
      </c>
      <c r="BH114" s="15" t="n">
        <v>0.28973</v>
      </c>
      <c r="BI114" s="15" t="n">
        <v>0.13057</v>
      </c>
      <c r="BJ114" s="15" t="n">
        <v>1.2169</v>
      </c>
      <c r="BK114" s="15" t="n">
        <v>0.2367</v>
      </c>
      <c r="BL114" s="15" t="n">
        <v>-0.64664</v>
      </c>
      <c r="BM114" s="15" t="n">
        <v>0.32809</v>
      </c>
      <c r="BN114" s="15" t="n">
        <v>-0.45481</v>
      </c>
      <c r="BO114" s="15" t="n">
        <v>-0.82233</v>
      </c>
      <c r="BP114" s="15" t="n">
        <v>1.3946</v>
      </c>
      <c r="BQ114" s="15" t="n">
        <v>-0.52253</v>
      </c>
      <c r="BR114" s="15" t="n">
        <v>-0.0035303</v>
      </c>
      <c r="BS114" s="15" t="n">
        <v>0.46421</v>
      </c>
      <c r="BT114" s="15" t="n">
        <v>-0.12557</v>
      </c>
      <c r="BU114" s="15" t="n">
        <v>0.37928</v>
      </c>
      <c r="BV114" s="15" t="n">
        <v>-0.08528</v>
      </c>
      <c r="BW114" s="15" t="n">
        <v>0.77067</v>
      </c>
      <c r="BX114" s="15" t="n">
        <v>0.39396</v>
      </c>
      <c r="BY114" s="15" t="n">
        <v>0.74602</v>
      </c>
      <c r="BZ114" s="15" t="n">
        <v>-0.088152</v>
      </c>
      <c r="CA114" s="15" t="n">
        <v>0.13619</v>
      </c>
      <c r="CB114" s="15" t="n">
        <v>0.39037</v>
      </c>
      <c r="CC114" s="15" t="n">
        <v>0.39122</v>
      </c>
      <c r="CD114" s="15" t="n">
        <v>-1.9895</v>
      </c>
      <c r="CE114" s="15" t="n">
        <v>-0.58633</v>
      </c>
      <c r="CF114" s="15" t="n">
        <v>-0.22831</v>
      </c>
      <c r="CG114" s="15" t="n">
        <v>-0.20927</v>
      </c>
      <c r="CH114" s="15" t="n">
        <v>0.32133</v>
      </c>
      <c r="CI114" s="15" t="n">
        <v>-0.70681</v>
      </c>
      <c r="CJ114" s="15" t="n">
        <v>-0.59701</v>
      </c>
      <c r="CK114" s="15" t="n">
        <v>-0.45758</v>
      </c>
      <c r="CL114" s="15" t="n">
        <v>0.28618</v>
      </c>
      <c r="CM114" s="15" t="n">
        <v>-1.0774</v>
      </c>
      <c r="CN114" s="15" t="n">
        <v>0.16001</v>
      </c>
      <c r="CO114" s="15" t="n">
        <v>0.31675</v>
      </c>
      <c r="CP114" s="15" t="n">
        <v>-0.066512</v>
      </c>
      <c r="CQ114" s="15" t="n">
        <v>-0.11295</v>
      </c>
      <c r="CR114" s="15" t="n">
        <v>0.50447</v>
      </c>
      <c r="CS114" s="15" t="n">
        <v>-0.17456</v>
      </c>
      <c r="CT114" s="15" t="n">
        <v>0.44606</v>
      </c>
      <c r="CU114" s="15" t="n">
        <v>0.55816</v>
      </c>
      <c r="CV114" s="15" t="n">
        <v>-0.069124</v>
      </c>
      <c r="CW114" s="15" t="n">
        <v>-1.158</v>
      </c>
      <c r="CX114" s="15" t="n">
        <v>0.58295</v>
      </c>
      <c r="CY114" s="15" t="n">
        <v>0.34837</v>
      </c>
    </row>
    <row r="115" customFormat="false" ht="15" hidden="false" customHeight="false" outlineLevel="0" collapsed="false">
      <c r="A115" s="4" t="s">
        <v>122</v>
      </c>
      <c r="B115" s="2" t="n">
        <f aca="false">COUNTIF('1.3 TF-IDF coseno'!$M$10:$M$123,A115)</f>
        <v>0</v>
      </c>
      <c r="C115" s="2" t="n">
        <f aca="false">COUNTIF('1.3 TF-IDF coseno'!$N$10:$N$102,A115)</f>
        <v>1</v>
      </c>
      <c r="D115" s="15" t="n">
        <v>0.24541</v>
      </c>
      <c r="E115" s="15" t="n">
        <v>-0.26066</v>
      </c>
      <c r="F115" s="15" t="n">
        <v>0.48924</v>
      </c>
      <c r="G115" s="15" t="n">
        <v>0.42949</v>
      </c>
      <c r="H115" s="15" t="n">
        <v>0.42483</v>
      </c>
      <c r="I115" s="15" t="n">
        <v>-0.16546</v>
      </c>
      <c r="J115" s="15" t="n">
        <v>-0.90153</v>
      </c>
      <c r="K115" s="15" t="n">
        <v>-0.07797</v>
      </c>
      <c r="L115" s="15" t="n">
        <v>0.61408</v>
      </c>
      <c r="M115" s="15" t="n">
        <v>-0.11053</v>
      </c>
      <c r="N115" s="15" t="n">
        <v>-0.34948</v>
      </c>
      <c r="O115" s="15" t="n">
        <v>-0.16994</v>
      </c>
      <c r="P115" s="15" t="n">
        <v>0.078615</v>
      </c>
      <c r="Q115" s="15" t="n">
        <v>-0.014632</v>
      </c>
      <c r="R115" s="15" t="n">
        <v>-0.63562</v>
      </c>
      <c r="S115" s="15" t="n">
        <v>0.08684</v>
      </c>
      <c r="T115" s="15" t="n">
        <v>0.1085</v>
      </c>
      <c r="U115" s="15" t="n">
        <v>-0.29417</v>
      </c>
      <c r="V115" s="15" t="n">
        <v>0.12175</v>
      </c>
      <c r="W115" s="15" t="n">
        <v>0.50917</v>
      </c>
      <c r="X115" s="15" t="n">
        <v>-0.14086</v>
      </c>
      <c r="Y115" s="15" t="n">
        <v>-0.16685</v>
      </c>
      <c r="Z115" s="15" t="n">
        <v>0.19064</v>
      </c>
      <c r="AA115" s="15" t="n">
        <v>-0.017303</v>
      </c>
      <c r="AB115" s="15" t="n">
        <v>-0.35658</v>
      </c>
      <c r="AC115" s="15" t="n">
        <v>0.17705</v>
      </c>
      <c r="AD115" s="15" t="n">
        <v>-0.40917</v>
      </c>
      <c r="AE115" s="15" t="n">
        <v>-0.66208</v>
      </c>
      <c r="AF115" s="15" t="n">
        <v>-0.19335</v>
      </c>
      <c r="AG115" s="15" t="n">
        <v>0.27307</v>
      </c>
      <c r="AH115" s="15" t="n">
        <v>-0.20694</v>
      </c>
      <c r="AI115" s="15" t="n">
        <v>0.74685</v>
      </c>
      <c r="AJ115" s="15" t="n">
        <v>-0.0086631</v>
      </c>
      <c r="AK115" s="15" t="n">
        <v>0.36292</v>
      </c>
      <c r="AL115" s="15" t="n">
        <v>0.36355</v>
      </c>
      <c r="AM115" s="15" t="n">
        <v>-0.056329</v>
      </c>
      <c r="AN115" s="15" t="n">
        <v>0.15798</v>
      </c>
      <c r="AO115" s="15" t="n">
        <v>-0.50411</v>
      </c>
      <c r="AP115" s="15" t="n">
        <v>-0.63579</v>
      </c>
      <c r="AQ115" s="15" t="n">
        <v>-0.34036</v>
      </c>
      <c r="AR115" s="15" t="n">
        <v>-0.88255</v>
      </c>
      <c r="AS115" s="15" t="n">
        <v>0.46807</v>
      </c>
      <c r="AT115" s="15" t="n">
        <v>1.074</v>
      </c>
      <c r="AU115" s="15" t="n">
        <v>-0.2131</v>
      </c>
      <c r="AV115" s="15" t="n">
        <v>-0.19799</v>
      </c>
      <c r="AW115" s="15" t="n">
        <v>-0.25208</v>
      </c>
      <c r="AX115" s="15" t="n">
        <v>0.1934</v>
      </c>
      <c r="AY115" s="15" t="n">
        <v>0.20353</v>
      </c>
      <c r="AZ115" s="15" t="n">
        <v>-0.59944</v>
      </c>
      <c r="BA115" s="15" t="n">
        <v>-0.21067</v>
      </c>
      <c r="BB115" s="15" t="n">
        <v>0.90932</v>
      </c>
      <c r="BC115" s="15" t="n">
        <v>0.016962</v>
      </c>
      <c r="BD115" s="15" t="n">
        <v>0.25034</v>
      </c>
      <c r="BE115" s="15" t="n">
        <v>0.43519</v>
      </c>
      <c r="BF115" s="15" t="n">
        <v>-0.82745</v>
      </c>
      <c r="BG115" s="15" t="n">
        <v>-1.1788</v>
      </c>
      <c r="BH115" s="15" t="n">
        <v>0.79079</v>
      </c>
      <c r="BI115" s="15" t="n">
        <v>-0.52828</v>
      </c>
      <c r="BJ115" s="15" t="n">
        <v>0.81624</v>
      </c>
      <c r="BK115" s="15" t="n">
        <v>0.28116</v>
      </c>
      <c r="BL115" s="15" t="n">
        <v>0.2418</v>
      </c>
      <c r="BM115" s="15" t="n">
        <v>-0.30848</v>
      </c>
      <c r="BN115" s="15" t="n">
        <v>0.33803</v>
      </c>
      <c r="BO115" s="15" t="n">
        <v>-0.21211</v>
      </c>
      <c r="BP115" s="15" t="n">
        <v>0.67029</v>
      </c>
      <c r="BQ115" s="15" t="n">
        <v>-0.095668</v>
      </c>
      <c r="BR115" s="15" t="n">
        <v>0.43798</v>
      </c>
      <c r="BS115" s="15" t="n">
        <v>0.4756</v>
      </c>
      <c r="BT115" s="15" t="n">
        <v>-0.34073</v>
      </c>
      <c r="BU115" s="15" t="n">
        <v>0.52376</v>
      </c>
      <c r="BV115" s="15" t="n">
        <v>0.35098</v>
      </c>
      <c r="BW115" s="15" t="n">
        <v>-0.50893</v>
      </c>
      <c r="BX115" s="15" t="n">
        <v>-0.51145</v>
      </c>
      <c r="BY115" s="15" t="n">
        <v>0.27559</v>
      </c>
      <c r="BZ115" s="15" t="n">
        <v>0.31628</v>
      </c>
      <c r="CA115" s="15" t="n">
        <v>-0.58948</v>
      </c>
      <c r="CB115" s="15" t="n">
        <v>-0.016224</v>
      </c>
      <c r="CC115" s="15" t="n">
        <v>-0.20024</v>
      </c>
      <c r="CD115" s="15" t="n">
        <v>-0.56456</v>
      </c>
      <c r="CE115" s="15" t="n">
        <v>0.22472</v>
      </c>
      <c r="CF115" s="15" t="n">
        <v>-0.072783</v>
      </c>
      <c r="CG115" s="15" t="n">
        <v>-0.086527</v>
      </c>
      <c r="CH115" s="15" t="n">
        <v>-0.49583</v>
      </c>
      <c r="CI115" s="15" t="n">
        <v>0.12973</v>
      </c>
      <c r="CJ115" s="15" t="n">
        <v>-0.43056</v>
      </c>
      <c r="CK115" s="15" t="n">
        <v>0.064766</v>
      </c>
      <c r="CL115" s="15" t="n">
        <v>-0.27509</v>
      </c>
      <c r="CM115" s="15" t="n">
        <v>0.079754</v>
      </c>
      <c r="CN115" s="15" t="n">
        <v>0.2836</v>
      </c>
      <c r="CO115" s="15" t="n">
        <v>-0.19043</v>
      </c>
      <c r="CP115" s="15" t="n">
        <v>-0.019229</v>
      </c>
      <c r="CQ115" s="15" t="n">
        <v>0.1922</v>
      </c>
      <c r="CR115" s="15" t="n">
        <v>0.11627</v>
      </c>
      <c r="CS115" s="15" t="n">
        <v>-0.30793</v>
      </c>
      <c r="CT115" s="15" t="n">
        <v>-0.37598</v>
      </c>
      <c r="CU115" s="15" t="n">
        <v>0.25518</v>
      </c>
      <c r="CV115" s="15" t="n">
        <v>-0.46655</v>
      </c>
      <c r="CW115" s="15" t="n">
        <v>-0.31693</v>
      </c>
      <c r="CX115" s="15" t="n">
        <v>0.16571</v>
      </c>
      <c r="CY115" s="15" t="n">
        <v>0.2846</v>
      </c>
    </row>
    <row r="116" customFormat="false" ht="15" hidden="false" customHeight="false" outlineLevel="0" collapsed="false">
      <c r="A116" s="4" t="s">
        <v>123</v>
      </c>
      <c r="B116" s="2" t="n">
        <f aca="false">COUNTIF('1.3 TF-IDF coseno'!$M$10:$M$123,A116)</f>
        <v>0</v>
      </c>
      <c r="C116" s="2" t="n">
        <f aca="false">COUNTIF('1.3 TF-IDF coseno'!$N$10:$N$102,A116)</f>
        <v>1</v>
      </c>
      <c r="D116" s="15" t="n">
        <v>0.10624</v>
      </c>
      <c r="E116" s="15" t="n">
        <v>-0.098499</v>
      </c>
      <c r="F116" s="15" t="n">
        <v>-0.47031</v>
      </c>
      <c r="G116" s="15" t="n">
        <v>-0.080958</v>
      </c>
      <c r="H116" s="15" t="n">
        <v>0.073432</v>
      </c>
      <c r="I116" s="15" t="n">
        <v>-0.18952</v>
      </c>
      <c r="J116" s="15" t="n">
        <v>-0.52821</v>
      </c>
      <c r="K116" s="15" t="n">
        <v>-0.271</v>
      </c>
      <c r="L116" s="15" t="n">
        <v>0.13054</v>
      </c>
      <c r="M116" s="15" t="n">
        <v>-0.24047</v>
      </c>
      <c r="N116" s="15" t="n">
        <v>0.009339</v>
      </c>
      <c r="O116" s="15" t="n">
        <v>-0.18331</v>
      </c>
      <c r="P116" s="15" t="n">
        <v>-0.058443</v>
      </c>
      <c r="Q116" s="15" t="n">
        <v>0.078761</v>
      </c>
      <c r="R116" s="15" t="n">
        <v>0.22554</v>
      </c>
      <c r="S116" s="15" t="n">
        <v>-0.05927</v>
      </c>
      <c r="T116" s="15" t="n">
        <v>-0.19132</v>
      </c>
      <c r="U116" s="15" t="n">
        <v>0.42652</v>
      </c>
      <c r="V116" s="15" t="n">
        <v>0.16748</v>
      </c>
      <c r="W116" s="15" t="n">
        <v>0.18605</v>
      </c>
      <c r="X116" s="15" t="n">
        <v>-0.64268</v>
      </c>
      <c r="Y116" s="15" t="n">
        <v>-0.33506</v>
      </c>
      <c r="Z116" s="15" t="n">
        <v>-0.019372</v>
      </c>
      <c r="AA116" s="15" t="n">
        <v>-0.39205</v>
      </c>
      <c r="AB116" s="15" t="n">
        <v>-0.4777</v>
      </c>
      <c r="AC116" s="15" t="n">
        <v>-0.24416</v>
      </c>
      <c r="AD116" s="15" t="n">
        <v>0.34422</v>
      </c>
      <c r="AE116" s="15" t="n">
        <v>0.14853</v>
      </c>
      <c r="AF116" s="15" t="n">
        <v>-0.30183</v>
      </c>
      <c r="AG116" s="15" t="n">
        <v>-0.33023</v>
      </c>
      <c r="AH116" s="15" t="n">
        <v>0.1506</v>
      </c>
      <c r="AI116" s="15" t="n">
        <v>-0.0079923</v>
      </c>
      <c r="AJ116" s="15" t="n">
        <v>-0.088505</v>
      </c>
      <c r="AK116" s="15" t="n">
        <v>-0.16837</v>
      </c>
      <c r="AL116" s="15" t="n">
        <v>0.36191</v>
      </c>
      <c r="AM116" s="15" t="n">
        <v>-0.39534</v>
      </c>
      <c r="AN116" s="15" t="n">
        <v>0.29516</v>
      </c>
      <c r="AO116" s="15" t="n">
        <v>-0.012272</v>
      </c>
      <c r="AP116" s="15" t="n">
        <v>-0.094017</v>
      </c>
      <c r="AQ116" s="15" t="n">
        <v>-0.24794</v>
      </c>
      <c r="AR116" s="15" t="n">
        <v>-0.029539</v>
      </c>
      <c r="AS116" s="15" t="n">
        <v>-0.0058448</v>
      </c>
      <c r="AT116" s="15" t="n">
        <v>-0.24355</v>
      </c>
      <c r="AU116" s="15" t="n">
        <v>0.48836</v>
      </c>
      <c r="AV116" s="15" t="n">
        <v>-0.23678</v>
      </c>
      <c r="AW116" s="15" t="n">
        <v>0.37666</v>
      </c>
      <c r="AX116" s="15" t="n">
        <v>0.063456</v>
      </c>
      <c r="AY116" s="15" t="n">
        <v>0.34714</v>
      </c>
      <c r="AZ116" s="15" t="n">
        <v>-0.16443</v>
      </c>
      <c r="BA116" s="15" t="n">
        <v>0.48014</v>
      </c>
      <c r="BB116" s="15" t="n">
        <v>0.3629</v>
      </c>
      <c r="BC116" s="15" t="n">
        <v>0.11311</v>
      </c>
      <c r="BD116" s="15" t="n">
        <v>-0.32284</v>
      </c>
      <c r="BE116" s="15" t="n">
        <v>-0.3176</v>
      </c>
      <c r="BF116" s="15" t="n">
        <v>0.66263</v>
      </c>
      <c r="BG116" s="15" t="n">
        <v>0.57759</v>
      </c>
      <c r="BH116" s="15" t="n">
        <v>0.81303</v>
      </c>
      <c r="BI116" s="15" t="n">
        <v>0.14595</v>
      </c>
      <c r="BJ116" s="15" t="n">
        <v>-0.65598</v>
      </c>
      <c r="BK116" s="15" t="n">
        <v>-0.54353</v>
      </c>
      <c r="BL116" s="15" t="n">
        <v>-0.4152</v>
      </c>
      <c r="BM116" s="15" t="n">
        <v>-0.024841</v>
      </c>
      <c r="BN116" s="15" t="n">
        <v>-0.12974</v>
      </c>
      <c r="BO116" s="15" t="n">
        <v>0.04763</v>
      </c>
      <c r="BP116" s="15" t="n">
        <v>0.034071</v>
      </c>
      <c r="BQ116" s="15" t="n">
        <v>0.072399</v>
      </c>
      <c r="BR116" s="15" t="n">
        <v>-0.16503</v>
      </c>
      <c r="BS116" s="15" t="n">
        <v>-0.68797</v>
      </c>
      <c r="BT116" s="15" t="n">
        <v>-0.13539</v>
      </c>
      <c r="BU116" s="15" t="n">
        <v>-0.43888</v>
      </c>
      <c r="BV116" s="15" t="n">
        <v>-0.020696</v>
      </c>
      <c r="BW116" s="15" t="n">
        <v>-0.15515</v>
      </c>
      <c r="BX116" s="15" t="n">
        <v>-0.19035</v>
      </c>
      <c r="BY116" s="15" t="n">
        <v>0.2796</v>
      </c>
      <c r="BZ116" s="15" t="n">
        <v>-0.59305</v>
      </c>
      <c r="CA116" s="15" t="n">
        <v>0.20355</v>
      </c>
      <c r="CB116" s="15" t="n">
        <v>0.12742</v>
      </c>
      <c r="CC116" s="15" t="n">
        <v>0.12359</v>
      </c>
      <c r="CD116" s="15" t="n">
        <v>0.33096</v>
      </c>
      <c r="CE116" s="15" t="n">
        <v>0.61942</v>
      </c>
      <c r="CF116" s="15" t="n">
        <v>-0.74699</v>
      </c>
      <c r="CG116" s="15" t="n">
        <v>-0.095558</v>
      </c>
      <c r="CH116" s="15" t="n">
        <v>0.17764</v>
      </c>
      <c r="CI116" s="15" t="n">
        <v>-0.20662</v>
      </c>
      <c r="CJ116" s="15" t="n">
        <v>0.14863</v>
      </c>
      <c r="CK116" s="15" t="n">
        <v>-0.03621</v>
      </c>
      <c r="CL116" s="15" t="n">
        <v>-0.2951</v>
      </c>
      <c r="CM116" s="15" t="n">
        <v>0.10746</v>
      </c>
      <c r="CN116" s="15" t="n">
        <v>-0.10267</v>
      </c>
      <c r="CO116" s="15" t="n">
        <v>-0.46245</v>
      </c>
      <c r="CP116" s="15" t="n">
        <v>-0.035651</v>
      </c>
      <c r="CQ116" s="15" t="n">
        <v>-0.033968</v>
      </c>
      <c r="CR116" s="15" t="n">
        <v>-0.015808</v>
      </c>
      <c r="CS116" s="15" t="n">
        <v>-0.20506</v>
      </c>
      <c r="CT116" s="15" t="n">
        <v>0.45932</v>
      </c>
      <c r="CU116" s="15" t="n">
        <v>-0.22341</v>
      </c>
      <c r="CV116" s="15" t="n">
        <v>-0.22945</v>
      </c>
      <c r="CW116" s="15" t="n">
        <v>0.042845</v>
      </c>
      <c r="CX116" s="15" t="n">
        <v>-0.33678</v>
      </c>
      <c r="CY116" s="15" t="n">
        <v>0.097947</v>
      </c>
    </row>
    <row r="117" customFormat="false" ht="15" hidden="false" customHeight="false" outlineLevel="0" collapsed="false">
      <c r="A117" s="4" t="s">
        <v>124</v>
      </c>
      <c r="B117" s="2" t="n">
        <f aca="false">COUNTIF('1.3 TF-IDF coseno'!$M$10:$M$123,A117)</f>
        <v>0</v>
      </c>
      <c r="C117" s="2" t="n">
        <f aca="false">COUNTIF('1.3 TF-IDF coseno'!$N$10:$N$102,A117)</f>
        <v>1</v>
      </c>
      <c r="D117" s="15" t="n">
        <v>-0.47781</v>
      </c>
      <c r="E117" s="15" t="n">
        <v>0.20629</v>
      </c>
      <c r="F117" s="15" t="n">
        <v>-0.24791</v>
      </c>
      <c r="G117" s="15" t="n">
        <v>0.62046</v>
      </c>
      <c r="H117" s="15" t="n">
        <v>0.089921</v>
      </c>
      <c r="I117" s="15" t="n">
        <v>-0.36365</v>
      </c>
      <c r="J117" s="15" t="n">
        <v>-0.73949</v>
      </c>
      <c r="K117" s="15" t="n">
        <v>-0.12104</v>
      </c>
      <c r="L117" s="15" t="n">
        <v>0.1057</v>
      </c>
      <c r="M117" s="15" t="n">
        <v>0.52582</v>
      </c>
      <c r="N117" s="15" t="n">
        <v>-0.10343</v>
      </c>
      <c r="O117" s="15" t="n">
        <v>-0.40503</v>
      </c>
      <c r="P117" s="15" t="n">
        <v>0.11551</v>
      </c>
      <c r="Q117" s="15" t="n">
        <v>-0.18985</v>
      </c>
      <c r="R117" s="15" t="n">
        <v>0.46722</v>
      </c>
      <c r="S117" s="15" t="n">
        <v>0.37388</v>
      </c>
      <c r="T117" s="15" t="n">
        <v>-0.16008</v>
      </c>
      <c r="U117" s="15" t="n">
        <v>0.25749</v>
      </c>
      <c r="V117" s="15" t="n">
        <v>-0.34765</v>
      </c>
      <c r="W117" s="15" t="n">
        <v>0.039314</v>
      </c>
      <c r="X117" s="15" t="n">
        <v>-0.67422</v>
      </c>
      <c r="Y117" s="15" t="n">
        <v>-0.85683</v>
      </c>
      <c r="Z117" s="15" t="n">
        <v>-0.24873</v>
      </c>
      <c r="AA117" s="15" t="n">
        <v>-0.11092</v>
      </c>
      <c r="AB117" s="15" t="n">
        <v>-0.9427</v>
      </c>
      <c r="AC117" s="15" t="n">
        <v>-0.1196</v>
      </c>
      <c r="AD117" s="15" t="n">
        <v>0.49394</v>
      </c>
      <c r="AE117" s="15" t="n">
        <v>-0.41423</v>
      </c>
      <c r="AF117" s="15" t="n">
        <v>-0.66492</v>
      </c>
      <c r="AG117" s="15" t="n">
        <v>0.24754</v>
      </c>
      <c r="AH117" s="15" t="n">
        <v>0.26911</v>
      </c>
      <c r="AI117" s="15" t="n">
        <v>0.37724</v>
      </c>
      <c r="AJ117" s="15" t="n">
        <v>-0.018212</v>
      </c>
      <c r="AK117" s="15" t="n">
        <v>-0.15882</v>
      </c>
      <c r="AL117" s="15" t="n">
        <v>0.51064</v>
      </c>
      <c r="AM117" s="15" t="n">
        <v>0.42866</v>
      </c>
      <c r="AN117" s="15" t="n">
        <v>-0.15547</v>
      </c>
      <c r="AO117" s="15" t="n">
        <v>-0.34444</v>
      </c>
      <c r="AP117" s="15" t="n">
        <v>-0.54467</v>
      </c>
      <c r="AQ117" s="15" t="n">
        <v>0.2544</v>
      </c>
      <c r="AR117" s="15" t="n">
        <v>-0.17025</v>
      </c>
      <c r="AS117" s="15" t="n">
        <v>0.0455</v>
      </c>
      <c r="AT117" s="15" t="n">
        <v>0.54519</v>
      </c>
      <c r="AU117" s="15" t="n">
        <v>-0.030941</v>
      </c>
      <c r="AV117" s="15" t="n">
        <v>-0.5464</v>
      </c>
      <c r="AW117" s="15" t="n">
        <v>0.07801</v>
      </c>
      <c r="AX117" s="15" t="n">
        <v>-0.25813</v>
      </c>
      <c r="AY117" s="15" t="n">
        <v>-0.11734</v>
      </c>
      <c r="AZ117" s="15" t="n">
        <v>-1.1312</v>
      </c>
      <c r="BA117" s="15" t="n">
        <v>-0.65362</v>
      </c>
      <c r="BB117" s="15" t="n">
        <v>0.86617</v>
      </c>
      <c r="BC117" s="15" t="n">
        <v>0.32464</v>
      </c>
      <c r="BD117" s="15" t="n">
        <v>0.3191</v>
      </c>
      <c r="BE117" s="15" t="n">
        <v>0.46329</v>
      </c>
      <c r="BF117" s="15" t="n">
        <v>-0.086676</v>
      </c>
      <c r="BG117" s="15" t="n">
        <v>-1.3599</v>
      </c>
      <c r="BH117" s="15" t="n">
        <v>0.30952</v>
      </c>
      <c r="BI117" s="15" t="n">
        <v>-0.49934</v>
      </c>
      <c r="BJ117" s="15" t="n">
        <v>1.9601</v>
      </c>
      <c r="BK117" s="15" t="n">
        <v>0.55018</v>
      </c>
      <c r="BL117" s="15" t="n">
        <v>-0.075921</v>
      </c>
      <c r="BM117" s="15" t="n">
        <v>1.0657</v>
      </c>
      <c r="BN117" s="15" t="n">
        <v>0.2432</v>
      </c>
      <c r="BO117" s="15" t="n">
        <v>0.021586</v>
      </c>
      <c r="BP117" s="15" t="n">
        <v>1.54</v>
      </c>
      <c r="BQ117" s="15" t="n">
        <v>-0.33972</v>
      </c>
      <c r="BR117" s="15" t="n">
        <v>-0.19871</v>
      </c>
      <c r="BS117" s="15" t="n">
        <v>-0.11732</v>
      </c>
      <c r="BT117" s="15" t="n">
        <v>0.36481</v>
      </c>
      <c r="BU117" s="15" t="n">
        <v>-0.32158</v>
      </c>
      <c r="BV117" s="15" t="n">
        <v>-0.58802</v>
      </c>
      <c r="BW117" s="15" t="n">
        <v>-0.41828</v>
      </c>
      <c r="BX117" s="15" t="n">
        <v>0.15535</v>
      </c>
      <c r="BY117" s="15" t="n">
        <v>-0.56005</v>
      </c>
      <c r="BZ117" s="15" t="n">
        <v>0.55529</v>
      </c>
      <c r="CA117" s="15" t="n">
        <v>0.20343</v>
      </c>
      <c r="CB117" s="15" t="n">
        <v>-0.28658</v>
      </c>
      <c r="CC117" s="15" t="n">
        <v>-0.63989</v>
      </c>
      <c r="CD117" s="15" t="n">
        <v>-0.89872</v>
      </c>
      <c r="CE117" s="15" t="n">
        <v>-0.15592</v>
      </c>
      <c r="CF117" s="15" t="n">
        <v>0.22681</v>
      </c>
      <c r="CG117" s="15" t="n">
        <v>-0.31642</v>
      </c>
      <c r="CH117" s="15" t="n">
        <v>-0.50888</v>
      </c>
      <c r="CI117" s="15" t="n">
        <v>-0.22742</v>
      </c>
      <c r="CJ117" s="15" t="n">
        <v>-1.9669</v>
      </c>
      <c r="CK117" s="15" t="n">
        <v>0.43743</v>
      </c>
      <c r="CL117" s="15" t="n">
        <v>0.062155</v>
      </c>
      <c r="CM117" s="15" t="n">
        <v>-0.23963</v>
      </c>
      <c r="CN117" s="15" t="n">
        <v>-0.10476</v>
      </c>
      <c r="CO117" s="15" t="n">
        <v>0.094803</v>
      </c>
      <c r="CP117" s="15" t="n">
        <v>-0.78353</v>
      </c>
      <c r="CQ117" s="15" t="n">
        <v>0.27195</v>
      </c>
      <c r="CR117" s="15" t="n">
        <v>-0.034989</v>
      </c>
      <c r="CS117" s="15" t="n">
        <v>-0.41049</v>
      </c>
      <c r="CT117" s="15" t="n">
        <v>-0.14836</v>
      </c>
      <c r="CU117" s="15" t="n">
        <v>0.25192</v>
      </c>
      <c r="CV117" s="15" t="n">
        <v>-0.89385</v>
      </c>
      <c r="CW117" s="15" t="n">
        <v>-0.65829</v>
      </c>
      <c r="CX117" s="15" t="n">
        <v>0.92766</v>
      </c>
      <c r="CY117" s="15" t="n">
        <v>0.2102</v>
      </c>
    </row>
    <row r="118" customFormat="false" ht="15" hidden="false" customHeight="false" outlineLevel="0" collapsed="false">
      <c r="A118" s="4" t="s">
        <v>125</v>
      </c>
      <c r="B118" s="2" t="n">
        <f aca="false">COUNTIF('1.3 TF-IDF coseno'!$M$10:$M$123,A118)</f>
        <v>0</v>
      </c>
      <c r="C118" s="2" t="n">
        <f aca="false">COUNTIF('1.3 TF-IDF coseno'!$N$10:$N$102,A118)</f>
        <v>3</v>
      </c>
      <c r="D118" s="15" t="n">
        <v>-0.68811</v>
      </c>
      <c r="E118" s="15" t="n">
        <v>0.31696</v>
      </c>
      <c r="F118" s="15" t="n">
        <v>0.32927</v>
      </c>
      <c r="G118" s="15" t="n">
        <v>-0.14287</v>
      </c>
      <c r="H118" s="15" t="n">
        <v>-0.77317</v>
      </c>
      <c r="I118" s="15" t="n">
        <v>-0.60202</v>
      </c>
      <c r="J118" s="15" t="n">
        <v>-0.18765</v>
      </c>
      <c r="K118" s="15" t="n">
        <v>0.17998</v>
      </c>
      <c r="L118" s="15" t="n">
        <v>-0.43133</v>
      </c>
      <c r="M118" s="15" t="n">
        <v>0.82651</v>
      </c>
      <c r="N118" s="15" t="n">
        <v>0.2812</v>
      </c>
      <c r="O118" s="15" t="n">
        <v>-0.37632</v>
      </c>
      <c r="P118" s="15" t="n">
        <v>0.49403</v>
      </c>
      <c r="Q118" s="15" t="n">
        <v>-0.076821</v>
      </c>
      <c r="R118" s="15" t="n">
        <v>0.26735</v>
      </c>
      <c r="S118" s="15" t="n">
        <v>0.39162</v>
      </c>
      <c r="T118" s="15" t="n">
        <v>-0.04608</v>
      </c>
      <c r="U118" s="15" t="n">
        <v>0.241</v>
      </c>
      <c r="V118" s="15" t="n">
        <v>-0.010274</v>
      </c>
      <c r="W118" s="15" t="n">
        <v>0.29807</v>
      </c>
      <c r="X118" s="15" t="n">
        <v>-0.35471</v>
      </c>
      <c r="Y118" s="15" t="n">
        <v>-0.64411</v>
      </c>
      <c r="Z118" s="15" t="n">
        <v>-0.37482</v>
      </c>
      <c r="AA118" s="15" t="n">
        <v>-0.034816</v>
      </c>
      <c r="AB118" s="15" t="n">
        <v>-1.2373</v>
      </c>
      <c r="AC118" s="15" t="n">
        <v>-0.46994</v>
      </c>
      <c r="AD118" s="15" t="n">
        <v>-0.31798</v>
      </c>
      <c r="AE118" s="15" t="n">
        <v>0.4899</v>
      </c>
      <c r="AF118" s="15" t="n">
        <v>-0.81268</v>
      </c>
      <c r="AG118" s="15" t="n">
        <v>-0.21631</v>
      </c>
      <c r="AH118" s="15" t="n">
        <v>0.16735</v>
      </c>
      <c r="AI118" s="15" t="n">
        <v>-0.765</v>
      </c>
      <c r="AJ118" s="15" t="n">
        <v>-0.48818</v>
      </c>
      <c r="AK118" s="15" t="n">
        <v>0.32002</v>
      </c>
      <c r="AL118" s="15" t="n">
        <v>0.030167</v>
      </c>
      <c r="AM118" s="15" t="n">
        <v>0.51951</v>
      </c>
      <c r="AN118" s="15" t="n">
        <v>-0.29991</v>
      </c>
      <c r="AO118" s="15" t="n">
        <v>-0.013662</v>
      </c>
      <c r="AP118" s="15" t="n">
        <v>-0.60496</v>
      </c>
      <c r="AQ118" s="15" t="n">
        <v>-0.15223</v>
      </c>
      <c r="AR118" s="15" t="n">
        <v>-0.61635</v>
      </c>
      <c r="AS118" s="15" t="n">
        <v>-0.041426</v>
      </c>
      <c r="AT118" s="15" t="n">
        <v>-0.70871</v>
      </c>
      <c r="AU118" s="15" t="n">
        <v>0.66046</v>
      </c>
      <c r="AV118" s="15" t="n">
        <v>-0.2736</v>
      </c>
      <c r="AW118" s="15" t="n">
        <v>-0.52153</v>
      </c>
      <c r="AX118" s="15" t="n">
        <v>-0.055965</v>
      </c>
      <c r="AY118" s="15" t="n">
        <v>-0.54583</v>
      </c>
      <c r="AZ118" s="15" t="n">
        <v>-0.59132</v>
      </c>
      <c r="BA118" s="15" t="n">
        <v>-0.70548</v>
      </c>
      <c r="BB118" s="15" t="n">
        <v>0.74605</v>
      </c>
      <c r="BC118" s="15" t="n">
        <v>-0.050495</v>
      </c>
      <c r="BD118" s="15" t="n">
        <v>-0.22596</v>
      </c>
      <c r="BE118" s="15" t="n">
        <v>0.54595</v>
      </c>
      <c r="BF118" s="15" t="n">
        <v>0.32437</v>
      </c>
      <c r="BG118" s="15" t="n">
        <v>-0.40921</v>
      </c>
      <c r="BH118" s="15" t="n">
        <v>1.3863</v>
      </c>
      <c r="BI118" s="15" t="n">
        <v>-0.95915</v>
      </c>
      <c r="BJ118" s="15" t="n">
        <v>0.18421</v>
      </c>
      <c r="BK118" s="15" t="n">
        <v>-0.076694</v>
      </c>
      <c r="BL118" s="15" t="n">
        <v>0.45319</v>
      </c>
      <c r="BM118" s="15" t="n">
        <v>0.67936</v>
      </c>
      <c r="BN118" s="15" t="n">
        <v>0.19487</v>
      </c>
      <c r="BO118" s="15" t="n">
        <v>-0.14853</v>
      </c>
      <c r="BP118" s="15" t="n">
        <v>0.29137</v>
      </c>
      <c r="BQ118" s="15" t="n">
        <v>-0.4482</v>
      </c>
      <c r="BR118" s="15" t="n">
        <v>-0.5319</v>
      </c>
      <c r="BS118" s="15" t="n">
        <v>0.01076</v>
      </c>
      <c r="BT118" s="15" t="n">
        <v>0.32963</v>
      </c>
      <c r="BU118" s="15" t="n">
        <v>-0.14053</v>
      </c>
      <c r="BV118" s="15" t="n">
        <v>0.22782</v>
      </c>
      <c r="BW118" s="15" t="n">
        <v>0.59775</v>
      </c>
      <c r="BX118" s="15" t="n">
        <v>0.55428</v>
      </c>
      <c r="BY118" s="15" t="n">
        <v>-0.58503</v>
      </c>
      <c r="BZ118" s="15" t="n">
        <v>-0.084995</v>
      </c>
      <c r="CA118" s="15" t="n">
        <v>-0.053209</v>
      </c>
      <c r="CB118" s="15" t="n">
        <v>0.091597</v>
      </c>
      <c r="CC118" s="15" t="n">
        <v>0.18987</v>
      </c>
      <c r="CD118" s="15" t="n">
        <v>-0.89208</v>
      </c>
      <c r="CE118" s="15" t="n">
        <v>-0.60391</v>
      </c>
      <c r="CF118" s="15" t="n">
        <v>1.0418</v>
      </c>
      <c r="CG118" s="15" t="n">
        <v>0.63196</v>
      </c>
      <c r="CH118" s="15" t="n">
        <v>-0.15071</v>
      </c>
      <c r="CI118" s="15" t="n">
        <v>-0.13806</v>
      </c>
      <c r="CJ118" s="15" t="n">
        <v>-1.081</v>
      </c>
      <c r="CK118" s="15" t="n">
        <v>-0.14656</v>
      </c>
      <c r="CL118" s="15" t="n">
        <v>0.020963</v>
      </c>
      <c r="CM118" s="15" t="n">
        <v>0.252</v>
      </c>
      <c r="CN118" s="15" t="n">
        <v>-0.26633</v>
      </c>
      <c r="CO118" s="15" t="n">
        <v>-0.59409</v>
      </c>
      <c r="CP118" s="15" t="n">
        <v>-0.54406</v>
      </c>
      <c r="CQ118" s="15" t="n">
        <v>0.013129</v>
      </c>
      <c r="CR118" s="15" t="n">
        <v>-0.28621</v>
      </c>
      <c r="CS118" s="15" t="n">
        <v>0.013922</v>
      </c>
      <c r="CT118" s="15" t="n">
        <v>-0.1583</v>
      </c>
      <c r="CU118" s="15" t="n">
        <v>1.0981</v>
      </c>
      <c r="CV118" s="15" t="n">
        <v>0.50157</v>
      </c>
      <c r="CW118" s="15" t="n">
        <v>-0.14346</v>
      </c>
      <c r="CX118" s="15" t="n">
        <v>0.12366</v>
      </c>
      <c r="CY118" s="15" t="n">
        <v>0.18542</v>
      </c>
    </row>
    <row r="119" customFormat="false" ht="15" hidden="false" customHeight="false" outlineLevel="0" collapsed="false">
      <c r="A119" s="4" t="s">
        <v>126</v>
      </c>
      <c r="B119" s="2" t="n">
        <f aca="false">COUNTIF('1.3 TF-IDF coseno'!$M$10:$M$123,A119)</f>
        <v>0</v>
      </c>
      <c r="C119" s="2" t="n">
        <f aca="false">COUNTIF('1.3 TF-IDF coseno'!$N$10:$N$102,A119)</f>
        <v>1</v>
      </c>
      <c r="D119" s="15" t="n">
        <v>-0.3133</v>
      </c>
      <c r="E119" s="15" t="n">
        <v>0.70356</v>
      </c>
      <c r="F119" s="15" t="n">
        <v>0.54876</v>
      </c>
      <c r="G119" s="15" t="n">
        <v>0.76289</v>
      </c>
      <c r="H119" s="15" t="n">
        <v>0.094307</v>
      </c>
      <c r="I119" s="15" t="n">
        <v>-0.18314</v>
      </c>
      <c r="J119" s="15" t="n">
        <v>-0.2841</v>
      </c>
      <c r="K119" s="15" t="n">
        <v>-0.29851</v>
      </c>
      <c r="L119" s="15" t="n">
        <v>0.33183</v>
      </c>
      <c r="M119" s="15" t="n">
        <v>-0.17528</v>
      </c>
      <c r="N119" s="15" t="n">
        <v>-0.034331</v>
      </c>
      <c r="O119" s="15" t="n">
        <v>-0.011778</v>
      </c>
      <c r="P119" s="15" t="n">
        <v>-0.0069865</v>
      </c>
      <c r="Q119" s="15" t="n">
        <v>-0.70821</v>
      </c>
      <c r="R119" s="15" t="n">
        <v>-0.053749</v>
      </c>
      <c r="S119" s="15" t="n">
        <v>0.58578</v>
      </c>
      <c r="T119" s="15" t="n">
        <v>-0.2434</v>
      </c>
      <c r="U119" s="15" t="n">
        <v>-0.14653</v>
      </c>
      <c r="V119" s="15" t="n">
        <v>-0.023001</v>
      </c>
      <c r="W119" s="15" t="n">
        <v>-0.14106</v>
      </c>
      <c r="X119" s="15" t="n">
        <v>0.0040606</v>
      </c>
      <c r="Y119" s="15" t="n">
        <v>-0.59911</v>
      </c>
      <c r="Z119" s="15" t="n">
        <v>-0.098584</v>
      </c>
      <c r="AA119" s="15" t="n">
        <v>-0.14277</v>
      </c>
      <c r="AB119" s="15" t="n">
        <v>0.18377</v>
      </c>
      <c r="AC119" s="15" t="n">
        <v>-0.12981</v>
      </c>
      <c r="AD119" s="15" t="n">
        <v>-0.12109</v>
      </c>
      <c r="AE119" s="15" t="n">
        <v>-0.20385</v>
      </c>
      <c r="AF119" s="15" t="n">
        <v>-0.75043</v>
      </c>
      <c r="AG119" s="15" t="n">
        <v>-0.5955</v>
      </c>
      <c r="AH119" s="15" t="n">
        <v>-0.1742</v>
      </c>
      <c r="AI119" s="15" t="n">
        <v>0.35785</v>
      </c>
      <c r="AJ119" s="15" t="n">
        <v>0.21342</v>
      </c>
      <c r="AK119" s="15" t="n">
        <v>-0.10326</v>
      </c>
      <c r="AL119" s="15" t="n">
        <v>-0.46658</v>
      </c>
      <c r="AM119" s="15" t="n">
        <v>0.018631</v>
      </c>
      <c r="AN119" s="15" t="n">
        <v>0.13229</v>
      </c>
      <c r="AO119" s="15" t="n">
        <v>-0.058296</v>
      </c>
      <c r="AP119" s="15" t="n">
        <v>0.095929</v>
      </c>
      <c r="AQ119" s="15" t="n">
        <v>-0.25998</v>
      </c>
      <c r="AR119" s="15" t="n">
        <v>0.098305</v>
      </c>
      <c r="AS119" s="15" t="n">
        <v>0.33444</v>
      </c>
      <c r="AT119" s="15" t="n">
        <v>-0.039141</v>
      </c>
      <c r="AU119" s="15" t="n">
        <v>0.14124</v>
      </c>
      <c r="AV119" s="15" t="n">
        <v>-0.71659</v>
      </c>
      <c r="AW119" s="15" t="n">
        <v>0.0069861</v>
      </c>
      <c r="AX119" s="15" t="n">
        <v>0.50996</v>
      </c>
      <c r="AY119" s="15" t="n">
        <v>0.048108</v>
      </c>
      <c r="AZ119" s="15" t="n">
        <v>0.019752</v>
      </c>
      <c r="BA119" s="15" t="n">
        <v>0.29406</v>
      </c>
      <c r="BB119" s="15" t="n">
        <v>0.42705</v>
      </c>
      <c r="BC119" s="15" t="n">
        <v>-0.047411</v>
      </c>
      <c r="BD119" s="15" t="n">
        <v>-0.067477</v>
      </c>
      <c r="BE119" s="15" t="n">
        <v>0.97299</v>
      </c>
      <c r="BF119" s="15" t="n">
        <v>-0.007066</v>
      </c>
      <c r="BG119" s="15" t="n">
        <v>-0.887</v>
      </c>
      <c r="BH119" s="15" t="n">
        <v>0.47615</v>
      </c>
      <c r="BI119" s="15" t="n">
        <v>-0.69003</v>
      </c>
      <c r="BJ119" s="15" t="n">
        <v>-0.14806</v>
      </c>
      <c r="BK119" s="15" t="n">
        <v>0.051104</v>
      </c>
      <c r="BL119" s="15" t="n">
        <v>-0.50742</v>
      </c>
      <c r="BM119" s="15" t="n">
        <v>0.53918</v>
      </c>
      <c r="BN119" s="15" t="n">
        <v>0.48053</v>
      </c>
      <c r="BO119" s="15" t="n">
        <v>-0.4468</v>
      </c>
      <c r="BP119" s="15" t="n">
        <v>0.43025</v>
      </c>
      <c r="BQ119" s="15" t="n">
        <v>0.28821</v>
      </c>
      <c r="BR119" s="15" t="n">
        <v>0.019533</v>
      </c>
      <c r="BS119" s="15" t="n">
        <v>-0.1117</v>
      </c>
      <c r="BT119" s="15" t="n">
        <v>-0.073213</v>
      </c>
      <c r="BU119" s="15" t="n">
        <v>0.10359</v>
      </c>
      <c r="BV119" s="15" t="n">
        <v>0.43016</v>
      </c>
      <c r="BW119" s="15" t="n">
        <v>0.2041</v>
      </c>
      <c r="BX119" s="15" t="n">
        <v>-0.35345</v>
      </c>
      <c r="BY119" s="15" t="n">
        <v>0.35641</v>
      </c>
      <c r="BZ119" s="15" t="n">
        <v>0.79021</v>
      </c>
      <c r="CA119" s="15" t="n">
        <v>-0.014498</v>
      </c>
      <c r="CB119" s="15" t="n">
        <v>0.62649</v>
      </c>
      <c r="CC119" s="15" t="n">
        <v>-0.41698</v>
      </c>
      <c r="CD119" s="15" t="n">
        <v>-0.56565</v>
      </c>
      <c r="CE119" s="15" t="n">
        <v>0.1412</v>
      </c>
      <c r="CF119" s="15" t="n">
        <v>-0.16791</v>
      </c>
      <c r="CG119" s="15" t="n">
        <v>-0.015007</v>
      </c>
      <c r="CH119" s="15" t="n">
        <v>-0.42978</v>
      </c>
      <c r="CI119" s="15" t="n">
        <v>-0.1665</v>
      </c>
      <c r="CJ119" s="15" t="n">
        <v>-0.64815</v>
      </c>
      <c r="CK119" s="15" t="n">
        <v>-0.54963</v>
      </c>
      <c r="CL119" s="15" t="n">
        <v>-0.52899</v>
      </c>
      <c r="CM119" s="15" t="n">
        <v>-0.42004</v>
      </c>
      <c r="CN119" s="15" t="n">
        <v>-0.24506</v>
      </c>
      <c r="CO119" s="15" t="n">
        <v>-0.41643</v>
      </c>
      <c r="CP119" s="15" t="n">
        <v>-0.074436</v>
      </c>
      <c r="CQ119" s="15" t="n">
        <v>0.38097</v>
      </c>
      <c r="CR119" s="15" t="n">
        <v>-0.60939</v>
      </c>
      <c r="CS119" s="15" t="n">
        <v>-0.0581</v>
      </c>
      <c r="CT119" s="15" t="n">
        <v>0.49509</v>
      </c>
      <c r="CU119" s="15" t="n">
        <v>-0.070585</v>
      </c>
      <c r="CV119" s="15" t="n">
        <v>-0.2215</v>
      </c>
      <c r="CW119" s="15" t="n">
        <v>-0.78445</v>
      </c>
      <c r="CX119" s="15" t="n">
        <v>-0.1266</v>
      </c>
      <c r="CY119" s="15" t="n">
        <v>0.73433</v>
      </c>
    </row>
    <row r="120" customFormat="false" ht="15" hidden="false" customHeight="false" outlineLevel="0" collapsed="false">
      <c r="A120" s="4" t="s">
        <v>127</v>
      </c>
      <c r="B120" s="2" t="n">
        <f aca="false">COUNTIF('1.3 TF-IDF coseno'!$M$10:$M$123,A120)</f>
        <v>0</v>
      </c>
      <c r="C120" s="2" t="n">
        <f aca="false">COUNTIF('1.3 TF-IDF coseno'!$N$10:$N$102,A120)</f>
        <v>1</v>
      </c>
      <c r="D120" s="15" t="n">
        <v>-0.34468</v>
      </c>
      <c r="E120" s="15" t="n">
        <v>-0.39068</v>
      </c>
      <c r="F120" s="15" t="n">
        <v>0.45524</v>
      </c>
      <c r="G120" s="15" t="n">
        <v>-0.21505</v>
      </c>
      <c r="H120" s="15" t="n">
        <v>-0.040192</v>
      </c>
      <c r="I120" s="15" t="n">
        <v>-0.22203</v>
      </c>
      <c r="J120" s="15" t="n">
        <v>-0.10306</v>
      </c>
      <c r="K120" s="15" t="n">
        <v>-0.69659</v>
      </c>
      <c r="L120" s="15" t="n">
        <v>-0.039731</v>
      </c>
      <c r="M120" s="15" t="n">
        <v>-0.044504</v>
      </c>
      <c r="N120" s="15" t="n">
        <v>0.035469</v>
      </c>
      <c r="O120" s="15" t="n">
        <v>-0.15926</v>
      </c>
      <c r="P120" s="15" t="n">
        <v>0.39105</v>
      </c>
      <c r="Q120" s="15" t="n">
        <v>-0.36042</v>
      </c>
      <c r="R120" s="15" t="n">
        <v>-0.18772</v>
      </c>
      <c r="S120" s="15" t="n">
        <v>-0.72983</v>
      </c>
      <c r="T120" s="15" t="n">
        <v>-0.5325</v>
      </c>
      <c r="U120" s="15" t="n">
        <v>1.0702</v>
      </c>
      <c r="V120" s="15" t="n">
        <v>-0.0069194</v>
      </c>
      <c r="W120" s="15" t="n">
        <v>-0.23454</v>
      </c>
      <c r="X120" s="15" t="n">
        <v>-0.45602</v>
      </c>
      <c r="Y120" s="15" t="n">
        <v>-0.50178</v>
      </c>
      <c r="Z120" s="15" t="n">
        <v>0.049902</v>
      </c>
      <c r="AA120" s="15" t="n">
        <v>0.014273</v>
      </c>
      <c r="AB120" s="15" t="n">
        <v>-0.60475</v>
      </c>
      <c r="AC120" s="15" t="n">
        <v>-0.29597</v>
      </c>
      <c r="AD120" s="15" t="n">
        <v>-0.15108</v>
      </c>
      <c r="AE120" s="15" t="n">
        <v>-0.29286</v>
      </c>
      <c r="AF120" s="15" t="n">
        <v>-0.95437</v>
      </c>
      <c r="AG120" s="15" t="n">
        <v>-0.092752</v>
      </c>
      <c r="AH120" s="15" t="n">
        <v>-0.42112</v>
      </c>
      <c r="AI120" s="15" t="n">
        <v>-0.17829</v>
      </c>
      <c r="AJ120" s="15" t="n">
        <v>-0.30449</v>
      </c>
      <c r="AK120" s="15" t="n">
        <v>0.042469</v>
      </c>
      <c r="AL120" s="15" t="n">
        <v>-0.53454</v>
      </c>
      <c r="AM120" s="15" t="n">
        <v>0.38299</v>
      </c>
      <c r="AN120" s="15" t="n">
        <v>0.47434</v>
      </c>
      <c r="AO120" s="15" t="n">
        <v>0.62029</v>
      </c>
      <c r="AP120" s="15" t="n">
        <v>-0.67059</v>
      </c>
      <c r="AQ120" s="15" t="n">
        <v>-0.40337</v>
      </c>
      <c r="AR120" s="15" t="n">
        <v>-0.15674</v>
      </c>
      <c r="AS120" s="15" t="n">
        <v>-0.71127</v>
      </c>
      <c r="AT120" s="15" t="n">
        <v>0.21471</v>
      </c>
      <c r="AU120" s="15" t="n">
        <v>-0.023743</v>
      </c>
      <c r="AV120" s="15" t="n">
        <v>-0.65644</v>
      </c>
      <c r="AW120" s="15" t="n">
        <v>-0.4664</v>
      </c>
      <c r="AX120" s="15" t="n">
        <v>0.28354</v>
      </c>
      <c r="AY120" s="15" t="n">
        <v>0.088391</v>
      </c>
      <c r="AZ120" s="15" t="n">
        <v>-0.90668</v>
      </c>
      <c r="BA120" s="15" t="n">
        <v>-0.40414</v>
      </c>
      <c r="BB120" s="15" t="n">
        <v>0.6462</v>
      </c>
      <c r="BC120" s="15" t="n">
        <v>0.25741</v>
      </c>
      <c r="BD120" s="15" t="n">
        <v>-0.4097</v>
      </c>
      <c r="BE120" s="15" t="n">
        <v>0.82251</v>
      </c>
      <c r="BF120" s="15" t="n">
        <v>0.45628</v>
      </c>
      <c r="BG120" s="15" t="n">
        <v>-0.24439</v>
      </c>
      <c r="BH120" s="15" t="n">
        <v>0.98029</v>
      </c>
      <c r="BI120" s="15" t="n">
        <v>-0.42094</v>
      </c>
      <c r="BJ120" s="15" t="n">
        <v>0.68763</v>
      </c>
      <c r="BK120" s="15" t="n">
        <v>0.22573</v>
      </c>
      <c r="BL120" s="15" t="n">
        <v>-0.28391</v>
      </c>
      <c r="BM120" s="15" t="n">
        <v>0.020569</v>
      </c>
      <c r="BN120" s="15" t="n">
        <v>-0.23279</v>
      </c>
      <c r="BO120" s="15" t="n">
        <v>0.40459</v>
      </c>
      <c r="BP120" s="15" t="n">
        <v>1.1685</v>
      </c>
      <c r="BQ120" s="15" t="n">
        <v>-0.76394</v>
      </c>
      <c r="BR120" s="15" t="n">
        <v>-0.29187</v>
      </c>
      <c r="BS120" s="15" t="n">
        <v>-0.29164</v>
      </c>
      <c r="BT120" s="15" t="n">
        <v>-0.28628</v>
      </c>
      <c r="BU120" s="15" t="n">
        <v>0.16832</v>
      </c>
      <c r="BV120" s="15" t="n">
        <v>-0.70904</v>
      </c>
      <c r="BW120" s="15" t="n">
        <v>-0.49376</v>
      </c>
      <c r="BX120" s="15" t="n">
        <v>0.44777</v>
      </c>
      <c r="BY120" s="15" t="n">
        <v>-0.10944</v>
      </c>
      <c r="BZ120" s="15" t="n">
        <v>-0.2533</v>
      </c>
      <c r="CA120" s="15" t="n">
        <v>0.14326</v>
      </c>
      <c r="CB120" s="15" t="n">
        <v>0.13787</v>
      </c>
      <c r="CC120" s="15" t="n">
        <v>0.20892</v>
      </c>
      <c r="CD120" s="15" t="n">
        <v>-0.22399</v>
      </c>
      <c r="CE120" s="15" t="n">
        <v>0.14198</v>
      </c>
      <c r="CF120" s="15" t="n">
        <v>-0.20938</v>
      </c>
      <c r="CG120" s="15" t="n">
        <v>0.30378</v>
      </c>
      <c r="CH120" s="15" t="n">
        <v>0.28978</v>
      </c>
      <c r="CI120" s="15" t="n">
        <v>-0.11867</v>
      </c>
      <c r="CJ120" s="15" t="n">
        <v>-0.9765</v>
      </c>
      <c r="CK120" s="15" t="n">
        <v>0.21339</v>
      </c>
      <c r="CL120" s="15" t="n">
        <v>-0.62412</v>
      </c>
      <c r="CM120" s="15" t="n">
        <v>0.19706</v>
      </c>
      <c r="CN120" s="15" t="n">
        <v>-0.28883</v>
      </c>
      <c r="CO120" s="15" t="n">
        <v>-0.80676</v>
      </c>
      <c r="CP120" s="15" t="n">
        <v>-1.1394</v>
      </c>
      <c r="CQ120" s="15" t="n">
        <v>-0.15502</v>
      </c>
      <c r="CR120" s="15" t="n">
        <v>-0.2868</v>
      </c>
      <c r="CS120" s="15" t="n">
        <v>-0.69207</v>
      </c>
      <c r="CT120" s="15" t="n">
        <v>-0.1207</v>
      </c>
      <c r="CU120" s="15" t="n">
        <v>0.73432</v>
      </c>
      <c r="CV120" s="15" t="n">
        <v>0.24942</v>
      </c>
      <c r="CW120" s="15" t="n">
        <v>-0.56278</v>
      </c>
      <c r="CX120" s="15" t="n">
        <v>0.25302</v>
      </c>
      <c r="CY120" s="15" t="n">
        <v>0.43351</v>
      </c>
    </row>
    <row r="121" customFormat="false" ht="15" hidden="false" customHeight="false" outlineLevel="0" collapsed="false">
      <c r="A121" s="4" t="s">
        <v>128</v>
      </c>
      <c r="B121" s="2" t="n">
        <f aca="false">COUNTIF('1.3 TF-IDF coseno'!$M$10:$M$123,A121)</f>
        <v>0</v>
      </c>
      <c r="C121" s="2" t="n">
        <f aca="false">COUNTIF('1.3 TF-IDF coseno'!$N$10:$N$102,A121)</f>
        <v>2</v>
      </c>
      <c r="D121" s="15" t="n">
        <v>-0.49514</v>
      </c>
      <c r="E121" s="15" t="n">
        <v>0.0038551</v>
      </c>
      <c r="F121" s="15" t="n">
        <v>-0.39585</v>
      </c>
      <c r="G121" s="15" t="n">
        <v>0.12205</v>
      </c>
      <c r="H121" s="15" t="n">
        <v>0.029196</v>
      </c>
      <c r="I121" s="15" t="n">
        <v>-0.4059</v>
      </c>
      <c r="J121" s="15" t="n">
        <v>0.27967</v>
      </c>
      <c r="K121" s="15" t="n">
        <v>0.39001</v>
      </c>
      <c r="L121" s="15" t="n">
        <v>0.32473</v>
      </c>
      <c r="M121" s="15" t="n">
        <v>1.3789</v>
      </c>
      <c r="N121" s="15" t="n">
        <v>0.38974</v>
      </c>
      <c r="O121" s="15" t="n">
        <v>0.083785</v>
      </c>
      <c r="P121" s="15" t="n">
        <v>-0.054447</v>
      </c>
      <c r="Q121" s="15" t="n">
        <v>-0.63346</v>
      </c>
      <c r="R121" s="15" t="n">
        <v>-0.24639</v>
      </c>
      <c r="S121" s="15" t="n">
        <v>0.33798</v>
      </c>
      <c r="T121" s="15" t="n">
        <v>0.4026</v>
      </c>
      <c r="U121" s="15" t="n">
        <v>0.5563</v>
      </c>
      <c r="V121" s="15" t="n">
        <v>0.23305</v>
      </c>
      <c r="W121" s="15" t="n">
        <v>0.11377</v>
      </c>
      <c r="X121" s="15" t="n">
        <v>-0.40968</v>
      </c>
      <c r="Y121" s="15" t="n">
        <v>-0.34487</v>
      </c>
      <c r="Z121" s="15" t="n">
        <v>-0.66741</v>
      </c>
      <c r="AA121" s="15" t="n">
        <v>-0.046024</v>
      </c>
      <c r="AB121" s="15" t="n">
        <v>0.32292</v>
      </c>
      <c r="AC121" s="15" t="n">
        <v>-0.42832</v>
      </c>
      <c r="AD121" s="15" t="n">
        <v>-0.18448</v>
      </c>
      <c r="AE121" s="15" t="n">
        <v>-0.0018441</v>
      </c>
      <c r="AF121" s="15" t="n">
        <v>-0.30182</v>
      </c>
      <c r="AG121" s="15" t="n">
        <v>-0.50329</v>
      </c>
      <c r="AH121" s="15" t="n">
        <v>-0.31807</v>
      </c>
      <c r="AI121" s="15" t="n">
        <v>0.56391</v>
      </c>
      <c r="AJ121" s="15" t="n">
        <v>-0.15553</v>
      </c>
      <c r="AK121" s="15" t="n">
        <v>-0.14383</v>
      </c>
      <c r="AL121" s="15" t="n">
        <v>-0.5287</v>
      </c>
      <c r="AM121" s="15" t="n">
        <v>0.45922</v>
      </c>
      <c r="AN121" s="15" t="n">
        <v>-0.10678</v>
      </c>
      <c r="AO121" s="15" t="n">
        <v>-0.25087</v>
      </c>
      <c r="AP121" s="15" t="n">
        <v>-0.4368</v>
      </c>
      <c r="AQ121" s="15" t="n">
        <v>0.12651</v>
      </c>
      <c r="AR121" s="15" t="n">
        <v>0.29849</v>
      </c>
      <c r="AS121" s="15" t="n">
        <v>-0.1996</v>
      </c>
      <c r="AT121" s="15" t="n">
        <v>0.052283</v>
      </c>
      <c r="AU121" s="15" t="n">
        <v>0.41988</v>
      </c>
      <c r="AV121" s="15" t="n">
        <v>-0.72202</v>
      </c>
      <c r="AW121" s="15" t="n">
        <v>1.0469</v>
      </c>
      <c r="AX121" s="15" t="n">
        <v>0.27733</v>
      </c>
      <c r="AY121" s="15" t="n">
        <v>-0.028969</v>
      </c>
      <c r="AZ121" s="15" t="n">
        <v>0.04944</v>
      </c>
      <c r="BA121" s="15" t="n">
        <v>0.087068</v>
      </c>
      <c r="BB121" s="15" t="n">
        <v>0.20306</v>
      </c>
      <c r="BC121" s="15" t="n">
        <v>0.13737</v>
      </c>
      <c r="BD121" s="15" t="n">
        <v>-0.61517</v>
      </c>
      <c r="BE121" s="15" t="n">
        <v>0.11908</v>
      </c>
      <c r="BF121" s="15" t="n">
        <v>0.010332</v>
      </c>
      <c r="BG121" s="15" t="n">
        <v>-0.88899</v>
      </c>
      <c r="BH121" s="15" t="n">
        <v>0.13502</v>
      </c>
      <c r="BI121" s="15" t="n">
        <v>-0.1564</v>
      </c>
      <c r="BJ121" s="15" t="n">
        <v>0.78968</v>
      </c>
      <c r="BK121" s="15" t="n">
        <v>-0.21789</v>
      </c>
      <c r="BL121" s="15" t="n">
        <v>-0.28774</v>
      </c>
      <c r="BM121" s="15" t="n">
        <v>0.20702</v>
      </c>
      <c r="BN121" s="15" t="n">
        <v>0.27854</v>
      </c>
      <c r="BO121" s="15" t="n">
        <v>0.90404</v>
      </c>
      <c r="BP121" s="15" t="n">
        <v>0.82922</v>
      </c>
      <c r="BQ121" s="15" t="n">
        <v>-0.54771</v>
      </c>
      <c r="BR121" s="15" t="n">
        <v>-0.46306</v>
      </c>
      <c r="BS121" s="15" t="n">
        <v>-0.17606</v>
      </c>
      <c r="BT121" s="15" t="n">
        <v>-0.0078889</v>
      </c>
      <c r="BU121" s="15" t="n">
        <v>-0.8104</v>
      </c>
      <c r="BV121" s="15" t="n">
        <v>0.68064</v>
      </c>
      <c r="BW121" s="15" t="n">
        <v>0.4608</v>
      </c>
      <c r="BX121" s="15" t="n">
        <v>-0.49991</v>
      </c>
      <c r="BY121" s="15" t="n">
        <v>-0.033694</v>
      </c>
      <c r="BZ121" s="15" t="n">
        <v>-0.31894</v>
      </c>
      <c r="CA121" s="15" t="n">
        <v>-0.34997</v>
      </c>
      <c r="CB121" s="15" t="n">
        <v>0.074821</v>
      </c>
      <c r="CC121" s="15" t="n">
        <v>1.0503</v>
      </c>
      <c r="CD121" s="15" t="n">
        <v>-0.20596</v>
      </c>
      <c r="CE121" s="15" t="n">
        <v>-0.015526</v>
      </c>
      <c r="CF121" s="15" t="n">
        <v>-0.42898</v>
      </c>
      <c r="CG121" s="15" t="n">
        <v>-0.68155</v>
      </c>
      <c r="CH121" s="15" t="n">
        <v>-0.032861</v>
      </c>
      <c r="CI121" s="15" t="n">
        <v>0.29799</v>
      </c>
      <c r="CJ121" s="15" t="n">
        <v>-0.38966</v>
      </c>
      <c r="CK121" s="15" t="n">
        <v>0.11974</v>
      </c>
      <c r="CL121" s="15" t="n">
        <v>0.45701</v>
      </c>
      <c r="CM121" s="15" t="n">
        <v>-0.60445</v>
      </c>
      <c r="CN121" s="15" t="n">
        <v>-1.1686</v>
      </c>
      <c r="CO121" s="15" t="n">
        <v>0.0063023</v>
      </c>
      <c r="CP121" s="15" t="n">
        <v>0.58801</v>
      </c>
      <c r="CQ121" s="15" t="n">
        <v>-0.10922</v>
      </c>
      <c r="CR121" s="15" t="n">
        <v>-0.37874</v>
      </c>
      <c r="CS121" s="15" t="n">
        <v>-0.41095</v>
      </c>
      <c r="CT121" s="15" t="n">
        <v>0.15989</v>
      </c>
      <c r="CU121" s="15" t="n">
        <v>-0.50828</v>
      </c>
      <c r="CV121" s="15" t="n">
        <v>0.5773</v>
      </c>
      <c r="CW121" s="15" t="n">
        <v>-0.058782</v>
      </c>
      <c r="CX121" s="15" t="n">
        <v>0.5151</v>
      </c>
      <c r="CY121" s="15" t="n">
        <v>0.009257</v>
      </c>
    </row>
    <row r="122" customFormat="false" ht="15" hidden="false" customHeight="false" outlineLevel="0" collapsed="false">
      <c r="A122" s="4" t="s">
        <v>129</v>
      </c>
      <c r="B122" s="2" t="n">
        <f aca="false">COUNTIF('1.3 TF-IDF coseno'!$M$10:$M$123,A122)</f>
        <v>0</v>
      </c>
      <c r="C122" s="2" t="n">
        <f aca="false">COUNTIF('1.3 TF-IDF coseno'!$N$10:$N$102,A122)</f>
        <v>1</v>
      </c>
      <c r="D122" s="15" t="n">
        <v>0.47525</v>
      </c>
      <c r="E122" s="15" t="n">
        <v>0.025793</v>
      </c>
      <c r="F122" s="15" t="n">
        <v>0.5641</v>
      </c>
      <c r="G122" s="15" t="n">
        <v>0.70216</v>
      </c>
      <c r="H122" s="15" t="n">
        <v>-0.25119</v>
      </c>
      <c r="I122" s="15" t="n">
        <v>0.29689</v>
      </c>
      <c r="J122" s="15" t="n">
        <v>0.22425</v>
      </c>
      <c r="K122" s="15" t="n">
        <v>0.0086197</v>
      </c>
      <c r="L122" s="15" t="n">
        <v>0.40585</v>
      </c>
      <c r="M122" s="15" t="n">
        <v>-0.048834</v>
      </c>
      <c r="N122" s="15" t="n">
        <v>-0.0040903</v>
      </c>
      <c r="O122" s="15" t="n">
        <v>0.27661</v>
      </c>
      <c r="P122" s="15" t="n">
        <v>0.94113</v>
      </c>
      <c r="Q122" s="15" t="n">
        <v>0.19855</v>
      </c>
      <c r="R122" s="15" t="n">
        <v>-0.050208</v>
      </c>
      <c r="S122" s="15" t="n">
        <v>-0.17735</v>
      </c>
      <c r="T122" s="15" t="n">
        <v>0.49142</v>
      </c>
      <c r="U122" s="15" t="n">
        <v>0.29458</v>
      </c>
      <c r="V122" s="15" t="n">
        <v>-0.029081</v>
      </c>
      <c r="W122" s="15" t="n">
        <v>0.16355</v>
      </c>
      <c r="X122" s="15" t="n">
        <v>0.013173</v>
      </c>
      <c r="Y122" s="15" t="n">
        <v>0.11427</v>
      </c>
      <c r="Z122" s="15" t="n">
        <v>-0.2753</v>
      </c>
      <c r="AA122" s="15" t="n">
        <v>-0.38263</v>
      </c>
      <c r="AB122" s="15" t="n">
        <v>0.042733</v>
      </c>
      <c r="AC122" s="15" t="n">
        <v>-0.60576</v>
      </c>
      <c r="AD122" s="15" t="n">
        <v>0.36187</v>
      </c>
      <c r="AE122" s="15" t="n">
        <v>-0.24827</v>
      </c>
      <c r="AF122" s="15" t="n">
        <v>-0.19498</v>
      </c>
      <c r="AG122" s="15" t="n">
        <v>0.20745</v>
      </c>
      <c r="AH122" s="15" t="n">
        <v>-0.015008</v>
      </c>
      <c r="AI122" s="15" t="n">
        <v>-0.22892</v>
      </c>
      <c r="AJ122" s="15" t="n">
        <v>-0.53033</v>
      </c>
      <c r="AK122" s="15" t="n">
        <v>-0.53336</v>
      </c>
      <c r="AL122" s="15" t="n">
        <v>-0.095378</v>
      </c>
      <c r="AM122" s="15" t="n">
        <v>-0.077645</v>
      </c>
      <c r="AN122" s="15" t="n">
        <v>-0.020369</v>
      </c>
      <c r="AO122" s="15" t="n">
        <v>0.20482</v>
      </c>
      <c r="AP122" s="15" t="n">
        <v>-0.2006</v>
      </c>
      <c r="AQ122" s="15" t="n">
        <v>-0.35714</v>
      </c>
      <c r="AR122" s="15" t="n">
        <v>-0.5807</v>
      </c>
      <c r="AS122" s="15" t="n">
        <v>0.33617</v>
      </c>
      <c r="AT122" s="15" t="n">
        <v>0.31176</v>
      </c>
      <c r="AU122" s="15" t="n">
        <v>0.39168</v>
      </c>
      <c r="AV122" s="15" t="n">
        <v>0.19571</v>
      </c>
      <c r="AW122" s="15" t="n">
        <v>-0.3156</v>
      </c>
      <c r="AX122" s="15" t="n">
        <v>0.96824</v>
      </c>
      <c r="AY122" s="15" t="n">
        <v>0.011505</v>
      </c>
      <c r="AZ122" s="15" t="n">
        <v>-0.16119</v>
      </c>
      <c r="BA122" s="15" t="n">
        <v>-0.11344</v>
      </c>
      <c r="BB122" s="15" t="n">
        <v>0.3697</v>
      </c>
      <c r="BC122" s="15" t="n">
        <v>0.094325</v>
      </c>
      <c r="BD122" s="15" t="n">
        <v>0.75013</v>
      </c>
      <c r="BE122" s="15" t="n">
        <v>1.1323</v>
      </c>
      <c r="BF122" s="15" t="n">
        <v>0.19063</v>
      </c>
      <c r="BG122" s="15" t="n">
        <v>-1.4372</v>
      </c>
      <c r="BH122" s="15" t="n">
        <v>0.63513</v>
      </c>
      <c r="BI122" s="15" t="n">
        <v>-0.64238</v>
      </c>
      <c r="BJ122" s="15" t="n">
        <v>1.1868</v>
      </c>
      <c r="BK122" s="15" t="n">
        <v>0.66954</v>
      </c>
      <c r="BL122" s="15" t="n">
        <v>-0.28725</v>
      </c>
      <c r="BM122" s="15" t="n">
        <v>0.15754</v>
      </c>
      <c r="BN122" s="15" t="n">
        <v>-0.22939</v>
      </c>
      <c r="BO122" s="15" t="n">
        <v>-0.4458</v>
      </c>
      <c r="BP122" s="15" t="n">
        <v>1.3149</v>
      </c>
      <c r="BQ122" s="15" t="n">
        <v>0.17262</v>
      </c>
      <c r="BR122" s="15" t="n">
        <v>0.572</v>
      </c>
      <c r="BS122" s="15" t="n">
        <v>-0.3623</v>
      </c>
      <c r="BT122" s="15" t="n">
        <v>-0.00019485</v>
      </c>
      <c r="BU122" s="15" t="n">
        <v>-0.24439</v>
      </c>
      <c r="BV122" s="15" t="n">
        <v>0.60976</v>
      </c>
      <c r="BW122" s="15" t="n">
        <v>0.24751</v>
      </c>
      <c r="BX122" s="15" t="n">
        <v>0.00029041</v>
      </c>
      <c r="BY122" s="15" t="n">
        <v>-0.3292</v>
      </c>
      <c r="BZ122" s="15" t="n">
        <v>0.10886</v>
      </c>
      <c r="CA122" s="15" t="n">
        <v>-0.17245</v>
      </c>
      <c r="CB122" s="15" t="n">
        <v>0.03485</v>
      </c>
      <c r="CC122" s="15" t="n">
        <v>-0.9878</v>
      </c>
      <c r="CD122" s="15" t="n">
        <v>-1.4555</v>
      </c>
      <c r="CE122" s="15" t="n">
        <v>0.55606</v>
      </c>
      <c r="CF122" s="15" t="n">
        <v>-0.34378</v>
      </c>
      <c r="CG122" s="15" t="n">
        <v>0.50006</v>
      </c>
      <c r="CH122" s="15" t="n">
        <v>-0.17414</v>
      </c>
      <c r="CI122" s="15" t="n">
        <v>0.48391</v>
      </c>
      <c r="CJ122" s="15" t="n">
        <v>-0.92797</v>
      </c>
      <c r="CK122" s="15" t="n">
        <v>0.3289</v>
      </c>
      <c r="CL122" s="15" t="n">
        <v>0.063293</v>
      </c>
      <c r="CM122" s="15" t="n">
        <v>-0.3149</v>
      </c>
      <c r="CN122" s="15" t="n">
        <v>0.21597</v>
      </c>
      <c r="CO122" s="15" t="n">
        <v>0.44759</v>
      </c>
      <c r="CP122" s="15" t="n">
        <v>-0.24993</v>
      </c>
      <c r="CQ122" s="15" t="n">
        <v>0.1706</v>
      </c>
      <c r="CR122" s="15" t="n">
        <v>0.47687</v>
      </c>
      <c r="CS122" s="15" t="n">
        <v>0.61253</v>
      </c>
      <c r="CT122" s="15" t="n">
        <v>-0.18804</v>
      </c>
      <c r="CU122" s="15" t="n">
        <v>-0.47226</v>
      </c>
      <c r="CV122" s="15" t="n">
        <v>-0.56433</v>
      </c>
      <c r="CW122" s="15" t="n">
        <v>-0.36314</v>
      </c>
      <c r="CX122" s="15" t="n">
        <v>-0.12226</v>
      </c>
      <c r="CY122" s="15" t="n">
        <v>-0.32237</v>
      </c>
    </row>
    <row r="123" customFormat="false" ht="15" hidden="false" customHeight="false" outlineLevel="0" collapsed="false">
      <c r="A123" s="4" t="s">
        <v>130</v>
      </c>
      <c r="B123" s="2" t="n">
        <f aca="false">COUNTIF('1.3 TF-IDF coseno'!$M$10:$M$123,A123)</f>
        <v>0</v>
      </c>
      <c r="C123" s="2" t="n">
        <f aca="false">COUNTIF('1.3 TF-IDF coseno'!$N$10:$N$102,A123)</f>
        <v>1</v>
      </c>
      <c r="D123" s="15" t="n">
        <v>-0.085029</v>
      </c>
      <c r="E123" s="15" t="n">
        <v>0.46321</v>
      </c>
      <c r="F123" s="15" t="n">
        <v>0.60768</v>
      </c>
      <c r="G123" s="15" t="n">
        <v>0.87269</v>
      </c>
      <c r="H123" s="15" t="n">
        <v>0.80273</v>
      </c>
      <c r="I123" s="15" t="n">
        <v>-0.20667</v>
      </c>
      <c r="J123" s="15" t="n">
        <v>-0.79216</v>
      </c>
      <c r="K123" s="15" t="n">
        <v>0.60863</v>
      </c>
      <c r="L123" s="15" t="n">
        <v>0.55255</v>
      </c>
      <c r="M123" s="15" t="n">
        <v>-0.086287</v>
      </c>
      <c r="N123" s="15" t="n">
        <v>-0.46965</v>
      </c>
      <c r="O123" s="15" t="n">
        <v>0.18876</v>
      </c>
      <c r="P123" s="15" t="n">
        <v>-0.70142</v>
      </c>
      <c r="Q123" s="15" t="n">
        <v>0.26132</v>
      </c>
      <c r="R123" s="15" t="n">
        <v>0.3364</v>
      </c>
      <c r="S123" s="15" t="n">
        <v>0.046537</v>
      </c>
      <c r="T123" s="15" t="n">
        <v>0.1916</v>
      </c>
      <c r="U123" s="15" t="n">
        <v>-0.22085</v>
      </c>
      <c r="V123" s="15" t="n">
        <v>0.04421</v>
      </c>
      <c r="W123" s="15" t="n">
        <v>0.21526</v>
      </c>
      <c r="X123" s="15" t="n">
        <v>-0.34774</v>
      </c>
      <c r="Y123" s="15" t="n">
        <v>-0.33117</v>
      </c>
      <c r="Z123" s="15" t="n">
        <v>-0.3026</v>
      </c>
      <c r="AA123" s="15" t="n">
        <v>0.044463</v>
      </c>
      <c r="AB123" s="15" t="n">
        <v>-0.3694</v>
      </c>
      <c r="AC123" s="15" t="n">
        <v>0.20881</v>
      </c>
      <c r="AD123" s="15" t="n">
        <v>-0.83464</v>
      </c>
      <c r="AE123" s="15" t="n">
        <v>-0.55203</v>
      </c>
      <c r="AF123" s="15" t="n">
        <v>-0.68831</v>
      </c>
      <c r="AG123" s="15" t="n">
        <v>0.0089325</v>
      </c>
      <c r="AH123" s="15" t="n">
        <v>-0.68266</v>
      </c>
      <c r="AI123" s="15" t="n">
        <v>1.1028</v>
      </c>
      <c r="AJ123" s="15" t="n">
        <v>-0.31585</v>
      </c>
      <c r="AK123" s="15" t="n">
        <v>-0.31462</v>
      </c>
      <c r="AL123" s="15" t="n">
        <v>0.139</v>
      </c>
      <c r="AM123" s="15" t="n">
        <v>-0.087941</v>
      </c>
      <c r="AN123" s="15" t="n">
        <v>0.14642</v>
      </c>
      <c r="AO123" s="15" t="n">
        <v>-0.8694</v>
      </c>
      <c r="AP123" s="15" t="n">
        <v>-0.51407</v>
      </c>
      <c r="AQ123" s="15" t="n">
        <v>0.31973</v>
      </c>
      <c r="AR123" s="15" t="n">
        <v>-0.49295</v>
      </c>
      <c r="AS123" s="15" t="n">
        <v>0.17623</v>
      </c>
      <c r="AT123" s="15" t="n">
        <v>0.36525</v>
      </c>
      <c r="AU123" s="15" t="n">
        <v>0.039258</v>
      </c>
      <c r="AV123" s="15" t="n">
        <v>-0.95849</v>
      </c>
      <c r="AW123" s="15" t="n">
        <v>0.013919</v>
      </c>
      <c r="AX123" s="15" t="n">
        <v>-0.97785</v>
      </c>
      <c r="AY123" s="15" t="n">
        <v>0.19464</v>
      </c>
      <c r="AZ123" s="15" t="n">
        <v>-0.43182</v>
      </c>
      <c r="BA123" s="15" t="n">
        <v>-0.024087</v>
      </c>
      <c r="BB123" s="15" t="n">
        <v>0.3988</v>
      </c>
      <c r="BC123" s="15" t="n">
        <v>-0.37106</v>
      </c>
      <c r="BD123" s="15" t="n">
        <v>-0.0044832</v>
      </c>
      <c r="BE123" s="15" t="n">
        <v>0.74404</v>
      </c>
      <c r="BF123" s="15" t="n">
        <v>-0.54043</v>
      </c>
      <c r="BG123" s="15" t="n">
        <v>-1.0826</v>
      </c>
      <c r="BH123" s="15" t="n">
        <v>0.59165</v>
      </c>
      <c r="BI123" s="15" t="n">
        <v>0.037775</v>
      </c>
      <c r="BJ123" s="15" t="n">
        <v>0.16626</v>
      </c>
      <c r="BK123" s="15" t="n">
        <v>0.46636</v>
      </c>
      <c r="BL123" s="15" t="n">
        <v>0.20484</v>
      </c>
      <c r="BM123" s="15" t="n">
        <v>-0.77175</v>
      </c>
      <c r="BN123" s="15" t="n">
        <v>0.23826</v>
      </c>
      <c r="BO123" s="15" t="n">
        <v>-0.21477</v>
      </c>
      <c r="BP123" s="15" t="n">
        <v>0.69654</v>
      </c>
      <c r="BQ123" s="15" t="n">
        <v>0.15811</v>
      </c>
      <c r="BR123" s="15" t="n">
        <v>-0.67996</v>
      </c>
      <c r="BS123" s="15" t="n">
        <v>0.62505</v>
      </c>
      <c r="BT123" s="15" t="n">
        <v>-0.10347</v>
      </c>
      <c r="BU123" s="15" t="n">
        <v>-0.37736</v>
      </c>
      <c r="BV123" s="15" t="n">
        <v>0.77669</v>
      </c>
      <c r="BW123" s="15" t="n">
        <v>-0.40488</v>
      </c>
      <c r="BX123" s="15" t="n">
        <v>-0.63762</v>
      </c>
      <c r="BY123" s="15" t="n">
        <v>-0.051887</v>
      </c>
      <c r="BZ123" s="15" t="n">
        <v>-0.23033</v>
      </c>
      <c r="CA123" s="15" t="n">
        <v>-0.22802</v>
      </c>
      <c r="CB123" s="15" t="n">
        <v>-0.11458</v>
      </c>
      <c r="CC123" s="15" t="n">
        <v>-0.15771</v>
      </c>
      <c r="CD123" s="15" t="n">
        <v>-0.74134</v>
      </c>
      <c r="CE123" s="15" t="n">
        <v>-0.15137</v>
      </c>
      <c r="CF123" s="15" t="n">
        <v>0.12767</v>
      </c>
      <c r="CG123" s="15" t="n">
        <v>-0.52024</v>
      </c>
      <c r="CH123" s="15" t="n">
        <v>0.0064588</v>
      </c>
      <c r="CI123" s="15" t="n">
        <v>-0.35225</v>
      </c>
      <c r="CJ123" s="15" t="n">
        <v>-0.1685</v>
      </c>
      <c r="CK123" s="15" t="n">
        <v>0.083902</v>
      </c>
      <c r="CL123" s="15" t="n">
        <v>0.38941</v>
      </c>
      <c r="CM123" s="15" t="n">
        <v>-0.38871</v>
      </c>
      <c r="CN123" s="15" t="n">
        <v>0.22419</v>
      </c>
      <c r="CO123" s="15" t="n">
        <v>-0.14194</v>
      </c>
      <c r="CP123" s="15" t="n">
        <v>0.38134</v>
      </c>
      <c r="CQ123" s="15" t="n">
        <v>0.07465</v>
      </c>
      <c r="CR123" s="15" t="n">
        <v>-0.27943</v>
      </c>
      <c r="CS123" s="15" t="n">
        <v>-0.65865</v>
      </c>
      <c r="CT123" s="15" t="n">
        <v>-0.050022</v>
      </c>
      <c r="CU123" s="15" t="n">
        <v>0.10141</v>
      </c>
      <c r="CV123" s="15" t="n">
        <v>-0.026028</v>
      </c>
      <c r="CW123" s="15" t="n">
        <v>-0.19905</v>
      </c>
      <c r="CX123" s="15" t="n">
        <v>0.27273</v>
      </c>
      <c r="CY123" s="15" t="n">
        <v>-0.25622</v>
      </c>
    </row>
    <row r="124" customFormat="false" ht="15" hidden="false" customHeight="false" outlineLevel="0" collapsed="false">
      <c r="A124" s="4" t="s">
        <v>131</v>
      </c>
      <c r="B124" s="2" t="n">
        <f aca="false">COUNTIF('1.3 TF-IDF coseno'!$M$10:$M$123,A124)</f>
        <v>0</v>
      </c>
      <c r="C124" s="2" t="n">
        <f aca="false">COUNTIF('1.3 TF-IDF coseno'!$N$10:$N$102,A124)</f>
        <v>1</v>
      </c>
      <c r="D124" s="15" t="n">
        <v>-0.49675</v>
      </c>
      <c r="E124" s="15" t="n">
        <v>-0.47339</v>
      </c>
      <c r="F124" s="15" t="n">
        <v>0.25502</v>
      </c>
      <c r="G124" s="15" t="n">
        <v>0.26175</v>
      </c>
      <c r="H124" s="15" t="n">
        <v>0.017648</v>
      </c>
      <c r="I124" s="15" t="n">
        <v>0.58448</v>
      </c>
      <c r="J124" s="15" t="n">
        <v>-1.0919</v>
      </c>
      <c r="K124" s="15" t="n">
        <v>-0.17902</v>
      </c>
      <c r="L124" s="15" t="n">
        <v>0.43307</v>
      </c>
      <c r="M124" s="15" t="n">
        <v>0.041761</v>
      </c>
      <c r="N124" s="15" t="n">
        <v>0.042662</v>
      </c>
      <c r="O124" s="15" t="n">
        <v>0.23779</v>
      </c>
      <c r="P124" s="15" t="n">
        <v>0.14402</v>
      </c>
      <c r="Q124" s="15" t="n">
        <v>-0.18791</v>
      </c>
      <c r="R124" s="15" t="n">
        <v>0.31805</v>
      </c>
      <c r="S124" s="15" t="n">
        <v>-0.4543</v>
      </c>
      <c r="T124" s="15" t="n">
        <v>-0.077275</v>
      </c>
      <c r="U124" s="15" t="n">
        <v>-0.018509</v>
      </c>
      <c r="V124" s="15" t="n">
        <v>-0.026093</v>
      </c>
      <c r="W124" s="15" t="n">
        <v>-0.16424</v>
      </c>
      <c r="X124" s="15" t="n">
        <v>-0.023581</v>
      </c>
      <c r="Y124" s="15" t="n">
        <v>0.21123</v>
      </c>
      <c r="Z124" s="15" t="n">
        <v>0.12395</v>
      </c>
      <c r="AA124" s="15" t="n">
        <v>-0.18924</v>
      </c>
      <c r="AB124" s="15" t="n">
        <v>-0.26537</v>
      </c>
      <c r="AC124" s="15" t="n">
        <v>0.51989</v>
      </c>
      <c r="AD124" s="15" t="n">
        <v>-0.72208</v>
      </c>
      <c r="AE124" s="15" t="n">
        <v>-0.40114</v>
      </c>
      <c r="AF124" s="15" t="n">
        <v>0.40642</v>
      </c>
      <c r="AG124" s="15" t="n">
        <v>-0.090803</v>
      </c>
      <c r="AH124" s="15" t="n">
        <v>-0.17718</v>
      </c>
      <c r="AI124" s="15" t="n">
        <v>0.027921</v>
      </c>
      <c r="AJ124" s="15" t="n">
        <v>-0.4687</v>
      </c>
      <c r="AK124" s="15" t="n">
        <v>-0.4307</v>
      </c>
      <c r="AL124" s="15" t="n">
        <v>0.1631</v>
      </c>
      <c r="AM124" s="15" t="n">
        <v>-0.26234</v>
      </c>
      <c r="AN124" s="15" t="n">
        <v>0.13552</v>
      </c>
      <c r="AO124" s="15" t="n">
        <v>-0.72161</v>
      </c>
      <c r="AP124" s="15" t="n">
        <v>-0.2655</v>
      </c>
      <c r="AQ124" s="15" t="n">
        <v>0.4139</v>
      </c>
      <c r="AR124" s="15" t="n">
        <v>-0.67463</v>
      </c>
      <c r="AS124" s="15" t="n">
        <v>-0.19954</v>
      </c>
      <c r="AT124" s="15" t="n">
        <v>-0.14482</v>
      </c>
      <c r="AU124" s="15" t="n">
        <v>-0.72965</v>
      </c>
      <c r="AV124" s="15" t="n">
        <v>-0.11292</v>
      </c>
      <c r="AW124" s="15" t="n">
        <v>0.19776</v>
      </c>
      <c r="AX124" s="15" t="n">
        <v>0.30232</v>
      </c>
      <c r="AY124" s="15" t="n">
        <v>-0.059322</v>
      </c>
      <c r="AZ124" s="15" t="n">
        <v>-0.42731</v>
      </c>
      <c r="BA124" s="15" t="n">
        <v>-1.1353</v>
      </c>
      <c r="BB124" s="15" t="n">
        <v>0.52986</v>
      </c>
      <c r="BC124" s="15" t="n">
        <v>-0.28576</v>
      </c>
      <c r="BD124" s="15" t="n">
        <v>-0.58856</v>
      </c>
      <c r="BE124" s="15" t="n">
        <v>1.2794</v>
      </c>
      <c r="BF124" s="15" t="n">
        <v>0.12635</v>
      </c>
      <c r="BG124" s="15" t="n">
        <v>-1.9949</v>
      </c>
      <c r="BH124" s="15" t="n">
        <v>0.4044</v>
      </c>
      <c r="BI124" s="15" t="n">
        <v>-0.37876</v>
      </c>
      <c r="BJ124" s="15" t="n">
        <v>1.539</v>
      </c>
      <c r="BK124" s="15" t="n">
        <v>0.11738</v>
      </c>
      <c r="BL124" s="15" t="n">
        <v>-0.74686</v>
      </c>
      <c r="BM124" s="15" t="n">
        <v>0.27317</v>
      </c>
      <c r="BN124" s="15" t="n">
        <v>0.036398</v>
      </c>
      <c r="BO124" s="15" t="n">
        <v>0.14716</v>
      </c>
      <c r="BP124" s="15" t="n">
        <v>0.99085</v>
      </c>
      <c r="BQ124" s="15" t="n">
        <v>-0.1973</v>
      </c>
      <c r="BR124" s="15" t="n">
        <v>0.13581</v>
      </c>
      <c r="BS124" s="15" t="n">
        <v>-0.20855</v>
      </c>
      <c r="BT124" s="15" t="n">
        <v>-0.37793</v>
      </c>
      <c r="BU124" s="15" t="n">
        <v>-0.75613</v>
      </c>
      <c r="BV124" s="15" t="n">
        <v>-0.9745</v>
      </c>
      <c r="BW124" s="15" t="n">
        <v>-0.60553</v>
      </c>
      <c r="BX124" s="15" t="n">
        <v>-0.35053</v>
      </c>
      <c r="BY124" s="15" t="n">
        <v>-0.27474</v>
      </c>
      <c r="BZ124" s="15" t="n">
        <v>-0.085023</v>
      </c>
      <c r="CA124" s="15" t="n">
        <v>0.33304</v>
      </c>
      <c r="CB124" s="15" t="n">
        <v>-0.35233</v>
      </c>
      <c r="CC124" s="15" t="n">
        <v>0.032024</v>
      </c>
      <c r="CD124" s="15" t="n">
        <v>-0.80059</v>
      </c>
      <c r="CE124" s="15" t="n">
        <v>0.51935</v>
      </c>
      <c r="CF124" s="15" t="n">
        <v>0.60951</v>
      </c>
      <c r="CG124" s="15" t="n">
        <v>-0.29893</v>
      </c>
      <c r="CH124" s="15" t="n">
        <v>-0.61797</v>
      </c>
      <c r="CI124" s="15" t="n">
        <v>0.3071</v>
      </c>
      <c r="CJ124" s="15" t="n">
        <v>-1.3784</v>
      </c>
      <c r="CK124" s="15" t="n">
        <v>-0.21162</v>
      </c>
      <c r="CL124" s="15" t="n">
        <v>-0.46971</v>
      </c>
      <c r="CM124" s="15" t="n">
        <v>0.43349</v>
      </c>
      <c r="CN124" s="15" t="n">
        <v>-0.33519</v>
      </c>
      <c r="CO124" s="15" t="n">
        <v>-0.24922</v>
      </c>
      <c r="CP124" s="15" t="n">
        <v>-0.50015</v>
      </c>
      <c r="CQ124" s="15" t="n">
        <v>0.1191</v>
      </c>
      <c r="CR124" s="15" t="n">
        <v>0.17084</v>
      </c>
      <c r="CS124" s="15" t="n">
        <v>-0.63614</v>
      </c>
      <c r="CT124" s="15" t="n">
        <v>-0.36004</v>
      </c>
      <c r="CU124" s="15" t="n">
        <v>0.19148</v>
      </c>
      <c r="CV124" s="15" t="n">
        <v>0.37208</v>
      </c>
      <c r="CW124" s="15" t="n">
        <v>0.32839</v>
      </c>
      <c r="CX124" s="15" t="n">
        <v>0.39282</v>
      </c>
      <c r="CY124" s="15" t="n">
        <v>-0.38947</v>
      </c>
    </row>
    <row r="125" customFormat="false" ht="15" hidden="false" customHeight="false" outlineLevel="0" collapsed="false">
      <c r="A125" s="4" t="s">
        <v>132</v>
      </c>
      <c r="B125" s="2" t="n">
        <f aca="false">COUNTIF('1.3 TF-IDF coseno'!$M$10:$M$123,A125)</f>
        <v>0</v>
      </c>
      <c r="C125" s="2" t="n">
        <f aca="false">COUNTIF('1.3 TF-IDF coseno'!$N$10:$N$102,A125)</f>
        <v>1</v>
      </c>
      <c r="D125" s="15" t="n">
        <v>0.14318</v>
      </c>
      <c r="E125" s="15" t="n">
        <v>-0.24416</v>
      </c>
      <c r="F125" s="15" t="n">
        <v>0.039509</v>
      </c>
      <c r="G125" s="15" t="n">
        <v>0.26821</v>
      </c>
      <c r="H125" s="15" t="n">
        <v>-0.53456</v>
      </c>
      <c r="I125" s="15" t="n">
        <v>0.16274</v>
      </c>
      <c r="J125" s="15" t="n">
        <v>-0.87637</v>
      </c>
      <c r="K125" s="15" t="n">
        <v>0.28335</v>
      </c>
      <c r="L125" s="15" t="n">
        <v>0.091125</v>
      </c>
      <c r="M125" s="15" t="n">
        <v>0.29571</v>
      </c>
      <c r="N125" s="15" t="n">
        <v>-0.83448</v>
      </c>
      <c r="O125" s="15" t="n">
        <v>-0.27448</v>
      </c>
      <c r="P125" s="15" t="n">
        <v>-0.068239</v>
      </c>
      <c r="Q125" s="15" t="n">
        <v>-0.18633</v>
      </c>
      <c r="R125" s="15" t="n">
        <v>-0.010992</v>
      </c>
      <c r="S125" s="15" t="n">
        <v>-0.2787</v>
      </c>
      <c r="T125" s="15" t="n">
        <v>0.46227</v>
      </c>
      <c r="U125" s="15" t="n">
        <v>0.15162</v>
      </c>
      <c r="V125" s="15" t="n">
        <v>-0.78956</v>
      </c>
      <c r="W125" s="15" t="n">
        <v>-0.21281</v>
      </c>
      <c r="X125" s="15" t="n">
        <v>-0.057606</v>
      </c>
      <c r="Y125" s="15" t="n">
        <v>-0.48846</v>
      </c>
      <c r="Z125" s="15" t="n">
        <v>0.014861</v>
      </c>
      <c r="AA125" s="15" t="n">
        <v>0.21098</v>
      </c>
      <c r="AB125" s="15" t="n">
        <v>-0.51687</v>
      </c>
      <c r="AC125" s="15" t="n">
        <v>-0.29758</v>
      </c>
      <c r="AD125" s="15" t="n">
        <v>-0.20292</v>
      </c>
      <c r="AE125" s="15" t="n">
        <v>-0.80192</v>
      </c>
      <c r="AF125" s="15" t="n">
        <v>-0.2421</v>
      </c>
      <c r="AG125" s="15" t="n">
        <v>0.93969</v>
      </c>
      <c r="AH125" s="15" t="n">
        <v>-0.20534</v>
      </c>
      <c r="AI125" s="15" t="n">
        <v>0.85404</v>
      </c>
      <c r="AJ125" s="15" t="n">
        <v>-0.014933</v>
      </c>
      <c r="AK125" s="15" t="n">
        <v>-0.085441</v>
      </c>
      <c r="AL125" s="15" t="n">
        <v>0.60558</v>
      </c>
      <c r="AM125" s="15" t="n">
        <v>0.10856</v>
      </c>
      <c r="AN125" s="15" t="n">
        <v>0.41481</v>
      </c>
      <c r="AO125" s="15" t="n">
        <v>-1.2658</v>
      </c>
      <c r="AP125" s="15" t="n">
        <v>-0.37443</v>
      </c>
      <c r="AQ125" s="15" t="n">
        <v>-0.03103</v>
      </c>
      <c r="AR125" s="15" t="n">
        <v>-0.70885</v>
      </c>
      <c r="AS125" s="15" t="n">
        <v>0.070542</v>
      </c>
      <c r="AT125" s="15" t="n">
        <v>0.14923</v>
      </c>
      <c r="AU125" s="15" t="n">
        <v>-0.27948</v>
      </c>
      <c r="AV125" s="15" t="n">
        <v>-0.96215</v>
      </c>
      <c r="AW125" s="15" t="n">
        <v>-0.22183</v>
      </c>
      <c r="AX125" s="15" t="n">
        <v>-0.27968</v>
      </c>
      <c r="AY125" s="15" t="n">
        <v>0.46077</v>
      </c>
      <c r="AZ125" s="15" t="n">
        <v>-0.63464</v>
      </c>
      <c r="BA125" s="15" t="n">
        <v>-0.89737</v>
      </c>
      <c r="BB125" s="15" t="n">
        <v>-0.0914</v>
      </c>
      <c r="BC125" s="15" t="n">
        <v>0.15697</v>
      </c>
      <c r="BD125" s="15" t="n">
        <v>-0.28684</v>
      </c>
      <c r="BE125" s="15" t="n">
        <v>0.57272</v>
      </c>
      <c r="BF125" s="15" t="n">
        <v>-0.21956</v>
      </c>
      <c r="BG125" s="15" t="n">
        <v>-1.2717</v>
      </c>
      <c r="BH125" s="15" t="n">
        <v>0.64873</v>
      </c>
      <c r="BI125" s="15" t="n">
        <v>-0.27609</v>
      </c>
      <c r="BJ125" s="15" t="n">
        <v>1.0081</v>
      </c>
      <c r="BK125" s="15" t="n">
        <v>-0.44059</v>
      </c>
      <c r="BL125" s="15" t="n">
        <v>0.010853</v>
      </c>
      <c r="BM125" s="15" t="n">
        <v>-0.082828</v>
      </c>
      <c r="BN125" s="15" t="n">
        <v>-0.51161</v>
      </c>
      <c r="BO125" s="15" t="n">
        <v>-0.067269</v>
      </c>
      <c r="BP125" s="15" t="n">
        <v>0.71944</v>
      </c>
      <c r="BQ125" s="15" t="n">
        <v>0.08898</v>
      </c>
      <c r="BR125" s="15" t="n">
        <v>-1.2521</v>
      </c>
      <c r="BS125" s="15" t="n">
        <v>0.63839</v>
      </c>
      <c r="BT125" s="15" t="n">
        <v>-0.29512</v>
      </c>
      <c r="BU125" s="15" t="n">
        <v>-1.1348</v>
      </c>
      <c r="BV125" s="15" t="n">
        <v>0.39803</v>
      </c>
      <c r="BW125" s="15" t="n">
        <v>-0.58732</v>
      </c>
      <c r="BX125" s="15" t="n">
        <v>-0.53492</v>
      </c>
      <c r="BY125" s="15" t="n">
        <v>-0.38055</v>
      </c>
      <c r="BZ125" s="15" t="n">
        <v>-0.20531</v>
      </c>
      <c r="CA125" s="15" t="n">
        <v>0.058725</v>
      </c>
      <c r="CB125" s="15" t="n">
        <v>-0.96203</v>
      </c>
      <c r="CC125" s="15" t="n">
        <v>-0.14016</v>
      </c>
      <c r="CD125" s="15" t="n">
        <v>-0.38023</v>
      </c>
      <c r="CE125" s="15" t="n">
        <v>-1.0764</v>
      </c>
      <c r="CF125" s="15" t="n">
        <v>0.10101</v>
      </c>
      <c r="CG125" s="15" t="n">
        <v>-0.40917</v>
      </c>
      <c r="CH125" s="15" t="n">
        <v>-0.17457</v>
      </c>
      <c r="CI125" s="15" t="n">
        <v>0.11643</v>
      </c>
      <c r="CJ125" s="15" t="n">
        <v>-0.69163</v>
      </c>
      <c r="CK125" s="15" t="n">
        <v>0.062943</v>
      </c>
      <c r="CL125" s="15" t="n">
        <v>0.68192</v>
      </c>
      <c r="CM125" s="15" t="n">
        <v>-0.028607</v>
      </c>
      <c r="CN125" s="15" t="n">
        <v>-0.37346</v>
      </c>
      <c r="CO125" s="15" t="n">
        <v>-0.092847</v>
      </c>
      <c r="CP125" s="15" t="n">
        <v>0.24532</v>
      </c>
      <c r="CQ125" s="15" t="n">
        <v>0.051936</v>
      </c>
      <c r="CR125" s="15" t="n">
        <v>-0.26731</v>
      </c>
      <c r="CS125" s="15" t="n">
        <v>-0.57146</v>
      </c>
      <c r="CT125" s="15" t="n">
        <v>-0.40819</v>
      </c>
      <c r="CU125" s="15" t="n">
        <v>-0.15101</v>
      </c>
      <c r="CV125" s="15" t="n">
        <v>-0.84227</v>
      </c>
      <c r="CW125" s="15" t="n">
        <v>-0.43405</v>
      </c>
      <c r="CX125" s="15" t="n">
        <v>0.33785</v>
      </c>
      <c r="CY125" s="15" t="n">
        <v>-0.23486</v>
      </c>
    </row>
    <row r="126" customFormat="false" ht="15" hidden="false" customHeight="false" outlineLevel="0" collapsed="false">
      <c r="A126" s="4" t="s">
        <v>133</v>
      </c>
      <c r="B126" s="2" t="n">
        <f aca="false">COUNTIF('1.3 TF-IDF coseno'!$M$10:$M$123,A126)</f>
        <v>0</v>
      </c>
      <c r="C126" s="2" t="n">
        <f aca="false">COUNTIF('1.3 TF-IDF coseno'!$N$10:$N$102,A126)</f>
        <v>1</v>
      </c>
      <c r="D126" s="15" t="n">
        <v>-0.12597</v>
      </c>
      <c r="E126" s="15" t="n">
        <v>-0.62504</v>
      </c>
      <c r="F126" s="15" t="n">
        <v>0.79738</v>
      </c>
      <c r="G126" s="15" t="n">
        <v>-0.11295</v>
      </c>
      <c r="H126" s="15" t="n">
        <v>-1.0513</v>
      </c>
      <c r="I126" s="15" t="n">
        <v>-0.66333</v>
      </c>
      <c r="J126" s="15" t="n">
        <v>0.015826</v>
      </c>
      <c r="K126" s="15" t="n">
        <v>0.38789</v>
      </c>
      <c r="L126" s="15" t="n">
        <v>-0.71904</v>
      </c>
      <c r="M126" s="15" t="n">
        <v>0.5768</v>
      </c>
      <c r="N126" s="15" t="n">
        <v>0.29952</v>
      </c>
      <c r="O126" s="15" t="n">
        <v>-0.92772</v>
      </c>
      <c r="P126" s="15" t="n">
        <v>-0.028289</v>
      </c>
      <c r="Q126" s="15" t="n">
        <v>-0.021394</v>
      </c>
      <c r="R126" s="15" t="n">
        <v>-0.13847</v>
      </c>
      <c r="S126" s="15" t="n">
        <v>-0.49382</v>
      </c>
      <c r="T126" s="15" t="n">
        <v>0.49008</v>
      </c>
      <c r="U126" s="15" t="n">
        <v>-0.30618</v>
      </c>
      <c r="V126" s="15" t="n">
        <v>0.73866</v>
      </c>
      <c r="W126" s="15" t="n">
        <v>0.15218</v>
      </c>
      <c r="X126" s="15" t="n">
        <v>0.59046</v>
      </c>
      <c r="Y126" s="15" t="n">
        <v>0.40365</v>
      </c>
      <c r="Z126" s="15" t="n">
        <v>-0.91721</v>
      </c>
      <c r="AA126" s="15" t="n">
        <v>0.28621</v>
      </c>
      <c r="AB126" s="15" t="n">
        <v>0.042887</v>
      </c>
      <c r="AC126" s="15" t="n">
        <v>-0.33985</v>
      </c>
      <c r="AD126" s="15" t="n">
        <v>-1.0129</v>
      </c>
      <c r="AE126" s="15" t="n">
        <v>-0.53086</v>
      </c>
      <c r="AF126" s="15" t="n">
        <v>0.48051</v>
      </c>
      <c r="AG126" s="15" t="n">
        <v>0.59578</v>
      </c>
      <c r="AH126" s="15" t="n">
        <v>0.94023</v>
      </c>
      <c r="AI126" s="15" t="n">
        <v>0.31363</v>
      </c>
      <c r="AJ126" s="15" t="n">
        <v>-0.37508</v>
      </c>
      <c r="AK126" s="15" t="n">
        <v>0.79052</v>
      </c>
      <c r="AL126" s="15" t="n">
        <v>0.75849</v>
      </c>
      <c r="AM126" s="15" t="n">
        <v>0.70468</v>
      </c>
      <c r="AN126" s="15" t="n">
        <v>-0.45205</v>
      </c>
      <c r="AO126" s="15" t="n">
        <v>0.25083</v>
      </c>
      <c r="AP126" s="15" t="n">
        <v>0.26966</v>
      </c>
      <c r="AQ126" s="15" t="n">
        <v>0.37886</v>
      </c>
      <c r="AR126" s="15" t="n">
        <v>1.0278</v>
      </c>
      <c r="AS126" s="15" t="n">
        <v>0.036312</v>
      </c>
      <c r="AT126" s="15" t="n">
        <v>-1.1122</v>
      </c>
      <c r="AU126" s="15" t="n">
        <v>-0.58077</v>
      </c>
      <c r="AV126" s="15" t="n">
        <v>0.55683</v>
      </c>
      <c r="AW126" s="15" t="n">
        <v>0.44033</v>
      </c>
      <c r="AX126" s="15" t="n">
        <v>-0.115</v>
      </c>
      <c r="AY126" s="15" t="n">
        <v>-0.83039</v>
      </c>
      <c r="AZ126" s="15" t="n">
        <v>-0.2712</v>
      </c>
      <c r="BA126" s="15" t="n">
        <v>-0.53125</v>
      </c>
      <c r="BB126" s="15" t="n">
        <v>-0.69704</v>
      </c>
      <c r="BC126" s="15" t="n">
        <v>0.24354</v>
      </c>
      <c r="BD126" s="15" t="n">
        <v>-0.81694</v>
      </c>
      <c r="BE126" s="15" t="n">
        <v>-1.0579</v>
      </c>
      <c r="BF126" s="15" t="n">
        <v>0.37278</v>
      </c>
      <c r="BG126" s="15" t="n">
        <v>-0.51441</v>
      </c>
      <c r="BH126" s="15" t="n">
        <v>0.27072</v>
      </c>
      <c r="BI126" s="15" t="n">
        <v>-0.39034</v>
      </c>
      <c r="BJ126" s="15" t="n">
        <v>0.97434</v>
      </c>
      <c r="BK126" s="15" t="n">
        <v>1.0882</v>
      </c>
      <c r="BL126" s="15" t="n">
        <v>-0.43499</v>
      </c>
      <c r="BM126" s="15" t="n">
        <v>-0.3113</v>
      </c>
      <c r="BN126" s="15" t="n">
        <v>-0.36371</v>
      </c>
      <c r="BO126" s="15" t="n">
        <v>0.060856</v>
      </c>
      <c r="BP126" s="15" t="n">
        <v>0.070201</v>
      </c>
      <c r="BQ126" s="15" t="n">
        <v>-0.10556</v>
      </c>
      <c r="BR126" s="15" t="n">
        <v>-0.40998</v>
      </c>
      <c r="BS126" s="15" t="n">
        <v>0.54331</v>
      </c>
      <c r="BT126" s="15" t="n">
        <v>0.75929</v>
      </c>
      <c r="BU126" s="15" t="n">
        <v>0.02214</v>
      </c>
      <c r="BV126" s="15" t="n">
        <v>-0.049576</v>
      </c>
      <c r="BW126" s="15" t="n">
        <v>-0.26854</v>
      </c>
      <c r="BX126" s="15" t="n">
        <v>0.075783</v>
      </c>
      <c r="BY126" s="15" t="n">
        <v>0.30737</v>
      </c>
      <c r="BZ126" s="15" t="n">
        <v>-0.070718</v>
      </c>
      <c r="CA126" s="15" t="n">
        <v>0.57909</v>
      </c>
      <c r="CB126" s="15" t="n">
        <v>0.49143</v>
      </c>
      <c r="CC126" s="15" t="n">
        <v>-0.42173</v>
      </c>
      <c r="CD126" s="15" t="n">
        <v>-1.6478</v>
      </c>
      <c r="CE126" s="15" t="n">
        <v>-1.2918</v>
      </c>
      <c r="CF126" s="15" t="n">
        <v>-0.087643</v>
      </c>
      <c r="CG126" s="15" t="n">
        <v>0.32832</v>
      </c>
      <c r="CH126" s="15" t="n">
        <v>-0.61929</v>
      </c>
      <c r="CI126" s="15" t="n">
        <v>-0.22913</v>
      </c>
      <c r="CJ126" s="15" t="n">
        <v>0.87224</v>
      </c>
      <c r="CK126" s="15" t="n">
        <v>0.14641</v>
      </c>
      <c r="CL126" s="15" t="n">
        <v>-0.83214</v>
      </c>
      <c r="CM126" s="15" t="n">
        <v>-0.29503</v>
      </c>
      <c r="CN126" s="15" t="n">
        <v>0.21797</v>
      </c>
      <c r="CO126" s="15" t="n">
        <v>0.45899</v>
      </c>
      <c r="CP126" s="15" t="n">
        <v>-0.75687</v>
      </c>
      <c r="CQ126" s="15" t="n">
        <v>0.087389</v>
      </c>
      <c r="CR126" s="15" t="n">
        <v>-0.21548</v>
      </c>
      <c r="CS126" s="15" t="n">
        <v>0.081946</v>
      </c>
      <c r="CT126" s="15" t="n">
        <v>-0.041107</v>
      </c>
      <c r="CU126" s="15" t="n">
        <v>-0.039841</v>
      </c>
      <c r="CV126" s="15" t="n">
        <v>0.16782</v>
      </c>
      <c r="CW126" s="15" t="n">
        <v>0.31401</v>
      </c>
      <c r="CX126" s="15" t="n">
        <v>0.44086</v>
      </c>
      <c r="CY126" s="15" t="n">
        <v>-0.061522</v>
      </c>
    </row>
    <row r="127" customFormat="false" ht="15" hidden="false" customHeight="false" outlineLevel="0" collapsed="false">
      <c r="A127" s="4" t="s">
        <v>134</v>
      </c>
      <c r="B127" s="2" t="n">
        <f aca="false">COUNTIF('1.3 TF-IDF coseno'!$M$10:$M$123,A127)</f>
        <v>0</v>
      </c>
      <c r="C127" s="2" t="n">
        <f aca="false">COUNTIF('1.3 TF-IDF coseno'!$N$10:$N$102,A127)</f>
        <v>1</v>
      </c>
      <c r="D127" s="15" t="n">
        <v>0.36995</v>
      </c>
      <c r="E127" s="15" t="n">
        <v>-0.14066</v>
      </c>
      <c r="F127" s="15" t="n">
        <v>0.098247</v>
      </c>
      <c r="G127" s="15" t="n">
        <v>1.0857</v>
      </c>
      <c r="H127" s="15" t="n">
        <v>0.13356</v>
      </c>
      <c r="I127" s="15" t="n">
        <v>-0.15854</v>
      </c>
      <c r="J127" s="15" t="n">
        <v>-0.14761</v>
      </c>
      <c r="K127" s="15" t="n">
        <v>-0.50766</v>
      </c>
      <c r="L127" s="15" t="n">
        <v>-0.046945</v>
      </c>
      <c r="M127" s="15" t="n">
        <v>-0.34632</v>
      </c>
      <c r="N127" s="15" t="n">
        <v>-0.58107</v>
      </c>
      <c r="O127" s="15" t="n">
        <v>0.23715</v>
      </c>
      <c r="P127" s="15" t="n">
        <v>0.74887</v>
      </c>
      <c r="Q127" s="15" t="n">
        <v>-0.0075983</v>
      </c>
      <c r="R127" s="15" t="n">
        <v>-0.36929</v>
      </c>
      <c r="S127" s="15" t="n">
        <v>-0.77848</v>
      </c>
      <c r="T127" s="15" t="n">
        <v>0.15855</v>
      </c>
      <c r="U127" s="15" t="n">
        <v>0.55488</v>
      </c>
      <c r="V127" s="15" t="n">
        <v>-0.61329</v>
      </c>
      <c r="W127" s="15" t="n">
        <v>-0.46554</v>
      </c>
      <c r="X127" s="15" t="n">
        <v>0.34328</v>
      </c>
      <c r="Y127" s="15" t="n">
        <v>-0.45412</v>
      </c>
      <c r="Z127" s="15" t="n">
        <v>-0.41445</v>
      </c>
      <c r="AA127" s="15" t="n">
        <v>-0.4029</v>
      </c>
      <c r="AB127" s="15" t="n">
        <v>0.63746</v>
      </c>
      <c r="AC127" s="15" t="n">
        <v>-0.20406</v>
      </c>
      <c r="AD127" s="15" t="n">
        <v>0.11971</v>
      </c>
      <c r="AE127" s="15" t="n">
        <v>-0.52772</v>
      </c>
      <c r="AF127" s="15" t="n">
        <v>-0.34866</v>
      </c>
      <c r="AG127" s="15" t="n">
        <v>-0.17881</v>
      </c>
      <c r="AH127" s="15" t="n">
        <v>-0.31255</v>
      </c>
      <c r="AI127" s="15" t="n">
        <v>0.84355</v>
      </c>
      <c r="AJ127" s="15" t="n">
        <v>-0.05624</v>
      </c>
      <c r="AK127" s="15" t="n">
        <v>0.04837</v>
      </c>
      <c r="AL127" s="15" t="n">
        <v>0.011313</v>
      </c>
      <c r="AM127" s="15" t="n">
        <v>0.38185</v>
      </c>
      <c r="AN127" s="15" t="n">
        <v>0.85607</v>
      </c>
      <c r="AO127" s="15" t="n">
        <v>-0.034057</v>
      </c>
      <c r="AP127" s="15" t="n">
        <v>-0.29068</v>
      </c>
      <c r="AQ127" s="15" t="n">
        <v>-0.9541</v>
      </c>
      <c r="AR127" s="15" t="n">
        <v>-0.63139</v>
      </c>
      <c r="AS127" s="15" t="n">
        <v>0.27295</v>
      </c>
      <c r="AT127" s="15" t="n">
        <v>0.90037</v>
      </c>
      <c r="AU127" s="15" t="n">
        <v>0.048795</v>
      </c>
      <c r="AV127" s="15" t="n">
        <v>-0.87488</v>
      </c>
      <c r="AW127" s="15" t="n">
        <v>-0.50538</v>
      </c>
      <c r="AX127" s="15" t="n">
        <v>-0.085063</v>
      </c>
      <c r="AY127" s="15" t="n">
        <v>-0.04262</v>
      </c>
      <c r="AZ127" s="15" t="n">
        <v>-1.2816</v>
      </c>
      <c r="BA127" s="15" t="n">
        <v>-0.45227</v>
      </c>
      <c r="BB127" s="15" t="n">
        <v>0.5765</v>
      </c>
      <c r="BC127" s="15" t="n">
        <v>0.086143</v>
      </c>
      <c r="BD127" s="15" t="n">
        <v>0.11955</v>
      </c>
      <c r="BE127" s="15" t="n">
        <v>1.1632</v>
      </c>
      <c r="BF127" s="15" t="n">
        <v>-0.23422</v>
      </c>
      <c r="BG127" s="15" t="n">
        <v>-1.1197</v>
      </c>
      <c r="BH127" s="15" t="n">
        <v>1.1157</v>
      </c>
      <c r="BI127" s="15" t="n">
        <v>-0.22308</v>
      </c>
      <c r="BJ127" s="15" t="n">
        <v>1.387</v>
      </c>
      <c r="BK127" s="15" t="n">
        <v>0.14888</v>
      </c>
      <c r="BL127" s="15" t="n">
        <v>0.34773</v>
      </c>
      <c r="BM127" s="15" t="n">
        <v>-0.92015</v>
      </c>
      <c r="BN127" s="15" t="n">
        <v>-0.47588</v>
      </c>
      <c r="BO127" s="15" t="n">
        <v>-0.14944</v>
      </c>
      <c r="BP127" s="15" t="n">
        <v>0.91013</v>
      </c>
      <c r="BQ127" s="15" t="n">
        <v>0.18367</v>
      </c>
      <c r="BR127" s="15" t="n">
        <v>-0.53453</v>
      </c>
      <c r="BS127" s="15" t="n">
        <v>0.37715</v>
      </c>
      <c r="BT127" s="15" t="n">
        <v>-0.54614</v>
      </c>
      <c r="BU127" s="15" t="n">
        <v>-0.60461</v>
      </c>
      <c r="BV127" s="15" t="n">
        <v>0.01403</v>
      </c>
      <c r="BW127" s="15" t="n">
        <v>-0.2503</v>
      </c>
      <c r="BX127" s="15" t="n">
        <v>0.35255</v>
      </c>
      <c r="BY127" s="15" t="n">
        <v>-0.17765</v>
      </c>
      <c r="BZ127" s="15" t="n">
        <v>0.018476</v>
      </c>
      <c r="CA127" s="15" t="n">
        <v>-0.15625</v>
      </c>
      <c r="CB127" s="15" t="n">
        <v>-0.081929</v>
      </c>
      <c r="CC127" s="15" t="n">
        <v>-0.51099</v>
      </c>
      <c r="CD127" s="15" t="n">
        <v>-0.84593</v>
      </c>
      <c r="CE127" s="15" t="n">
        <v>-0.021737</v>
      </c>
      <c r="CF127" s="15" t="n">
        <v>0.15262</v>
      </c>
      <c r="CG127" s="15" t="n">
        <v>0.24386</v>
      </c>
      <c r="CH127" s="15" t="n">
        <v>-0.34626</v>
      </c>
      <c r="CI127" s="15" t="n">
        <v>-0.00021272</v>
      </c>
      <c r="CJ127" s="15" t="n">
        <v>-0.81306</v>
      </c>
      <c r="CK127" s="15" t="n">
        <v>0.94122</v>
      </c>
      <c r="CL127" s="15" t="n">
        <v>0.2594</v>
      </c>
      <c r="CM127" s="15" t="n">
        <v>0.048883</v>
      </c>
      <c r="CN127" s="15" t="n">
        <v>0.29311</v>
      </c>
      <c r="CO127" s="15" t="n">
        <v>-0.24935</v>
      </c>
      <c r="CP127" s="15" t="n">
        <v>-0.73337</v>
      </c>
      <c r="CQ127" s="15" t="n">
        <v>-0.15133</v>
      </c>
      <c r="CR127" s="15" t="n">
        <v>-0.52224</v>
      </c>
      <c r="CS127" s="15" t="n">
        <v>0.40199</v>
      </c>
      <c r="CT127" s="15" t="n">
        <v>0.22182</v>
      </c>
      <c r="CU127" s="15" t="n">
        <v>0.235</v>
      </c>
      <c r="CV127" s="15" t="n">
        <v>-0.40419</v>
      </c>
      <c r="CW127" s="15" t="n">
        <v>-1.0259</v>
      </c>
      <c r="CX127" s="15" t="n">
        <v>0.50827</v>
      </c>
      <c r="CY127" s="15" t="n">
        <v>0.66603</v>
      </c>
    </row>
    <row r="128" customFormat="false" ht="15" hidden="false" customHeight="false" outlineLevel="0" collapsed="false">
      <c r="A128" s="4" t="s">
        <v>136</v>
      </c>
      <c r="B128" s="2" t="n">
        <f aca="false">COUNTIF('1.3 TF-IDF coseno'!$M$10:$M$123,A128)</f>
        <v>0</v>
      </c>
      <c r="C128" s="2" t="n">
        <f aca="false">COUNTIF('1.3 TF-IDF coseno'!$N$10:$N$102,A128)</f>
        <v>1</v>
      </c>
      <c r="D128" s="15" t="n">
        <v>0.12003</v>
      </c>
      <c r="E128" s="15" t="n">
        <v>0.6253</v>
      </c>
      <c r="F128" s="15" t="n">
        <v>0.11285</v>
      </c>
      <c r="G128" s="15" t="n">
        <v>0.21533</v>
      </c>
      <c r="H128" s="15" t="n">
        <v>0.32935</v>
      </c>
      <c r="I128" s="15" t="n">
        <v>-0.46874</v>
      </c>
      <c r="J128" s="15" t="n">
        <v>-0.53659</v>
      </c>
      <c r="K128" s="15" t="n">
        <v>-0.38593</v>
      </c>
      <c r="L128" s="15" t="n">
        <v>0.54885</v>
      </c>
      <c r="M128" s="15" t="n">
        <v>-0.20078</v>
      </c>
      <c r="N128" s="15" t="n">
        <v>-0.49026</v>
      </c>
      <c r="O128" s="15" t="n">
        <v>-0.16509</v>
      </c>
      <c r="P128" s="15" t="n">
        <v>-0.47184</v>
      </c>
      <c r="Q128" s="15" t="n">
        <v>0.049253</v>
      </c>
      <c r="R128" s="15" t="n">
        <v>-0.30277</v>
      </c>
      <c r="S128" s="15" t="n">
        <v>-0.014393</v>
      </c>
      <c r="T128" s="15" t="n">
        <v>-0.11257</v>
      </c>
      <c r="U128" s="15" t="n">
        <v>0.26413</v>
      </c>
      <c r="V128" s="15" t="n">
        <v>-0.30773</v>
      </c>
      <c r="W128" s="15" t="n">
        <v>0.20426</v>
      </c>
      <c r="X128" s="15" t="n">
        <v>0.25735</v>
      </c>
      <c r="Y128" s="15" t="n">
        <v>-0.29242</v>
      </c>
      <c r="Z128" s="15" t="n">
        <v>0.15812</v>
      </c>
      <c r="AA128" s="15" t="n">
        <v>-0.065188</v>
      </c>
      <c r="AB128" s="15" t="n">
        <v>0.0018547</v>
      </c>
      <c r="AC128" s="15" t="n">
        <v>0.12378</v>
      </c>
      <c r="AD128" s="15" t="n">
        <v>-0.40121</v>
      </c>
      <c r="AE128" s="15" t="n">
        <v>-0.94723</v>
      </c>
      <c r="AF128" s="15" t="n">
        <v>-0.54323</v>
      </c>
      <c r="AG128" s="15" t="n">
        <v>0.080411</v>
      </c>
      <c r="AH128" s="15" t="n">
        <v>0.059087</v>
      </c>
      <c r="AI128" s="15" t="n">
        <v>1.2764</v>
      </c>
      <c r="AJ128" s="15" t="n">
        <v>-0.56381</v>
      </c>
      <c r="AK128" s="15" t="n">
        <v>-0.031032</v>
      </c>
      <c r="AL128" s="15" t="n">
        <v>0.014459</v>
      </c>
      <c r="AM128" s="15" t="n">
        <v>-0.0032432</v>
      </c>
      <c r="AN128" s="15" t="n">
        <v>0.43583</v>
      </c>
      <c r="AO128" s="15" t="n">
        <v>0.086017</v>
      </c>
      <c r="AP128" s="15" t="n">
        <v>-0.23166</v>
      </c>
      <c r="AQ128" s="15" t="n">
        <v>-0.28168</v>
      </c>
      <c r="AR128" s="15" t="n">
        <v>-0.9639</v>
      </c>
      <c r="AS128" s="15" t="n">
        <v>0.22613</v>
      </c>
      <c r="AT128" s="15" t="n">
        <v>0.0092357</v>
      </c>
      <c r="AU128" s="15" t="n">
        <v>0.19286</v>
      </c>
      <c r="AV128" s="15" t="n">
        <v>-0.68531</v>
      </c>
      <c r="AW128" s="15" t="n">
        <v>-0.83132</v>
      </c>
      <c r="AX128" s="15" t="n">
        <v>0.59351</v>
      </c>
      <c r="AY128" s="15" t="n">
        <v>-0.26357</v>
      </c>
      <c r="AZ128" s="15" t="n">
        <v>-0.51573</v>
      </c>
      <c r="BA128" s="15" t="n">
        <v>0.10339</v>
      </c>
      <c r="BB128" s="15" t="n">
        <v>0.91851</v>
      </c>
      <c r="BC128" s="15" t="n">
        <v>-0.16048</v>
      </c>
      <c r="BD128" s="15" t="n">
        <v>0.20752</v>
      </c>
      <c r="BE128" s="15" t="n">
        <v>0.50017</v>
      </c>
      <c r="BF128" s="15" t="n">
        <v>-0.1744</v>
      </c>
      <c r="BG128" s="15" t="n">
        <v>-0.95682</v>
      </c>
      <c r="BH128" s="15" t="n">
        <v>0.36161</v>
      </c>
      <c r="BI128" s="15" t="n">
        <v>-0.41938</v>
      </c>
      <c r="BJ128" s="15" t="n">
        <v>0.18771</v>
      </c>
      <c r="BK128" s="15" t="n">
        <v>0.22618</v>
      </c>
      <c r="BL128" s="15" t="n">
        <v>0.28405</v>
      </c>
      <c r="BM128" s="15" t="n">
        <v>-0.46144</v>
      </c>
      <c r="BN128" s="15" t="n">
        <v>0.42874</v>
      </c>
      <c r="BO128" s="15" t="n">
        <v>-0.36611</v>
      </c>
      <c r="BP128" s="15" t="n">
        <v>0.92482</v>
      </c>
      <c r="BQ128" s="15" t="n">
        <v>-0.2121</v>
      </c>
      <c r="BR128" s="15" t="n">
        <v>0.094385</v>
      </c>
      <c r="BS128" s="15" t="n">
        <v>0.39653</v>
      </c>
      <c r="BT128" s="15" t="n">
        <v>-0.1721</v>
      </c>
      <c r="BU128" s="15" t="n">
        <v>0.21687</v>
      </c>
      <c r="BV128" s="15" t="n">
        <v>0.44151</v>
      </c>
      <c r="BW128" s="15" t="n">
        <v>0.24722</v>
      </c>
      <c r="BX128" s="15" t="n">
        <v>0.073922</v>
      </c>
      <c r="BY128" s="15" t="n">
        <v>0.0043375</v>
      </c>
      <c r="BZ128" s="15" t="n">
        <v>0.076652</v>
      </c>
      <c r="CA128" s="15" t="n">
        <v>-0.63774</v>
      </c>
      <c r="CB128" s="15" t="n">
        <v>0.052945</v>
      </c>
      <c r="CC128" s="15" t="n">
        <v>-0.065361</v>
      </c>
      <c r="CD128" s="15" t="n">
        <v>-0.92229</v>
      </c>
      <c r="CE128" s="15" t="n">
        <v>0.32639</v>
      </c>
      <c r="CF128" s="15" t="n">
        <v>0.28232</v>
      </c>
      <c r="CG128" s="15" t="n">
        <v>-0.02265</v>
      </c>
      <c r="CH128" s="15" t="n">
        <v>-0.60745</v>
      </c>
      <c r="CI128" s="15" t="n">
        <v>-0.23649</v>
      </c>
      <c r="CJ128" s="15" t="n">
        <v>-0.75323</v>
      </c>
      <c r="CK128" s="15" t="n">
        <v>-0.24794</v>
      </c>
      <c r="CL128" s="15" t="n">
        <v>-0.29045</v>
      </c>
      <c r="CM128" s="15" t="n">
        <v>-0.41178</v>
      </c>
      <c r="CN128" s="15" t="n">
        <v>-0.068276</v>
      </c>
      <c r="CO128" s="15" t="n">
        <v>-0.17871</v>
      </c>
      <c r="CP128" s="15" t="n">
        <v>0.25212</v>
      </c>
      <c r="CQ128" s="15" t="n">
        <v>-0.58592</v>
      </c>
      <c r="CR128" s="15" t="n">
        <v>0.20486</v>
      </c>
      <c r="CS128" s="15" t="n">
        <v>-0.1015</v>
      </c>
      <c r="CT128" s="15" t="n">
        <v>0.34369</v>
      </c>
      <c r="CU128" s="15" t="n">
        <v>0.24711</v>
      </c>
      <c r="CV128" s="15" t="n">
        <v>-0.21133</v>
      </c>
      <c r="CW128" s="15" t="n">
        <v>-0.30066</v>
      </c>
      <c r="CX128" s="15" t="n">
        <v>-0.029222</v>
      </c>
      <c r="CY128" s="15" t="n">
        <v>0.55937</v>
      </c>
    </row>
    <row r="129" customFormat="false" ht="15" hidden="false" customHeight="false" outlineLevel="0" collapsed="false">
      <c r="A129" s="4" t="s">
        <v>137</v>
      </c>
      <c r="B129" s="2" t="n">
        <f aca="false">COUNTIF('1.3 TF-IDF coseno'!$M$10:$M$123,A129)</f>
        <v>0</v>
      </c>
      <c r="C129" s="2" t="n">
        <f aca="false">COUNTIF('1.3 TF-IDF coseno'!$N$10:$N$102,A129)</f>
        <v>1</v>
      </c>
      <c r="D129" s="15" t="n">
        <v>-0.68381</v>
      </c>
      <c r="E129" s="15" t="n">
        <v>0.76694</v>
      </c>
      <c r="F129" s="15" t="n">
        <v>-0.40511</v>
      </c>
      <c r="G129" s="15" t="n">
        <v>-0.026917</v>
      </c>
      <c r="H129" s="15" t="n">
        <v>0.15135</v>
      </c>
      <c r="I129" s="15" t="n">
        <v>-1.027</v>
      </c>
      <c r="J129" s="15" t="n">
        <v>-0.22252</v>
      </c>
      <c r="K129" s="15" t="n">
        <v>-0.21637</v>
      </c>
      <c r="L129" s="15" t="n">
        <v>0.37326</v>
      </c>
      <c r="M129" s="15" t="n">
        <v>0.036145</v>
      </c>
      <c r="N129" s="15" t="n">
        <v>0.60848</v>
      </c>
      <c r="O129" s="15" t="n">
        <v>-0.98233</v>
      </c>
      <c r="P129" s="15" t="n">
        <v>0.090094</v>
      </c>
      <c r="Q129" s="15" t="n">
        <v>0.0066982</v>
      </c>
      <c r="R129" s="15" t="n">
        <v>-0.0019611</v>
      </c>
      <c r="S129" s="15" t="n">
        <v>0.32577</v>
      </c>
      <c r="T129" s="15" t="n">
        <v>0.55609</v>
      </c>
      <c r="U129" s="15" t="n">
        <v>0.53144</v>
      </c>
      <c r="V129" s="15" t="n">
        <v>-0.90244</v>
      </c>
      <c r="W129" s="15" t="n">
        <v>0.25927</v>
      </c>
      <c r="X129" s="15" t="n">
        <v>-0.23057</v>
      </c>
      <c r="Y129" s="15" t="n">
        <v>-0.24809</v>
      </c>
      <c r="Z129" s="15" t="n">
        <v>0.33146</v>
      </c>
      <c r="AA129" s="15" t="n">
        <v>-0.08638</v>
      </c>
      <c r="AB129" s="15" t="n">
        <v>0.050168</v>
      </c>
      <c r="AC129" s="15" t="n">
        <v>-0.45644</v>
      </c>
      <c r="AD129" s="15" t="n">
        <v>0.048126</v>
      </c>
      <c r="AE129" s="15" t="n">
        <v>0.18218</v>
      </c>
      <c r="AF129" s="15" t="n">
        <v>-1.1243</v>
      </c>
      <c r="AG129" s="15" t="n">
        <v>-0.060542</v>
      </c>
      <c r="AH129" s="15" t="n">
        <v>0.16491</v>
      </c>
      <c r="AI129" s="15" t="n">
        <v>0.36247</v>
      </c>
      <c r="AJ129" s="15" t="n">
        <v>-0.97837</v>
      </c>
      <c r="AK129" s="15" t="n">
        <v>-0.24743</v>
      </c>
      <c r="AL129" s="15" t="n">
        <v>0.48625</v>
      </c>
      <c r="AM129" s="15" t="n">
        <v>-0.31142</v>
      </c>
      <c r="AN129" s="15" t="n">
        <v>-0.40255</v>
      </c>
      <c r="AO129" s="15" t="n">
        <v>-0.57592</v>
      </c>
      <c r="AP129" s="15" t="n">
        <v>0.65268</v>
      </c>
      <c r="AQ129" s="15" t="n">
        <v>-0.73182</v>
      </c>
      <c r="AR129" s="15" t="n">
        <v>-0.4504</v>
      </c>
      <c r="AS129" s="15" t="n">
        <v>-0.23504</v>
      </c>
      <c r="AT129" s="15" t="n">
        <v>-0.27468</v>
      </c>
      <c r="AU129" s="15" t="n">
        <v>-0.49294</v>
      </c>
      <c r="AV129" s="15" t="n">
        <v>-1.2208</v>
      </c>
      <c r="AW129" s="15" t="n">
        <v>0.027744</v>
      </c>
      <c r="AX129" s="15" t="n">
        <v>-0.22464</v>
      </c>
      <c r="AY129" s="15" t="n">
        <v>0.048868</v>
      </c>
      <c r="AZ129" s="15" t="n">
        <v>-0.096039</v>
      </c>
      <c r="BA129" s="15" t="n">
        <v>-0.42034</v>
      </c>
      <c r="BB129" s="15" t="n">
        <v>0.10311</v>
      </c>
      <c r="BC129" s="15" t="n">
        <v>0.28294</v>
      </c>
      <c r="BD129" s="15" t="n">
        <v>-0.5542</v>
      </c>
      <c r="BE129" s="15" t="n">
        <v>0.76726</v>
      </c>
      <c r="BF129" s="15" t="n">
        <v>0.30671</v>
      </c>
      <c r="BG129" s="15" t="n">
        <v>-0.81369</v>
      </c>
      <c r="BH129" s="15" t="n">
        <v>-0.19971</v>
      </c>
      <c r="BI129" s="15" t="n">
        <v>-0.30476</v>
      </c>
      <c r="BJ129" s="15" t="n">
        <v>1.0916</v>
      </c>
      <c r="BK129" s="15" t="n">
        <v>0.11608</v>
      </c>
      <c r="BL129" s="15" t="n">
        <v>-0.019766</v>
      </c>
      <c r="BM129" s="15" t="n">
        <v>0.59759</v>
      </c>
      <c r="BN129" s="15" t="n">
        <v>-0.30958</v>
      </c>
      <c r="BO129" s="15" t="n">
        <v>0.70442</v>
      </c>
      <c r="BP129" s="15" t="n">
        <v>0.41271</v>
      </c>
      <c r="BQ129" s="15" t="n">
        <v>-0.10112</v>
      </c>
      <c r="BR129" s="15" t="n">
        <v>0.11475</v>
      </c>
      <c r="BS129" s="15" t="n">
        <v>-0.46431</v>
      </c>
      <c r="BT129" s="15" t="n">
        <v>0.81326</v>
      </c>
      <c r="BU129" s="15" t="n">
        <v>-0.47045</v>
      </c>
      <c r="BV129" s="15" t="n">
        <v>-0.24566</v>
      </c>
      <c r="BW129" s="15" t="n">
        <v>0.38604</v>
      </c>
      <c r="BX129" s="15" t="n">
        <v>0.17435</v>
      </c>
      <c r="BY129" s="15" t="n">
        <v>-0.075189</v>
      </c>
      <c r="BZ129" s="15" t="n">
        <v>0.090477</v>
      </c>
      <c r="CA129" s="15" t="n">
        <v>0.13697</v>
      </c>
      <c r="CB129" s="15" t="n">
        <v>-0.47489</v>
      </c>
      <c r="CC129" s="15" t="n">
        <v>0.7577</v>
      </c>
      <c r="CD129" s="15" t="n">
        <v>-0.412</v>
      </c>
      <c r="CE129" s="15" t="n">
        <v>-0.024784</v>
      </c>
      <c r="CF129" s="15" t="n">
        <v>0.95147</v>
      </c>
      <c r="CG129" s="15" t="n">
        <v>0.25434</v>
      </c>
      <c r="CH129" s="15" t="n">
        <v>-0.67116</v>
      </c>
      <c r="CI129" s="15" t="n">
        <v>-0.24998</v>
      </c>
      <c r="CJ129" s="15" t="n">
        <v>-1.5064</v>
      </c>
      <c r="CK129" s="15" t="n">
        <v>1.059</v>
      </c>
      <c r="CL129" s="15" t="n">
        <v>0.90035</v>
      </c>
      <c r="CM129" s="15" t="n">
        <v>0.13008</v>
      </c>
      <c r="CN129" s="15" t="n">
        <v>-0.54908</v>
      </c>
      <c r="CO129" s="15" t="n">
        <v>-0.063696</v>
      </c>
      <c r="CP129" s="15" t="n">
        <v>0.058874</v>
      </c>
      <c r="CQ129" s="15" t="n">
        <v>-0.0025955</v>
      </c>
      <c r="CR129" s="15" t="n">
        <v>1.0117</v>
      </c>
      <c r="CS129" s="15" t="n">
        <v>0.1433</v>
      </c>
      <c r="CT129" s="15" t="n">
        <v>0.20803</v>
      </c>
      <c r="CU129" s="15" t="n">
        <v>-0.89674</v>
      </c>
      <c r="CV129" s="15" t="n">
        <v>-0.67409</v>
      </c>
      <c r="CW129" s="15" t="n">
        <v>-0.85609</v>
      </c>
      <c r="CX129" s="15" t="n">
        <v>1.445</v>
      </c>
      <c r="CY129" s="15" t="n">
        <v>0.71612</v>
      </c>
    </row>
    <row r="130" customFormat="false" ht="15" hidden="false" customHeight="false" outlineLevel="0" collapsed="false">
      <c r="A130" s="4" t="s">
        <v>138</v>
      </c>
      <c r="B130" s="2" t="n">
        <f aca="false">COUNTIF('1.3 TF-IDF coseno'!$M$10:$M$123,A130)</f>
        <v>0</v>
      </c>
      <c r="C130" s="2" t="n">
        <f aca="false">COUNTIF('1.3 TF-IDF coseno'!$N$10:$N$102,A130)</f>
        <v>1</v>
      </c>
      <c r="D130" s="15" t="n">
        <v>-0.20352</v>
      </c>
      <c r="E130" s="15" t="n">
        <v>0.69565</v>
      </c>
      <c r="F130" s="15" t="n">
        <v>0.29564</v>
      </c>
      <c r="G130" s="15" t="n">
        <v>-0.10232</v>
      </c>
      <c r="H130" s="15" t="n">
        <v>0.40913</v>
      </c>
      <c r="I130" s="15" t="n">
        <v>0.052651</v>
      </c>
      <c r="J130" s="15" t="n">
        <v>0.29976</v>
      </c>
      <c r="K130" s="15" t="n">
        <v>-0.83286</v>
      </c>
      <c r="L130" s="15" t="n">
        <v>0.052331</v>
      </c>
      <c r="M130" s="15" t="n">
        <v>-0.55772</v>
      </c>
      <c r="N130" s="15" t="n">
        <v>0.091792</v>
      </c>
      <c r="O130" s="15" t="n">
        <v>0.66954</v>
      </c>
      <c r="P130" s="15" t="n">
        <v>0.25377</v>
      </c>
      <c r="Q130" s="15" t="n">
        <v>0.18988</v>
      </c>
      <c r="R130" s="15" t="n">
        <v>-0.1555</v>
      </c>
      <c r="S130" s="15" t="n">
        <v>-0.49896</v>
      </c>
      <c r="T130" s="15" t="n">
        <v>0.26152</v>
      </c>
      <c r="U130" s="15" t="n">
        <v>0.3113</v>
      </c>
      <c r="V130" s="15" t="n">
        <v>0.1138</v>
      </c>
      <c r="W130" s="15" t="n">
        <v>-0.36702</v>
      </c>
      <c r="X130" s="15" t="n">
        <v>-0.28729</v>
      </c>
      <c r="Y130" s="15" t="n">
        <v>-0.24696</v>
      </c>
      <c r="Z130" s="15" t="n">
        <v>-0.036225</v>
      </c>
      <c r="AA130" s="15" t="n">
        <v>0.23848</v>
      </c>
      <c r="AB130" s="15" t="n">
        <v>-0.38356</v>
      </c>
      <c r="AC130" s="15" t="n">
        <v>-0.1951</v>
      </c>
      <c r="AD130" s="15" t="n">
        <v>0.17484</v>
      </c>
      <c r="AE130" s="15" t="n">
        <v>-0.058289</v>
      </c>
      <c r="AF130" s="15" t="n">
        <v>0.48367</v>
      </c>
      <c r="AG130" s="15" t="n">
        <v>-0.076026</v>
      </c>
      <c r="AH130" s="15" t="n">
        <v>-0.012461</v>
      </c>
      <c r="AI130" s="15" t="n">
        <v>-0.2877</v>
      </c>
      <c r="AJ130" s="15" t="n">
        <v>-0.4018</v>
      </c>
      <c r="AK130" s="15" t="n">
        <v>-0.64604</v>
      </c>
      <c r="AL130" s="15" t="n">
        <v>0.22708</v>
      </c>
      <c r="AM130" s="15" t="n">
        <v>0.27766</v>
      </c>
      <c r="AN130" s="15" t="n">
        <v>0.089389</v>
      </c>
      <c r="AO130" s="15" t="n">
        <v>-0.73634</v>
      </c>
      <c r="AP130" s="15" t="n">
        <v>-0.041792</v>
      </c>
      <c r="AQ130" s="15" t="n">
        <v>-0.096201</v>
      </c>
      <c r="AR130" s="15" t="n">
        <v>-0.52656</v>
      </c>
      <c r="AS130" s="15" t="n">
        <v>0.21753</v>
      </c>
      <c r="AT130" s="15" t="n">
        <v>-0.2642</v>
      </c>
      <c r="AU130" s="15" t="n">
        <v>-0.018096</v>
      </c>
      <c r="AV130" s="15" t="n">
        <v>-0.19367</v>
      </c>
      <c r="AW130" s="15" t="n">
        <v>0.19292</v>
      </c>
      <c r="AX130" s="15" t="n">
        <v>0.80752</v>
      </c>
      <c r="AY130" s="15" t="n">
        <v>0.68204</v>
      </c>
      <c r="AZ130" s="15" t="n">
        <v>0.007512</v>
      </c>
      <c r="BA130" s="15" t="n">
        <v>-0.79629</v>
      </c>
      <c r="BB130" s="15" t="n">
        <v>-0.19963</v>
      </c>
      <c r="BC130" s="15" t="n">
        <v>-0.43004</v>
      </c>
      <c r="BD130" s="15" t="n">
        <v>0.097699</v>
      </c>
      <c r="BE130" s="15" t="n">
        <v>1.2188</v>
      </c>
      <c r="BF130" s="15" t="n">
        <v>0.97031</v>
      </c>
      <c r="BG130" s="15" t="n">
        <v>-1.3041</v>
      </c>
      <c r="BH130" s="15" t="n">
        <v>-0.16204</v>
      </c>
      <c r="BI130" s="15" t="n">
        <v>-0.17669</v>
      </c>
      <c r="BJ130" s="15" t="n">
        <v>0.70096</v>
      </c>
      <c r="BK130" s="15" t="n">
        <v>0.29283</v>
      </c>
      <c r="BL130" s="15" t="n">
        <v>-0.74338</v>
      </c>
      <c r="BM130" s="15" t="n">
        <v>1.1316</v>
      </c>
      <c r="BN130" s="15" t="n">
        <v>-0.3849</v>
      </c>
      <c r="BO130" s="15" t="n">
        <v>-0.070166</v>
      </c>
      <c r="BP130" s="15" t="n">
        <v>0.95728</v>
      </c>
      <c r="BQ130" s="15" t="n">
        <v>0.51262</v>
      </c>
      <c r="BR130" s="15" t="n">
        <v>0.0034545</v>
      </c>
      <c r="BS130" s="15" t="n">
        <v>0.046082</v>
      </c>
      <c r="BT130" s="15" t="n">
        <v>-0.4108</v>
      </c>
      <c r="BU130" s="15" t="n">
        <v>-0.7196</v>
      </c>
      <c r="BV130" s="15" t="n">
        <v>0.48773</v>
      </c>
      <c r="BW130" s="15" t="n">
        <v>-0.25689</v>
      </c>
      <c r="BX130" s="15" t="n">
        <v>-1.1213</v>
      </c>
      <c r="BY130" s="15" t="n">
        <v>-0.61138</v>
      </c>
      <c r="BZ130" s="15" t="n">
        <v>0.33582</v>
      </c>
      <c r="CA130" s="15" t="n">
        <v>-0.59267</v>
      </c>
      <c r="CB130" s="15" t="n">
        <v>-0.78012</v>
      </c>
      <c r="CC130" s="15" t="n">
        <v>-0.70923</v>
      </c>
      <c r="CD130" s="15" t="n">
        <v>-0.40396</v>
      </c>
      <c r="CE130" s="15" t="n">
        <v>-0.26455</v>
      </c>
      <c r="CF130" s="15" t="n">
        <v>-0.17703</v>
      </c>
      <c r="CG130" s="15" t="n">
        <v>-0.0060943</v>
      </c>
      <c r="CH130" s="15" t="n">
        <v>-0.16785</v>
      </c>
      <c r="CI130" s="15" t="n">
        <v>0.26626</v>
      </c>
      <c r="CJ130" s="15" t="n">
        <v>-0.34393</v>
      </c>
      <c r="CK130" s="15" t="n">
        <v>-0.87329</v>
      </c>
      <c r="CL130" s="15" t="n">
        <v>0.099451</v>
      </c>
      <c r="CM130" s="15" t="n">
        <v>0.242</v>
      </c>
      <c r="CN130" s="15" t="n">
        <v>-0.25377</v>
      </c>
      <c r="CO130" s="15" t="n">
        <v>-0.079575</v>
      </c>
      <c r="CP130" s="15" t="n">
        <v>0.70533</v>
      </c>
      <c r="CQ130" s="15" t="n">
        <v>0.34634</v>
      </c>
      <c r="CR130" s="15" t="n">
        <v>-0.28665</v>
      </c>
      <c r="CS130" s="15" t="n">
        <v>-0.1069</v>
      </c>
      <c r="CT130" s="15" t="n">
        <v>-0.0075718</v>
      </c>
      <c r="CU130" s="15" t="n">
        <v>0.295</v>
      </c>
      <c r="CV130" s="15" t="n">
        <v>0.46744</v>
      </c>
      <c r="CW130" s="15" t="n">
        <v>-0.047575</v>
      </c>
      <c r="CX130" s="15" t="n">
        <v>0.58838</v>
      </c>
      <c r="CY130" s="15" t="n">
        <v>0.11153</v>
      </c>
    </row>
    <row r="131" customFormat="false" ht="15" hidden="false" customHeight="false" outlineLevel="0" collapsed="false">
      <c r="A131" s="4" t="s">
        <v>139</v>
      </c>
      <c r="B131" s="2" t="n">
        <f aca="false">COUNTIF('1.3 TF-IDF coseno'!$M$10:$M$123,A131)</f>
        <v>0</v>
      </c>
      <c r="C131" s="2" t="n">
        <f aca="false">COUNTIF('1.3 TF-IDF coseno'!$N$10:$N$102,A131)</f>
        <v>1</v>
      </c>
      <c r="D131" s="15" t="n">
        <v>-0.36473</v>
      </c>
      <c r="E131" s="15" t="n">
        <v>0.30314</v>
      </c>
      <c r="F131" s="15" t="n">
        <v>0.033146</v>
      </c>
      <c r="G131" s="15" t="n">
        <v>0.42403</v>
      </c>
      <c r="H131" s="15" t="n">
        <v>0.26585</v>
      </c>
      <c r="I131" s="15" t="n">
        <v>-0.083868</v>
      </c>
      <c r="J131" s="15" t="n">
        <v>-0.31494</v>
      </c>
      <c r="K131" s="15" t="n">
        <v>-0.30537</v>
      </c>
      <c r="L131" s="15" t="n">
        <v>0.92738</v>
      </c>
      <c r="M131" s="15" t="n">
        <v>0.5174</v>
      </c>
      <c r="N131" s="15" t="n">
        <v>-0.69424</v>
      </c>
      <c r="O131" s="15" t="n">
        <v>-0.06402</v>
      </c>
      <c r="P131" s="15" t="n">
        <v>-0.0084249</v>
      </c>
      <c r="Q131" s="15" t="n">
        <v>-0.86196</v>
      </c>
      <c r="R131" s="15" t="n">
        <v>0.33782</v>
      </c>
      <c r="S131" s="15" t="n">
        <v>-1.054</v>
      </c>
      <c r="T131" s="15" t="n">
        <v>-0.8338</v>
      </c>
      <c r="U131" s="15" t="n">
        <v>0.88999</v>
      </c>
      <c r="V131" s="15" t="n">
        <v>0.24252</v>
      </c>
      <c r="W131" s="15" t="n">
        <v>0.029883</v>
      </c>
      <c r="X131" s="15" t="n">
        <v>0.019171</v>
      </c>
      <c r="Y131" s="15" t="n">
        <v>0.24538</v>
      </c>
      <c r="Z131" s="15" t="n">
        <v>-0.13777</v>
      </c>
      <c r="AA131" s="15" t="n">
        <v>0.86276</v>
      </c>
      <c r="AB131" s="15" t="n">
        <v>0.62873</v>
      </c>
      <c r="AC131" s="15" t="n">
        <v>0.47601</v>
      </c>
      <c r="AD131" s="15" t="n">
        <v>0.60182</v>
      </c>
      <c r="AE131" s="15" t="n">
        <v>-0.38813</v>
      </c>
      <c r="AF131" s="15" t="n">
        <v>-0.15582</v>
      </c>
      <c r="AG131" s="15" t="n">
        <v>0.20964</v>
      </c>
      <c r="AH131" s="15" t="n">
        <v>0.44786</v>
      </c>
      <c r="AI131" s="15" t="n">
        <v>-0.07861</v>
      </c>
      <c r="AJ131" s="15" t="n">
        <v>0.22987</v>
      </c>
      <c r="AK131" s="15" t="n">
        <v>-0.29877</v>
      </c>
      <c r="AL131" s="15" t="n">
        <v>0.29566</v>
      </c>
      <c r="AM131" s="15" t="n">
        <v>0.63016</v>
      </c>
      <c r="AN131" s="15" t="n">
        <v>0.058812</v>
      </c>
      <c r="AO131" s="15" t="n">
        <v>-0.015937</v>
      </c>
      <c r="AP131" s="15" t="n">
        <v>-0.44802</v>
      </c>
      <c r="AQ131" s="15" t="n">
        <v>-0.26496</v>
      </c>
      <c r="AR131" s="15" t="n">
        <v>0.33752</v>
      </c>
      <c r="AS131" s="15" t="n">
        <v>0.12681</v>
      </c>
      <c r="AT131" s="15" t="n">
        <v>-0.89695</v>
      </c>
      <c r="AU131" s="15" t="n">
        <v>0.080737</v>
      </c>
      <c r="AV131" s="15" t="n">
        <v>0.19855</v>
      </c>
      <c r="AW131" s="15" t="n">
        <v>-0.39093</v>
      </c>
      <c r="AX131" s="15" t="n">
        <v>1.2177</v>
      </c>
      <c r="AY131" s="15" t="n">
        <v>0.46062</v>
      </c>
      <c r="AZ131" s="15" t="n">
        <v>0.8397</v>
      </c>
      <c r="BA131" s="15" t="n">
        <v>-0.48288</v>
      </c>
      <c r="BB131" s="15" t="n">
        <v>0.089505</v>
      </c>
      <c r="BC131" s="15" t="n">
        <v>-0.87947</v>
      </c>
      <c r="BD131" s="15" t="n">
        <v>-0.11966</v>
      </c>
      <c r="BE131" s="15" t="n">
        <v>1.2571</v>
      </c>
      <c r="BF131" s="15" t="n">
        <v>-0.027823</v>
      </c>
      <c r="BG131" s="15" t="n">
        <v>0.12841</v>
      </c>
      <c r="BH131" s="15" t="n">
        <v>0.20428</v>
      </c>
      <c r="BI131" s="15" t="n">
        <v>0.026544</v>
      </c>
      <c r="BJ131" s="15" t="n">
        <v>-0.18783</v>
      </c>
      <c r="BK131" s="15" t="n">
        <v>-0.23627</v>
      </c>
      <c r="BL131" s="15" t="n">
        <v>0.041936</v>
      </c>
      <c r="BM131" s="15" t="n">
        <v>0.53325</v>
      </c>
      <c r="BN131" s="15" t="n">
        <v>-0.22181</v>
      </c>
      <c r="BO131" s="15" t="n">
        <v>-0.14066</v>
      </c>
      <c r="BP131" s="15" t="n">
        <v>0.32223</v>
      </c>
      <c r="BQ131" s="15" t="n">
        <v>0.12354</v>
      </c>
      <c r="BR131" s="15" t="n">
        <v>-0.066488</v>
      </c>
      <c r="BS131" s="15" t="n">
        <v>-0.47922</v>
      </c>
      <c r="BT131" s="15" t="n">
        <v>1.8692</v>
      </c>
      <c r="BU131" s="15" t="n">
        <v>0.78792</v>
      </c>
      <c r="BV131" s="15" t="n">
        <v>0.75514</v>
      </c>
      <c r="BW131" s="15" t="n">
        <v>-0.51182</v>
      </c>
      <c r="BX131" s="15" t="n">
        <v>0.14731</v>
      </c>
      <c r="BY131" s="15" t="n">
        <v>0.051578</v>
      </c>
      <c r="BZ131" s="15" t="n">
        <v>0.65714</v>
      </c>
      <c r="CA131" s="15" t="n">
        <v>-0.27383</v>
      </c>
      <c r="CB131" s="15" t="n">
        <v>-0.50885</v>
      </c>
      <c r="CC131" s="15" t="n">
        <v>-0.99888</v>
      </c>
      <c r="CD131" s="15" t="n">
        <v>0.01636</v>
      </c>
      <c r="CE131" s="15" t="n">
        <v>0.24998</v>
      </c>
      <c r="CF131" s="15" t="n">
        <v>-0.021285</v>
      </c>
      <c r="CG131" s="15" t="n">
        <v>-0.14272</v>
      </c>
      <c r="CH131" s="15" t="n">
        <v>-0.63898</v>
      </c>
      <c r="CI131" s="15" t="n">
        <v>0.1079</v>
      </c>
      <c r="CJ131" s="15" t="n">
        <v>0.037809</v>
      </c>
      <c r="CK131" s="15" t="n">
        <v>-0.047559</v>
      </c>
      <c r="CL131" s="15" t="n">
        <v>1.1141</v>
      </c>
      <c r="CM131" s="15" t="n">
        <v>-0.89383</v>
      </c>
      <c r="CN131" s="15" t="n">
        <v>-1.1098</v>
      </c>
      <c r="CO131" s="15" t="n">
        <v>-0.31103</v>
      </c>
      <c r="CP131" s="15" t="n">
        <v>-0.44062</v>
      </c>
      <c r="CQ131" s="15" t="n">
        <v>0.96409</v>
      </c>
      <c r="CR131" s="15" t="n">
        <v>-0.68359</v>
      </c>
      <c r="CS131" s="15" t="n">
        <v>-0.52618</v>
      </c>
      <c r="CT131" s="15" t="n">
        <v>0.18325</v>
      </c>
      <c r="CU131" s="15" t="n">
        <v>-0.79123</v>
      </c>
      <c r="CV131" s="15" t="n">
        <v>0.37753</v>
      </c>
      <c r="CW131" s="15" t="n">
        <v>0.29983</v>
      </c>
      <c r="CX131" s="15" t="n">
        <v>0.30515</v>
      </c>
      <c r="CY131" s="15" t="n">
        <v>0.16329</v>
      </c>
    </row>
    <row r="132" customFormat="false" ht="15" hidden="false" customHeight="false" outlineLevel="0" collapsed="false">
      <c r="A132" s="4" t="s">
        <v>140</v>
      </c>
      <c r="B132" s="2" t="n">
        <f aca="false">COUNTIF('1.3 TF-IDF coseno'!$M$10:$M$123,A132)</f>
        <v>0</v>
      </c>
      <c r="C132" s="2" t="n">
        <f aca="false">COUNTIF('1.3 TF-IDF coseno'!$N$10:$N$102,A132)</f>
        <v>1</v>
      </c>
      <c r="D132" s="15" t="n">
        <v>-0.32462</v>
      </c>
      <c r="E132" s="15" t="n">
        <v>0.15382</v>
      </c>
      <c r="F132" s="15" t="n">
        <v>0.15782</v>
      </c>
      <c r="G132" s="15" t="n">
        <v>0.45838</v>
      </c>
      <c r="H132" s="15" t="n">
        <v>-0.1689</v>
      </c>
      <c r="I132" s="15" t="n">
        <v>0.070108</v>
      </c>
      <c r="J132" s="15" t="n">
        <v>-0.50424</v>
      </c>
      <c r="K132" s="15" t="n">
        <v>-0.096033</v>
      </c>
      <c r="L132" s="15" t="n">
        <v>0.28931</v>
      </c>
      <c r="M132" s="15" t="n">
        <v>-0.094397</v>
      </c>
      <c r="N132" s="15" t="n">
        <v>-0.20145</v>
      </c>
      <c r="O132" s="15" t="n">
        <v>-0.32228</v>
      </c>
      <c r="P132" s="15" t="n">
        <v>0.26531</v>
      </c>
      <c r="Q132" s="15" t="n">
        <v>0.06092</v>
      </c>
      <c r="R132" s="15" t="n">
        <v>0.25223</v>
      </c>
      <c r="S132" s="15" t="n">
        <v>-0.75607</v>
      </c>
      <c r="T132" s="15" t="n">
        <v>-0.18466</v>
      </c>
      <c r="U132" s="15" t="n">
        <v>0.25682</v>
      </c>
      <c r="V132" s="15" t="n">
        <v>0.094833</v>
      </c>
      <c r="W132" s="15" t="n">
        <v>0.16598</v>
      </c>
      <c r="X132" s="15" t="n">
        <v>-0.10484</v>
      </c>
      <c r="Y132" s="15" t="n">
        <v>-0.25507</v>
      </c>
      <c r="Z132" s="15" t="n">
        <v>-0.14347</v>
      </c>
      <c r="AA132" s="15" t="n">
        <v>0.049769</v>
      </c>
      <c r="AB132" s="15" t="n">
        <v>0.018051</v>
      </c>
      <c r="AC132" s="15" t="n">
        <v>0.12522</v>
      </c>
      <c r="AD132" s="15" t="n">
        <v>0.015013</v>
      </c>
      <c r="AE132" s="15" t="n">
        <v>-0.36198</v>
      </c>
      <c r="AF132" s="15" t="n">
        <v>0.080338</v>
      </c>
      <c r="AG132" s="15" t="n">
        <v>-0.15635</v>
      </c>
      <c r="AH132" s="15" t="n">
        <v>0.062835</v>
      </c>
      <c r="AI132" s="15" t="n">
        <v>0.45902</v>
      </c>
      <c r="AJ132" s="15" t="n">
        <v>-0.40959</v>
      </c>
      <c r="AK132" s="15" t="n">
        <v>-0.4004</v>
      </c>
      <c r="AL132" s="15" t="n">
        <v>0.44109</v>
      </c>
      <c r="AM132" s="15" t="n">
        <v>0.074783</v>
      </c>
      <c r="AN132" s="15" t="n">
        <v>0.39242</v>
      </c>
      <c r="AO132" s="15" t="n">
        <v>0.017457</v>
      </c>
      <c r="AP132" s="15" t="n">
        <v>-0.029963</v>
      </c>
      <c r="AQ132" s="15" t="n">
        <v>-0.28314</v>
      </c>
      <c r="AR132" s="15" t="n">
        <v>0.12535</v>
      </c>
      <c r="AS132" s="15" t="n">
        <v>-0.11573</v>
      </c>
      <c r="AT132" s="15" t="n">
        <v>0.045163</v>
      </c>
      <c r="AU132" s="15" t="n">
        <v>-0.24762</v>
      </c>
      <c r="AV132" s="15" t="n">
        <v>0.17646</v>
      </c>
      <c r="AW132" s="15" t="n">
        <v>-0.2383</v>
      </c>
      <c r="AX132" s="15" t="n">
        <v>0.58775</v>
      </c>
      <c r="AY132" s="15" t="n">
        <v>0.25076</v>
      </c>
      <c r="AZ132" s="15" t="n">
        <v>-0.41109</v>
      </c>
      <c r="BA132" s="15" t="n">
        <v>-0.23983</v>
      </c>
      <c r="BB132" s="15" t="n">
        <v>0.28672</v>
      </c>
      <c r="BC132" s="15" t="n">
        <v>0.13719</v>
      </c>
      <c r="BD132" s="15" t="n">
        <v>0.48231</v>
      </c>
      <c r="BE132" s="15" t="n">
        <v>1.0059</v>
      </c>
      <c r="BF132" s="15" t="n">
        <v>-0.15289</v>
      </c>
      <c r="BG132" s="15" t="n">
        <v>-1.1555</v>
      </c>
      <c r="BH132" s="15" t="n">
        <v>-0.057583</v>
      </c>
      <c r="BI132" s="15" t="n">
        <v>-0.20302</v>
      </c>
      <c r="BJ132" s="15" t="n">
        <v>0.58664</v>
      </c>
      <c r="BK132" s="15" t="n">
        <v>-0.030675</v>
      </c>
      <c r="BL132" s="15" t="n">
        <v>-0.27175</v>
      </c>
      <c r="BM132" s="15" t="n">
        <v>0.17262</v>
      </c>
      <c r="BN132" s="15" t="n">
        <v>-0.16922</v>
      </c>
      <c r="BO132" s="15" t="n">
        <v>0.16889</v>
      </c>
      <c r="BP132" s="15" t="n">
        <v>1.1829</v>
      </c>
      <c r="BQ132" s="15" t="n">
        <v>0.17536</v>
      </c>
      <c r="BR132" s="15" t="n">
        <v>-0.065658</v>
      </c>
      <c r="BS132" s="15" t="n">
        <v>-0.55627</v>
      </c>
      <c r="BT132" s="15" t="n">
        <v>0.59255</v>
      </c>
      <c r="BU132" s="15" t="n">
        <v>-0.46166</v>
      </c>
      <c r="BV132" s="15" t="n">
        <v>-0.23493</v>
      </c>
      <c r="BW132" s="15" t="n">
        <v>-0.01246</v>
      </c>
      <c r="BX132" s="15" t="n">
        <v>0.50849</v>
      </c>
      <c r="BY132" s="15" t="n">
        <v>-0.075951</v>
      </c>
      <c r="BZ132" s="15" t="n">
        <v>0.56361</v>
      </c>
      <c r="CA132" s="15" t="n">
        <v>-0.17461</v>
      </c>
      <c r="CB132" s="15" t="n">
        <v>-0.20153</v>
      </c>
      <c r="CC132" s="15" t="n">
        <v>-0.28414</v>
      </c>
      <c r="CD132" s="15" t="n">
        <v>-0.49089</v>
      </c>
      <c r="CE132" s="15" t="n">
        <v>-0.13815</v>
      </c>
      <c r="CF132" s="15" t="n">
        <v>-0.2326</v>
      </c>
      <c r="CG132" s="15" t="n">
        <v>-0.25286</v>
      </c>
      <c r="CH132" s="15" t="n">
        <v>-0.91677</v>
      </c>
      <c r="CI132" s="15" t="n">
        <v>-0.36482</v>
      </c>
      <c r="CJ132" s="15" t="n">
        <v>-0.86629</v>
      </c>
      <c r="CK132" s="15" t="n">
        <v>0.30702</v>
      </c>
      <c r="CL132" s="15" t="n">
        <v>-0.12292</v>
      </c>
      <c r="CM132" s="15" t="n">
        <v>-0.87254</v>
      </c>
      <c r="CN132" s="15" t="n">
        <v>0.27244</v>
      </c>
      <c r="CO132" s="15" t="n">
        <v>0.12333</v>
      </c>
      <c r="CP132" s="15" t="n">
        <v>-0.58429</v>
      </c>
      <c r="CQ132" s="15" t="n">
        <v>-0.22887</v>
      </c>
      <c r="CR132" s="15" t="n">
        <v>0.11769</v>
      </c>
      <c r="CS132" s="15" t="n">
        <v>0.18086</v>
      </c>
      <c r="CT132" s="15" t="n">
        <v>-0.098967</v>
      </c>
      <c r="CU132" s="15" t="n">
        <v>-0.29287</v>
      </c>
      <c r="CV132" s="15" t="n">
        <v>-0.30639</v>
      </c>
      <c r="CW132" s="15" t="n">
        <v>-0.59738</v>
      </c>
      <c r="CX132" s="15" t="n">
        <v>0.27244</v>
      </c>
      <c r="CY132" s="15" t="n">
        <v>-0.086522</v>
      </c>
    </row>
    <row r="133" customFormat="false" ht="15" hidden="false" customHeight="false" outlineLevel="0" collapsed="false">
      <c r="A133" s="4" t="s">
        <v>141</v>
      </c>
      <c r="B133" s="2" t="n">
        <f aca="false">COUNTIF('1.3 TF-IDF coseno'!$M$10:$M$123,A133)</f>
        <v>0</v>
      </c>
      <c r="C133" s="2" t="n">
        <f aca="false">COUNTIF('1.3 TF-IDF coseno'!$N$10:$N$102,A133)</f>
        <v>1</v>
      </c>
      <c r="D133" s="15" t="n">
        <v>0.14106</v>
      </c>
      <c r="E133" s="15" t="n">
        <v>-0.15111</v>
      </c>
      <c r="F133" s="15" t="n">
        <v>-0.18466</v>
      </c>
      <c r="G133" s="15" t="n">
        <v>0.59178</v>
      </c>
      <c r="H133" s="15" t="n">
        <v>0.32459</v>
      </c>
      <c r="I133" s="15" t="n">
        <v>0.88907</v>
      </c>
      <c r="J133" s="15" t="n">
        <v>-0.10713</v>
      </c>
      <c r="K133" s="15" t="n">
        <v>0.054251</v>
      </c>
      <c r="L133" s="15" t="n">
        <v>0.24801</v>
      </c>
      <c r="M133" s="15" t="n">
        <v>0.21025</v>
      </c>
      <c r="N133" s="15" t="n">
        <v>0.1209</v>
      </c>
      <c r="O133" s="15" t="n">
        <v>-0.5535</v>
      </c>
      <c r="P133" s="15" t="n">
        <v>0.14911</v>
      </c>
      <c r="Q133" s="15" t="n">
        <v>-0.23091</v>
      </c>
      <c r="R133" s="15" t="n">
        <v>0.30018</v>
      </c>
      <c r="S133" s="15" t="n">
        <v>0.2205</v>
      </c>
      <c r="T133" s="15" t="n">
        <v>-0.34033</v>
      </c>
      <c r="U133" s="15" t="n">
        <v>-0.2278</v>
      </c>
      <c r="V133" s="15" t="n">
        <v>0.088298</v>
      </c>
      <c r="W133" s="15" t="n">
        <v>0.34197</v>
      </c>
      <c r="X133" s="15" t="n">
        <v>0.60849</v>
      </c>
      <c r="Y133" s="15" t="n">
        <v>-0.081776</v>
      </c>
      <c r="Z133" s="15" t="n">
        <v>0.51066</v>
      </c>
      <c r="AA133" s="15" t="n">
        <v>-0.90951</v>
      </c>
      <c r="AB133" s="15" t="n">
        <v>-0.17415</v>
      </c>
      <c r="AC133" s="15" t="n">
        <v>0.55135</v>
      </c>
      <c r="AD133" s="15" t="n">
        <v>-0.56157</v>
      </c>
      <c r="AE133" s="15" t="n">
        <v>0.43754</v>
      </c>
      <c r="AF133" s="15" t="n">
        <v>-0.2668</v>
      </c>
      <c r="AG133" s="15" t="n">
        <v>0.37398</v>
      </c>
      <c r="AH133" s="15" t="n">
        <v>-0.50351</v>
      </c>
      <c r="AI133" s="15" t="n">
        <v>0.42553</v>
      </c>
      <c r="AJ133" s="15" t="n">
        <v>0.032528</v>
      </c>
      <c r="AK133" s="15" t="n">
        <v>-1.1201</v>
      </c>
      <c r="AL133" s="15" t="n">
        <v>0.69803</v>
      </c>
      <c r="AM133" s="15" t="n">
        <v>-0.47346</v>
      </c>
      <c r="AN133" s="15" t="n">
        <v>0.10645</v>
      </c>
      <c r="AO133" s="15" t="n">
        <v>-0.63122</v>
      </c>
      <c r="AP133" s="15" t="n">
        <v>-0.32398</v>
      </c>
      <c r="AQ133" s="15" t="n">
        <v>0.20194</v>
      </c>
      <c r="AR133" s="15" t="n">
        <v>-0.52314</v>
      </c>
      <c r="AS133" s="15" t="n">
        <v>0.3559</v>
      </c>
      <c r="AT133" s="15" t="n">
        <v>0.0027934</v>
      </c>
      <c r="AU133" s="15" t="n">
        <v>0.46253</v>
      </c>
      <c r="AV133" s="15" t="n">
        <v>-0.16105</v>
      </c>
      <c r="AW133" s="15" t="n">
        <v>-0.19962</v>
      </c>
      <c r="AX133" s="15" t="n">
        <v>0.23261</v>
      </c>
      <c r="AY133" s="15" t="n">
        <v>-0.15182</v>
      </c>
      <c r="AZ133" s="15" t="n">
        <v>0.035028</v>
      </c>
      <c r="BA133" s="15" t="n">
        <v>-0.6252</v>
      </c>
      <c r="BB133" s="15" t="n">
        <v>0.32382</v>
      </c>
      <c r="BC133" s="15" t="n">
        <v>0.11688</v>
      </c>
      <c r="BD133" s="15" t="n">
        <v>0.22379</v>
      </c>
      <c r="BE133" s="15" t="n">
        <v>0.63222</v>
      </c>
      <c r="BF133" s="15" t="n">
        <v>-0.051783</v>
      </c>
      <c r="BG133" s="15" t="n">
        <v>-0.7149</v>
      </c>
      <c r="BH133" s="15" t="n">
        <v>0.7515</v>
      </c>
      <c r="BI133" s="15" t="n">
        <v>-0.83211</v>
      </c>
      <c r="BJ133" s="15" t="n">
        <v>0.84995</v>
      </c>
      <c r="BK133" s="15" t="n">
        <v>-0.35384</v>
      </c>
      <c r="BL133" s="15" t="n">
        <v>-0.57896</v>
      </c>
      <c r="BM133" s="15" t="n">
        <v>0.34012</v>
      </c>
      <c r="BN133" s="15" t="n">
        <v>-0.29987</v>
      </c>
      <c r="BO133" s="15" t="n">
        <v>-0.26602</v>
      </c>
      <c r="BP133" s="15" t="n">
        <v>0.33352</v>
      </c>
      <c r="BQ133" s="15" t="n">
        <v>-0.052291</v>
      </c>
      <c r="BR133" s="15" t="n">
        <v>1.434</v>
      </c>
      <c r="BS133" s="15" t="n">
        <v>0.41171</v>
      </c>
      <c r="BT133" s="15" t="n">
        <v>0.314</v>
      </c>
      <c r="BU133" s="15" t="n">
        <v>0.25261</v>
      </c>
      <c r="BV133" s="15" t="n">
        <v>0.26903</v>
      </c>
      <c r="BW133" s="15" t="n">
        <v>-0.5661</v>
      </c>
      <c r="BX133" s="15" t="n">
        <v>-0.18529</v>
      </c>
      <c r="BY133" s="15" t="n">
        <v>-0.12545</v>
      </c>
      <c r="BZ133" s="15" t="n">
        <v>-0.34185</v>
      </c>
      <c r="CA133" s="15" t="n">
        <v>0.14027</v>
      </c>
      <c r="CB133" s="15" t="n">
        <v>-0.12387</v>
      </c>
      <c r="CC133" s="15" t="n">
        <v>0.028576</v>
      </c>
      <c r="CD133" s="15" t="n">
        <v>-0.39381</v>
      </c>
      <c r="CE133" s="15" t="n">
        <v>-0.31698</v>
      </c>
      <c r="CF133" s="15" t="n">
        <v>0.46722</v>
      </c>
      <c r="CG133" s="15" t="n">
        <v>0.51746</v>
      </c>
      <c r="CH133" s="15" t="n">
        <v>0.08585</v>
      </c>
      <c r="CI133" s="15" t="n">
        <v>0.37002</v>
      </c>
      <c r="CJ133" s="15" t="n">
        <v>-1.1887</v>
      </c>
      <c r="CK133" s="15" t="n">
        <v>0.16009</v>
      </c>
      <c r="CL133" s="15" t="n">
        <v>-0.48411</v>
      </c>
      <c r="CM133" s="15" t="n">
        <v>0.68562</v>
      </c>
      <c r="CN133" s="15" t="n">
        <v>-0.10497</v>
      </c>
      <c r="CO133" s="15" t="n">
        <v>-0.76419</v>
      </c>
      <c r="CP133" s="15" t="n">
        <v>-0.30904</v>
      </c>
      <c r="CQ133" s="15" t="n">
        <v>0.049484</v>
      </c>
      <c r="CR133" s="15" t="n">
        <v>0.29983</v>
      </c>
      <c r="CS133" s="15" t="n">
        <v>-0.62641</v>
      </c>
      <c r="CT133" s="15" t="n">
        <v>0.51463</v>
      </c>
      <c r="CU133" s="15" t="n">
        <v>0.020892</v>
      </c>
      <c r="CV133" s="15" t="n">
        <v>-0.85509</v>
      </c>
      <c r="CW133" s="15" t="n">
        <v>-0.50758</v>
      </c>
      <c r="CX133" s="15" t="n">
        <v>0.25346</v>
      </c>
      <c r="CY133" s="15" t="n">
        <v>0.448</v>
      </c>
    </row>
    <row r="134" customFormat="false" ht="15" hidden="false" customHeight="false" outlineLevel="0" collapsed="false">
      <c r="A134" s="4" t="s">
        <v>142</v>
      </c>
      <c r="B134" s="2" t="n">
        <f aca="false">COUNTIF('1.3 TF-IDF coseno'!$M$10:$M$123,A134)</f>
        <v>0</v>
      </c>
      <c r="C134" s="2" t="n">
        <f aca="false">COUNTIF('1.3 TF-IDF coseno'!$N$10:$N$102,A134)</f>
        <v>1</v>
      </c>
      <c r="D134" s="15" t="n">
        <v>0.63549</v>
      </c>
      <c r="E134" s="15" t="n">
        <v>0.39051</v>
      </c>
      <c r="F134" s="15" t="n">
        <v>0.32849</v>
      </c>
      <c r="G134" s="15" t="n">
        <v>-0.21198</v>
      </c>
      <c r="H134" s="15" t="n">
        <v>0.3849</v>
      </c>
      <c r="I134" s="15" t="n">
        <v>-0.067753</v>
      </c>
      <c r="J134" s="15" t="n">
        <v>-0.35783</v>
      </c>
      <c r="K134" s="15" t="n">
        <v>0.3687</v>
      </c>
      <c r="L134" s="15" t="n">
        <v>-0.11571</v>
      </c>
      <c r="M134" s="15" t="n">
        <v>0.17914</v>
      </c>
      <c r="N134" s="15" t="n">
        <v>-0.18568</v>
      </c>
      <c r="O134" s="15" t="n">
        <v>0.18653</v>
      </c>
      <c r="P134" s="15" t="n">
        <v>0.98742</v>
      </c>
      <c r="Q134" s="15" t="n">
        <v>1.2118</v>
      </c>
      <c r="R134" s="15" t="n">
        <v>-0.16203</v>
      </c>
      <c r="S134" s="15" t="n">
        <v>0.74442</v>
      </c>
      <c r="T134" s="15" t="n">
        <v>0.13886</v>
      </c>
      <c r="U134" s="15" t="n">
        <v>-0.22814</v>
      </c>
      <c r="V134" s="15" t="n">
        <v>-0.59284</v>
      </c>
      <c r="W134" s="15" t="n">
        <v>-1.0108</v>
      </c>
      <c r="X134" s="15" t="n">
        <v>0.1062</v>
      </c>
      <c r="Y134" s="15" t="n">
        <v>-0.090414</v>
      </c>
      <c r="Z134" s="15" t="n">
        <v>0.14761</v>
      </c>
      <c r="AA134" s="15" t="n">
        <v>-0.50014</v>
      </c>
      <c r="AB134" s="15" t="n">
        <v>0.49946</v>
      </c>
      <c r="AC134" s="15" t="n">
        <v>0.88366</v>
      </c>
      <c r="AD134" s="15" t="n">
        <v>-0.95429</v>
      </c>
      <c r="AE134" s="15" t="n">
        <v>-0.29089</v>
      </c>
      <c r="AF134" s="15" t="n">
        <v>0.61605</v>
      </c>
      <c r="AG134" s="15" t="n">
        <v>0.09414</v>
      </c>
      <c r="AH134" s="15" t="n">
        <v>0.065264</v>
      </c>
      <c r="AI134" s="15" t="n">
        <v>-0.49569</v>
      </c>
      <c r="AJ134" s="15" t="n">
        <v>-0.093847</v>
      </c>
      <c r="AK134" s="15" t="n">
        <v>-0.66563</v>
      </c>
      <c r="AL134" s="15" t="n">
        <v>0.32364</v>
      </c>
      <c r="AM134" s="15" t="n">
        <v>-0.34779</v>
      </c>
      <c r="AN134" s="15" t="n">
        <v>0.79204</v>
      </c>
      <c r="AO134" s="15" t="n">
        <v>-0.58998</v>
      </c>
      <c r="AP134" s="15" t="n">
        <v>0.18515</v>
      </c>
      <c r="AQ134" s="15" t="n">
        <v>0.20194</v>
      </c>
      <c r="AR134" s="15" t="n">
        <v>0.043425</v>
      </c>
      <c r="AS134" s="15" t="n">
        <v>-0.18477</v>
      </c>
      <c r="AT134" s="15" t="n">
        <v>0.43429</v>
      </c>
      <c r="AU134" s="15" t="n">
        <v>-0.25785</v>
      </c>
      <c r="AV134" s="15" t="n">
        <v>0.28141</v>
      </c>
      <c r="AW134" s="15" t="n">
        <v>-0.74078</v>
      </c>
      <c r="AX134" s="15" t="n">
        <v>-0.24787</v>
      </c>
      <c r="AY134" s="15" t="n">
        <v>0.27498</v>
      </c>
      <c r="AZ134" s="15" t="n">
        <v>-0.61579</v>
      </c>
      <c r="BA134" s="15" t="n">
        <v>-0.58423</v>
      </c>
      <c r="BB134" s="15" t="n">
        <v>0.45614</v>
      </c>
      <c r="BC134" s="15" t="n">
        <v>1.0419</v>
      </c>
      <c r="BD134" s="15" t="n">
        <v>0.051449</v>
      </c>
      <c r="BE134" s="15" t="n">
        <v>1.1155</v>
      </c>
      <c r="BF134" s="15" t="n">
        <v>0.38236</v>
      </c>
      <c r="BG134" s="15" t="n">
        <v>-1.4534</v>
      </c>
      <c r="BH134" s="15" t="n">
        <v>-0.56522</v>
      </c>
      <c r="BI134" s="15" t="n">
        <v>-0.71011</v>
      </c>
      <c r="BJ134" s="15" t="n">
        <v>1.5242</v>
      </c>
      <c r="BK134" s="15" t="n">
        <v>-0.19866</v>
      </c>
      <c r="BL134" s="15" t="n">
        <v>0.66</v>
      </c>
      <c r="BM134" s="15" t="n">
        <v>0.29996</v>
      </c>
      <c r="BN134" s="15" t="n">
        <v>-0.22663</v>
      </c>
      <c r="BO134" s="15" t="n">
        <v>0.45794</v>
      </c>
      <c r="BP134" s="15" t="n">
        <v>-0.060385</v>
      </c>
      <c r="BQ134" s="15" t="n">
        <v>-0.14018</v>
      </c>
      <c r="BR134" s="15" t="n">
        <v>0.35697</v>
      </c>
      <c r="BS134" s="15" t="n">
        <v>0.42873</v>
      </c>
      <c r="BT134" s="15" t="n">
        <v>-0.15462</v>
      </c>
      <c r="BU134" s="15" t="n">
        <v>0.47642</v>
      </c>
      <c r="BV134" s="15" t="n">
        <v>0.56259</v>
      </c>
      <c r="BW134" s="15" t="n">
        <v>-0.70038</v>
      </c>
      <c r="BX134" s="15" t="n">
        <v>0.11018</v>
      </c>
      <c r="BY134" s="15" t="n">
        <v>-0.69312</v>
      </c>
      <c r="BZ134" s="15" t="n">
        <v>0.26028</v>
      </c>
      <c r="CA134" s="15" t="n">
        <v>-0.46854</v>
      </c>
      <c r="CB134" s="15" t="n">
        <v>-0.58864</v>
      </c>
      <c r="CC134" s="15" t="n">
        <v>0.60046</v>
      </c>
      <c r="CD134" s="15" t="n">
        <v>-1.3823</v>
      </c>
      <c r="CE134" s="15" t="n">
        <v>0.1937</v>
      </c>
      <c r="CF134" s="15" t="n">
        <v>1.3511</v>
      </c>
      <c r="CG134" s="15" t="n">
        <v>0.33457</v>
      </c>
      <c r="CH134" s="15" t="n">
        <v>0.32097</v>
      </c>
      <c r="CI134" s="15" t="n">
        <v>0.11289</v>
      </c>
      <c r="CJ134" s="15" t="n">
        <v>-1.1449</v>
      </c>
      <c r="CK134" s="15" t="n">
        <v>-0.1458</v>
      </c>
      <c r="CL134" s="15" t="n">
        <v>0.24972</v>
      </c>
      <c r="CM134" s="15" t="n">
        <v>-0.22376</v>
      </c>
      <c r="CN134" s="15" t="n">
        <v>0.01884</v>
      </c>
      <c r="CO134" s="15" t="n">
        <v>-0.14734</v>
      </c>
      <c r="CP134" s="15" t="n">
        <v>-0.90972</v>
      </c>
      <c r="CQ134" s="15" t="n">
        <v>-0.14014</v>
      </c>
      <c r="CR134" s="15" t="n">
        <v>0.096438</v>
      </c>
      <c r="CS134" s="15" t="n">
        <v>0.22649</v>
      </c>
      <c r="CT134" s="15" t="n">
        <v>-0.60127</v>
      </c>
      <c r="CU134" s="15" t="n">
        <v>0.062016</v>
      </c>
      <c r="CV134" s="15" t="n">
        <v>-0.26851</v>
      </c>
      <c r="CW134" s="15" t="n">
        <v>0.23219</v>
      </c>
      <c r="CX134" s="15" t="n">
        <v>1.1695</v>
      </c>
      <c r="CY134" s="15" t="n">
        <v>-0.18369</v>
      </c>
    </row>
    <row r="135" customFormat="false" ht="15" hidden="false" customHeight="false" outlineLevel="0" collapsed="false">
      <c r="A135" s="4" t="s">
        <v>143</v>
      </c>
      <c r="B135" s="2" t="n">
        <f aca="false">COUNTIF('1.3 TF-IDF coseno'!$M$10:$M$123,A135)</f>
        <v>0</v>
      </c>
      <c r="C135" s="2" t="n">
        <f aca="false">COUNTIF('1.3 TF-IDF coseno'!$N$10:$N$102,A135)</f>
        <v>1</v>
      </c>
      <c r="D135" s="15" t="n">
        <v>0.48011</v>
      </c>
      <c r="E135" s="15" t="n">
        <v>0.1466</v>
      </c>
      <c r="F135" s="15" t="n">
        <v>0.79589</v>
      </c>
      <c r="G135" s="15" t="n">
        <v>-0.56121</v>
      </c>
      <c r="H135" s="15" t="n">
        <v>-0.22908</v>
      </c>
      <c r="I135" s="15" t="n">
        <v>-0.25053</v>
      </c>
      <c r="J135" s="15" t="n">
        <v>0.66255</v>
      </c>
      <c r="K135" s="15" t="n">
        <v>0.70692</v>
      </c>
      <c r="L135" s="15" t="n">
        <v>-0.46116</v>
      </c>
      <c r="M135" s="15" t="n">
        <v>0.0073653</v>
      </c>
      <c r="N135" s="15" t="n">
        <v>-0.11954</v>
      </c>
      <c r="O135" s="15" t="n">
        <v>0.76603</v>
      </c>
      <c r="P135" s="15" t="n">
        <v>-0.10467</v>
      </c>
      <c r="Q135" s="15" t="n">
        <v>-1.1498</v>
      </c>
      <c r="R135" s="15" t="n">
        <v>-0.32625</v>
      </c>
      <c r="S135" s="15" t="n">
        <v>-0.39295</v>
      </c>
      <c r="T135" s="15" t="n">
        <v>0.13432</v>
      </c>
      <c r="U135" s="15" t="n">
        <v>-0.045041</v>
      </c>
      <c r="V135" s="15" t="n">
        <v>0.12199</v>
      </c>
      <c r="W135" s="15" t="n">
        <v>-0.095479</v>
      </c>
      <c r="X135" s="15" t="n">
        <v>0.61747</v>
      </c>
      <c r="Y135" s="15" t="n">
        <v>-0.039253</v>
      </c>
      <c r="Z135" s="15" t="n">
        <v>0.76069</v>
      </c>
      <c r="AA135" s="15" t="n">
        <v>-0.20782</v>
      </c>
      <c r="AB135" s="15" t="n">
        <v>0.31916</v>
      </c>
      <c r="AC135" s="15" t="n">
        <v>-0.47725</v>
      </c>
      <c r="AD135" s="15" t="n">
        <v>-0.57024</v>
      </c>
      <c r="AE135" s="15" t="n">
        <v>-0.37403</v>
      </c>
      <c r="AF135" s="15" t="n">
        <v>0.65947</v>
      </c>
      <c r="AG135" s="15" t="n">
        <v>-0.55622</v>
      </c>
      <c r="AH135" s="15" t="n">
        <v>-0.79306</v>
      </c>
      <c r="AI135" s="15" t="n">
        <v>-0.22381</v>
      </c>
      <c r="AJ135" s="15" t="n">
        <v>0.20455</v>
      </c>
      <c r="AK135" s="15" t="n">
        <v>-0.013708</v>
      </c>
      <c r="AL135" s="15" t="n">
        <v>0.70174</v>
      </c>
      <c r="AM135" s="15" t="n">
        <v>0.32619</v>
      </c>
      <c r="AN135" s="15" t="n">
        <v>-0.41954</v>
      </c>
      <c r="AO135" s="15" t="n">
        <v>0.58027</v>
      </c>
      <c r="AP135" s="15" t="n">
        <v>-0.27881</v>
      </c>
      <c r="AQ135" s="15" t="n">
        <v>1.3936</v>
      </c>
      <c r="AR135" s="15" t="n">
        <v>-0.89668</v>
      </c>
      <c r="AS135" s="15" t="n">
        <v>-0.93316</v>
      </c>
      <c r="AT135" s="15" t="n">
        <v>0.32214</v>
      </c>
      <c r="AU135" s="15" t="n">
        <v>-0.67299</v>
      </c>
      <c r="AV135" s="15" t="n">
        <v>-1.0904</v>
      </c>
      <c r="AW135" s="15" t="n">
        <v>-0.2456</v>
      </c>
      <c r="AX135" s="15" t="n">
        <v>0.67967</v>
      </c>
      <c r="AY135" s="15" t="n">
        <v>-0.48667</v>
      </c>
      <c r="AZ135" s="15" t="n">
        <v>-0.31844</v>
      </c>
      <c r="BA135" s="15" t="n">
        <v>-1.0565</v>
      </c>
      <c r="BB135" s="15" t="n">
        <v>-0.15687</v>
      </c>
      <c r="BC135" s="15" t="n">
        <v>-0.23978</v>
      </c>
      <c r="BD135" s="15" t="n">
        <v>0.36421</v>
      </c>
      <c r="BE135" s="15" t="n">
        <v>1.1512</v>
      </c>
      <c r="BF135" s="15" t="n">
        <v>0.50046</v>
      </c>
      <c r="BG135" s="15" t="n">
        <v>-2.4204</v>
      </c>
      <c r="BH135" s="15" t="n">
        <v>-0.45923</v>
      </c>
      <c r="BI135" s="15" t="n">
        <v>1.3647</v>
      </c>
      <c r="BJ135" s="15" t="n">
        <v>1.3469</v>
      </c>
      <c r="BK135" s="15" t="n">
        <v>0.31066</v>
      </c>
      <c r="BL135" s="15" t="n">
        <v>-0.56502</v>
      </c>
      <c r="BM135" s="15" t="n">
        <v>0.42756</v>
      </c>
      <c r="BN135" s="15" t="n">
        <v>0.46303</v>
      </c>
      <c r="BO135" s="15" t="n">
        <v>0.072919</v>
      </c>
      <c r="BP135" s="15" t="n">
        <v>1.5159</v>
      </c>
      <c r="BQ135" s="15" t="n">
        <v>0.36483</v>
      </c>
      <c r="BR135" s="15" t="n">
        <v>-0.18</v>
      </c>
      <c r="BS135" s="15" t="n">
        <v>0.10672</v>
      </c>
      <c r="BT135" s="15" t="n">
        <v>0.18038</v>
      </c>
      <c r="BU135" s="15" t="n">
        <v>0.31623</v>
      </c>
      <c r="BV135" s="15" t="n">
        <v>-0.80432</v>
      </c>
      <c r="BW135" s="15" t="n">
        <v>0.27737</v>
      </c>
      <c r="BX135" s="15" t="n">
        <v>-0.66505</v>
      </c>
      <c r="BY135" s="15" t="n">
        <v>0.43227</v>
      </c>
      <c r="BZ135" s="15" t="n">
        <v>-0.046316</v>
      </c>
      <c r="CA135" s="15" t="n">
        <v>0.45836</v>
      </c>
      <c r="CB135" s="15" t="n">
        <v>0.046247</v>
      </c>
      <c r="CC135" s="15" t="n">
        <v>-0.43933</v>
      </c>
      <c r="CD135" s="15" t="n">
        <v>-0.64804</v>
      </c>
      <c r="CE135" s="15" t="n">
        <v>-0.34554</v>
      </c>
      <c r="CF135" s="15" t="n">
        <v>-0.45256</v>
      </c>
      <c r="CG135" s="15" t="n">
        <v>-0.29653</v>
      </c>
      <c r="CH135" s="15" t="n">
        <v>-0.51528</v>
      </c>
      <c r="CI135" s="15" t="n">
        <v>0.63849</v>
      </c>
      <c r="CJ135" s="15" t="n">
        <v>-0.59312</v>
      </c>
      <c r="CK135" s="15" t="n">
        <v>-0.01153</v>
      </c>
      <c r="CL135" s="15" t="n">
        <v>-1.0005</v>
      </c>
      <c r="CM135" s="15" t="n">
        <v>0.26151</v>
      </c>
      <c r="CN135" s="15" t="n">
        <v>0.37791</v>
      </c>
      <c r="CO135" s="15" t="n">
        <v>-0.44966</v>
      </c>
      <c r="CP135" s="15" t="n">
        <v>-1.0121</v>
      </c>
      <c r="CQ135" s="15" t="n">
        <v>-0.016119</v>
      </c>
      <c r="CR135" s="15" t="n">
        <v>0.35708</v>
      </c>
      <c r="CS135" s="15" t="n">
        <v>0.79252</v>
      </c>
      <c r="CT135" s="15" t="n">
        <v>0.14351</v>
      </c>
      <c r="CU135" s="15" t="n">
        <v>0.15761</v>
      </c>
      <c r="CV135" s="15" t="n">
        <v>-0.17018</v>
      </c>
      <c r="CW135" s="15" t="n">
        <v>0.33367</v>
      </c>
      <c r="CX135" s="15" t="n">
        <v>1.015</v>
      </c>
      <c r="CY135" s="15" t="n">
        <v>0.088703</v>
      </c>
    </row>
    <row r="136" customFormat="false" ht="15" hidden="false" customHeight="false" outlineLevel="0" collapsed="false">
      <c r="A136" s="4" t="s">
        <v>144</v>
      </c>
      <c r="B136" s="2" t="n">
        <f aca="false">COUNTIF('1.3 TF-IDF coseno'!$M$10:$M$123,A136)</f>
        <v>0</v>
      </c>
      <c r="C136" s="2" t="n">
        <f aca="false">COUNTIF('1.3 TF-IDF coseno'!$N$10:$N$102,A136)</f>
        <v>1</v>
      </c>
      <c r="D136" s="15" t="n">
        <v>-0.27748</v>
      </c>
      <c r="E136" s="15" t="n">
        <v>-0.5936</v>
      </c>
      <c r="F136" s="15" t="n">
        <v>0.061542</v>
      </c>
      <c r="G136" s="15" t="n">
        <v>-0.40371</v>
      </c>
      <c r="H136" s="15" t="n">
        <v>-0.34959</v>
      </c>
      <c r="I136" s="15" t="n">
        <v>0.30699</v>
      </c>
      <c r="J136" s="15" t="n">
        <v>-0.74195</v>
      </c>
      <c r="K136" s="15" t="n">
        <v>0.035811</v>
      </c>
      <c r="L136" s="15" t="n">
        <v>0.21901</v>
      </c>
      <c r="M136" s="15" t="n">
        <v>0.74811</v>
      </c>
      <c r="N136" s="15" t="n">
        <v>-0.64048</v>
      </c>
      <c r="O136" s="15" t="n">
        <v>-0.5752</v>
      </c>
      <c r="P136" s="15" t="n">
        <v>0.012132</v>
      </c>
      <c r="Q136" s="15" t="n">
        <v>0.35734</v>
      </c>
      <c r="R136" s="15" t="n">
        <v>0.012618</v>
      </c>
      <c r="S136" s="15" t="n">
        <v>0.027841</v>
      </c>
      <c r="T136" s="15" t="n">
        <v>0.37857</v>
      </c>
      <c r="U136" s="15" t="n">
        <v>0.038157</v>
      </c>
      <c r="V136" s="15" t="n">
        <v>-0.33028</v>
      </c>
      <c r="W136" s="15" t="n">
        <v>0.36584</v>
      </c>
      <c r="X136" s="15" t="n">
        <v>0.11325</v>
      </c>
      <c r="Y136" s="15" t="n">
        <v>-0.27094</v>
      </c>
      <c r="Z136" s="15" t="n">
        <v>-0.093244</v>
      </c>
      <c r="AA136" s="15" t="n">
        <v>-1.0187</v>
      </c>
      <c r="AB136" s="15" t="n">
        <v>-0.14491</v>
      </c>
      <c r="AC136" s="15" t="n">
        <v>-0.35425</v>
      </c>
      <c r="AD136" s="15" t="n">
        <v>0.032713</v>
      </c>
      <c r="AE136" s="15" t="n">
        <v>0.21135</v>
      </c>
      <c r="AF136" s="15" t="n">
        <v>-0.75599</v>
      </c>
      <c r="AG136" s="15" t="n">
        <v>0.038729</v>
      </c>
      <c r="AH136" s="15" t="n">
        <v>-0.39419</v>
      </c>
      <c r="AI136" s="15" t="n">
        <v>-0.40954</v>
      </c>
      <c r="AJ136" s="15" t="n">
        <v>-0.061225</v>
      </c>
      <c r="AK136" s="15" t="n">
        <v>-0.36884</v>
      </c>
      <c r="AL136" s="15" t="n">
        <v>0.32975</v>
      </c>
      <c r="AM136" s="15" t="n">
        <v>-0.56045</v>
      </c>
      <c r="AN136" s="15" t="n">
        <v>-0.30141</v>
      </c>
      <c r="AO136" s="15" t="n">
        <v>-0.21047</v>
      </c>
      <c r="AP136" s="15" t="n">
        <v>0.0050397</v>
      </c>
      <c r="AQ136" s="15" t="n">
        <v>-0.19379</v>
      </c>
      <c r="AR136" s="15" t="n">
        <v>0.12474</v>
      </c>
      <c r="AS136" s="15" t="n">
        <v>-0.35787</v>
      </c>
      <c r="AT136" s="15" t="n">
        <v>0.293</v>
      </c>
      <c r="AU136" s="15" t="n">
        <v>0.26062</v>
      </c>
      <c r="AV136" s="15" t="n">
        <v>-0.50756</v>
      </c>
      <c r="AW136" s="15" t="n">
        <v>0.59147</v>
      </c>
      <c r="AX136" s="15" t="n">
        <v>0.0010565</v>
      </c>
      <c r="AY136" s="15" t="n">
        <v>-0.28703</v>
      </c>
      <c r="AZ136" s="15" t="n">
        <v>-0.029149</v>
      </c>
      <c r="BA136" s="15" t="n">
        <v>-0.20126</v>
      </c>
      <c r="BB136" s="15" t="n">
        <v>0.4686</v>
      </c>
      <c r="BC136" s="15" t="n">
        <v>0.48935</v>
      </c>
      <c r="BD136" s="15" t="n">
        <v>-0.9317</v>
      </c>
      <c r="BE136" s="15" t="n">
        <v>1.0162</v>
      </c>
      <c r="BF136" s="15" t="n">
        <v>-0.40042</v>
      </c>
      <c r="BG136" s="15" t="n">
        <v>-0.36442</v>
      </c>
      <c r="BH136" s="15" t="n">
        <v>0.73647</v>
      </c>
      <c r="BI136" s="15" t="n">
        <v>-0.45296</v>
      </c>
      <c r="BJ136" s="15" t="n">
        <v>0.96354</v>
      </c>
      <c r="BK136" s="15" t="n">
        <v>-0.10591</v>
      </c>
      <c r="BL136" s="15" t="n">
        <v>0.55306</v>
      </c>
      <c r="BM136" s="15" t="n">
        <v>-0.66398</v>
      </c>
      <c r="BN136" s="15" t="n">
        <v>-0.063627</v>
      </c>
      <c r="BO136" s="15" t="n">
        <v>-0.19413</v>
      </c>
      <c r="BP136" s="15" t="n">
        <v>0.32375</v>
      </c>
      <c r="BQ136" s="15" t="n">
        <v>0.37093</v>
      </c>
      <c r="BR136" s="15" t="n">
        <v>-0.58775</v>
      </c>
      <c r="BS136" s="15" t="n">
        <v>-0.36435</v>
      </c>
      <c r="BT136" s="15" t="n">
        <v>1.0862</v>
      </c>
      <c r="BU136" s="15" t="n">
        <v>0.28047</v>
      </c>
      <c r="BV136" s="15" t="n">
        <v>0.34194</v>
      </c>
      <c r="BW136" s="15" t="n">
        <v>-1.1753</v>
      </c>
      <c r="BX136" s="15" t="n">
        <v>-0.20585</v>
      </c>
      <c r="BY136" s="15" t="n">
        <v>-0.33971</v>
      </c>
      <c r="BZ136" s="15" t="n">
        <v>0.31069</v>
      </c>
      <c r="CA136" s="15" t="n">
        <v>-1.1686</v>
      </c>
      <c r="CB136" s="15" t="n">
        <v>-0.31309</v>
      </c>
      <c r="CC136" s="15" t="n">
        <v>0.49889</v>
      </c>
      <c r="CD136" s="15" t="n">
        <v>-0.23944</v>
      </c>
      <c r="CE136" s="15" t="n">
        <v>-0.58592</v>
      </c>
      <c r="CF136" s="15" t="n">
        <v>0.36296</v>
      </c>
      <c r="CG136" s="15" t="n">
        <v>0.54244</v>
      </c>
      <c r="CH136" s="15" t="n">
        <v>0.39919</v>
      </c>
      <c r="CI136" s="15" t="n">
        <v>0.5963</v>
      </c>
      <c r="CJ136" s="15" t="n">
        <v>-0.94902</v>
      </c>
      <c r="CK136" s="15" t="n">
        <v>0.67763</v>
      </c>
      <c r="CL136" s="15" t="n">
        <v>-0.05414</v>
      </c>
      <c r="CM136" s="15" t="n">
        <v>0.0041205</v>
      </c>
      <c r="CN136" s="15" t="n">
        <v>-0.67698</v>
      </c>
      <c r="CO136" s="15" t="n">
        <v>-0.20632</v>
      </c>
      <c r="CP136" s="15" t="n">
        <v>-0.15921</v>
      </c>
      <c r="CQ136" s="15" t="n">
        <v>-0.63899</v>
      </c>
      <c r="CR136" s="15" t="n">
        <v>-0.67763</v>
      </c>
      <c r="CS136" s="15" t="n">
        <v>0.20166</v>
      </c>
      <c r="CT136" s="15" t="n">
        <v>0.4727</v>
      </c>
      <c r="CU136" s="15" t="n">
        <v>0.38346</v>
      </c>
      <c r="CV136" s="15" t="n">
        <v>0.20025</v>
      </c>
      <c r="CW136" s="15" t="n">
        <v>0.53871</v>
      </c>
      <c r="CX136" s="15" t="n">
        <v>0.65263</v>
      </c>
      <c r="CY136" s="15" t="n">
        <v>1.079</v>
      </c>
    </row>
    <row r="137" customFormat="false" ht="15" hidden="false" customHeight="false" outlineLevel="0" collapsed="false">
      <c r="A137" s="4" t="s">
        <v>145</v>
      </c>
      <c r="B137" s="2" t="n">
        <f aca="false">COUNTIF('1.3 TF-IDF coseno'!$M$10:$M$123,A137)</f>
        <v>0</v>
      </c>
      <c r="C137" s="2" t="n">
        <f aca="false">COUNTIF('1.3 TF-IDF coseno'!$N$10:$N$102,A137)</f>
        <v>1</v>
      </c>
      <c r="D137" s="15" t="n">
        <v>-0.36531</v>
      </c>
      <c r="E137" s="15" t="n">
        <v>0.31785</v>
      </c>
      <c r="F137" s="15" t="n">
        <v>-0.32047</v>
      </c>
      <c r="G137" s="15" t="n">
        <v>0.051639</v>
      </c>
      <c r="H137" s="15" t="n">
        <v>-0.12438</v>
      </c>
      <c r="I137" s="15" t="n">
        <v>0.12544</v>
      </c>
      <c r="J137" s="15" t="n">
        <v>-0.41438</v>
      </c>
      <c r="K137" s="15" t="n">
        <v>0.13166</v>
      </c>
      <c r="L137" s="15" t="n">
        <v>0.075865</v>
      </c>
      <c r="M137" s="15" t="n">
        <v>0.43298</v>
      </c>
      <c r="N137" s="15" t="n">
        <v>-0.54236</v>
      </c>
      <c r="O137" s="15" t="n">
        <v>-0.51881</v>
      </c>
      <c r="P137" s="15" t="n">
        <v>-0.027122</v>
      </c>
      <c r="Q137" s="15" t="n">
        <v>0.4441</v>
      </c>
      <c r="R137" s="15" t="n">
        <v>0.44092</v>
      </c>
      <c r="S137" s="15" t="n">
        <v>-0.14425</v>
      </c>
      <c r="T137" s="15" t="n">
        <v>0.88506</v>
      </c>
      <c r="U137" s="15" t="n">
        <v>0.45246</v>
      </c>
      <c r="V137" s="15" t="n">
        <v>-0.33316</v>
      </c>
      <c r="W137" s="15" t="n">
        <v>-0.01257</v>
      </c>
      <c r="X137" s="15" t="n">
        <v>0.097519</v>
      </c>
      <c r="Y137" s="15" t="n">
        <v>-0.30323</v>
      </c>
      <c r="Z137" s="15" t="n">
        <v>0.25097</v>
      </c>
      <c r="AA137" s="15" t="n">
        <v>0.10618</v>
      </c>
      <c r="AB137" s="15" t="n">
        <v>-0.25461</v>
      </c>
      <c r="AC137" s="15" t="n">
        <v>-0.029241</v>
      </c>
      <c r="AD137" s="15" t="n">
        <v>-0.19771</v>
      </c>
      <c r="AE137" s="15" t="n">
        <v>-0.45984</v>
      </c>
      <c r="AF137" s="15" t="n">
        <v>-0.049765</v>
      </c>
      <c r="AG137" s="15" t="n">
        <v>0.29928</v>
      </c>
      <c r="AH137" s="15" t="n">
        <v>-0.031277</v>
      </c>
      <c r="AI137" s="15" t="n">
        <v>1.0638</v>
      </c>
      <c r="AJ137" s="15" t="n">
        <v>-1.1893</v>
      </c>
      <c r="AK137" s="15" t="n">
        <v>0.018282</v>
      </c>
      <c r="AL137" s="15" t="n">
        <v>0.47727</v>
      </c>
      <c r="AM137" s="15" t="n">
        <v>0.46757</v>
      </c>
      <c r="AN137" s="15" t="n">
        <v>-0.15711</v>
      </c>
      <c r="AO137" s="15" t="n">
        <v>0.076616</v>
      </c>
      <c r="AP137" s="15" t="n">
        <v>0.32928</v>
      </c>
      <c r="AQ137" s="15" t="n">
        <v>0.043149</v>
      </c>
      <c r="AR137" s="15" t="n">
        <v>-0.26667</v>
      </c>
      <c r="AS137" s="15" t="n">
        <v>-0.38438</v>
      </c>
      <c r="AT137" s="15" t="n">
        <v>-0.33516</v>
      </c>
      <c r="AU137" s="15" t="n">
        <v>-0.25737</v>
      </c>
      <c r="AV137" s="15" t="n">
        <v>-0.16917</v>
      </c>
      <c r="AW137" s="15" t="n">
        <v>-0.021292</v>
      </c>
      <c r="AX137" s="15" t="n">
        <v>0.073796</v>
      </c>
      <c r="AY137" s="15" t="n">
        <v>-0.76374</v>
      </c>
      <c r="AZ137" s="15" t="n">
        <v>-0.10372</v>
      </c>
      <c r="BA137" s="15" t="n">
        <v>-0.9567</v>
      </c>
      <c r="BB137" s="15" t="n">
        <v>0.17993</v>
      </c>
      <c r="BC137" s="15" t="n">
        <v>0.98334</v>
      </c>
      <c r="BD137" s="15" t="n">
        <v>-0.098011</v>
      </c>
      <c r="BE137" s="15" t="n">
        <v>1.2885</v>
      </c>
      <c r="BF137" s="15" t="n">
        <v>-0.0035486</v>
      </c>
      <c r="BG137" s="15" t="n">
        <v>-2.1031</v>
      </c>
      <c r="BH137" s="15" t="n">
        <v>0.1607</v>
      </c>
      <c r="BI137" s="15" t="n">
        <v>-0.4637</v>
      </c>
      <c r="BJ137" s="15" t="n">
        <v>2.1013</v>
      </c>
      <c r="BK137" s="15" t="n">
        <v>-0.32036</v>
      </c>
      <c r="BL137" s="15" t="n">
        <v>-0.23991</v>
      </c>
      <c r="BM137" s="15" t="n">
        <v>0.51333</v>
      </c>
      <c r="BN137" s="15" t="n">
        <v>0.33583</v>
      </c>
      <c r="BO137" s="15" t="n">
        <v>0.51771</v>
      </c>
      <c r="BP137" s="15" t="n">
        <v>1.1415</v>
      </c>
      <c r="BQ137" s="15" t="n">
        <v>-0.25423</v>
      </c>
      <c r="BR137" s="15" t="n">
        <v>0.59353</v>
      </c>
      <c r="BS137" s="15" t="n">
        <v>-0.29084</v>
      </c>
      <c r="BT137" s="15" t="n">
        <v>0.10496</v>
      </c>
      <c r="BU137" s="15" t="n">
        <v>-0.53962</v>
      </c>
      <c r="BV137" s="15" t="n">
        <v>-0.52607</v>
      </c>
      <c r="BW137" s="15" t="n">
        <v>-0.4124</v>
      </c>
      <c r="BX137" s="15" t="n">
        <v>0.24496</v>
      </c>
      <c r="BY137" s="15" t="n">
        <v>-0.16256</v>
      </c>
      <c r="BZ137" s="15" t="n">
        <v>-0.16978</v>
      </c>
      <c r="CA137" s="15" t="n">
        <v>-0.17633</v>
      </c>
      <c r="CB137" s="15" t="n">
        <v>-0.031187</v>
      </c>
      <c r="CC137" s="15" t="n">
        <v>0.22001</v>
      </c>
      <c r="CD137" s="15" t="n">
        <v>-0.83047</v>
      </c>
      <c r="CE137" s="15" t="n">
        <v>0.15507</v>
      </c>
      <c r="CF137" s="15" t="n">
        <v>1.1127</v>
      </c>
      <c r="CG137" s="15" t="n">
        <v>-0.81439</v>
      </c>
      <c r="CH137" s="15" t="n">
        <v>-0.65009</v>
      </c>
      <c r="CI137" s="15" t="n">
        <v>0.18613</v>
      </c>
      <c r="CJ137" s="15" t="n">
        <v>-1.7722</v>
      </c>
      <c r="CK137" s="15" t="n">
        <v>0.62818</v>
      </c>
      <c r="CL137" s="15" t="n">
        <v>0.70274</v>
      </c>
      <c r="CM137" s="15" t="n">
        <v>0.15294</v>
      </c>
      <c r="CN137" s="15" t="n">
        <v>0.063443</v>
      </c>
      <c r="CO137" s="15" t="n">
        <v>-0.016877</v>
      </c>
      <c r="CP137" s="15" t="n">
        <v>-0.25586</v>
      </c>
      <c r="CQ137" s="15" t="n">
        <v>-0.079651</v>
      </c>
      <c r="CR137" s="15" t="n">
        <v>0.1152</v>
      </c>
      <c r="CS137" s="15" t="n">
        <v>-0.39382</v>
      </c>
      <c r="CT137" s="15" t="n">
        <v>-0.28579</v>
      </c>
      <c r="CU137" s="15" t="n">
        <v>-0.66355</v>
      </c>
      <c r="CV137" s="15" t="n">
        <v>-0.55221</v>
      </c>
      <c r="CW137" s="15" t="n">
        <v>-0.70364</v>
      </c>
      <c r="CX137" s="15" t="n">
        <v>0.96909</v>
      </c>
      <c r="CY137" s="15" t="n">
        <v>0.021153</v>
      </c>
    </row>
    <row r="138" customFormat="false" ht="15" hidden="false" customHeight="false" outlineLevel="0" collapsed="false">
      <c r="A138" s="4" t="s">
        <v>146</v>
      </c>
      <c r="B138" s="2" t="n">
        <f aca="false">COUNTIF('1.3 TF-IDF coseno'!$M$10:$M$123,A138)</f>
        <v>0</v>
      </c>
      <c r="C138" s="2" t="n">
        <f aca="false">COUNTIF('1.3 TF-IDF coseno'!$N$10:$N$102,A138)</f>
        <v>1</v>
      </c>
      <c r="D138" s="15" t="n">
        <v>-0.12868</v>
      </c>
      <c r="E138" s="15" t="n">
        <v>0.23085</v>
      </c>
      <c r="F138" s="15" t="n">
        <v>0.14074</v>
      </c>
      <c r="G138" s="15" t="n">
        <v>0.36592</v>
      </c>
      <c r="H138" s="15" t="n">
        <v>0.95417</v>
      </c>
      <c r="I138" s="15" t="n">
        <v>-1.6108</v>
      </c>
      <c r="J138" s="15" t="n">
        <v>0.05318</v>
      </c>
      <c r="K138" s="15" t="n">
        <v>-0.50869</v>
      </c>
      <c r="L138" s="15" t="n">
        <v>-0.080053</v>
      </c>
      <c r="M138" s="15" t="n">
        <v>0.45152</v>
      </c>
      <c r="N138" s="15" t="n">
        <v>0.4493</v>
      </c>
      <c r="O138" s="15" t="n">
        <v>-0.76514</v>
      </c>
      <c r="P138" s="15" t="n">
        <v>-0.43619</v>
      </c>
      <c r="Q138" s="15" t="n">
        <v>-0.64714</v>
      </c>
      <c r="R138" s="15" t="n">
        <v>0.2002</v>
      </c>
      <c r="S138" s="15" t="n">
        <v>-0.8847</v>
      </c>
      <c r="T138" s="15" t="n">
        <v>0.73369</v>
      </c>
      <c r="U138" s="15" t="n">
        <v>0.78733</v>
      </c>
      <c r="V138" s="15" t="n">
        <v>-0.17906</v>
      </c>
      <c r="W138" s="15" t="n">
        <v>0.13051</v>
      </c>
      <c r="X138" s="15" t="n">
        <v>-0.65145</v>
      </c>
      <c r="Y138" s="15" t="n">
        <v>-0.8637</v>
      </c>
      <c r="Z138" s="15" t="n">
        <v>0.51773</v>
      </c>
      <c r="AA138" s="15" t="n">
        <v>0.85343</v>
      </c>
      <c r="AB138" s="15" t="n">
        <v>-0.08337</v>
      </c>
      <c r="AC138" s="15" t="n">
        <v>0.18972</v>
      </c>
      <c r="AD138" s="15" t="n">
        <v>0.8</v>
      </c>
      <c r="AE138" s="15" t="n">
        <v>0.5968</v>
      </c>
      <c r="AF138" s="15" t="n">
        <v>-0.78896</v>
      </c>
      <c r="AG138" s="15" t="n">
        <v>0.59035</v>
      </c>
      <c r="AH138" s="15" t="n">
        <v>-0.28827</v>
      </c>
      <c r="AI138" s="15" t="n">
        <v>1.021</v>
      </c>
      <c r="AJ138" s="15" t="n">
        <v>-1.1125</v>
      </c>
      <c r="AK138" s="15" t="n">
        <v>-0.19097</v>
      </c>
      <c r="AL138" s="15" t="n">
        <v>0.73716</v>
      </c>
      <c r="AM138" s="15" t="n">
        <v>-0.27062</v>
      </c>
      <c r="AN138" s="15" t="n">
        <v>-0.18229</v>
      </c>
      <c r="AO138" s="15" t="n">
        <v>-0.25185</v>
      </c>
      <c r="AP138" s="15" t="n">
        <v>0.0082528</v>
      </c>
      <c r="AQ138" s="15" t="n">
        <v>-0.49647</v>
      </c>
      <c r="AR138" s="15" t="n">
        <v>-0.37167</v>
      </c>
      <c r="AS138" s="15" t="n">
        <v>-0.75862</v>
      </c>
      <c r="AT138" s="15" t="n">
        <v>-0.83272</v>
      </c>
      <c r="AU138" s="15" t="n">
        <v>-0.28472</v>
      </c>
      <c r="AV138" s="15" t="n">
        <v>-1.0008</v>
      </c>
      <c r="AW138" s="15" t="n">
        <v>0.27061</v>
      </c>
      <c r="AX138" s="15" t="n">
        <v>0.023039</v>
      </c>
      <c r="AY138" s="15" t="n">
        <v>0.8366</v>
      </c>
      <c r="AZ138" s="15" t="n">
        <v>-0.09416</v>
      </c>
      <c r="BA138" s="15" t="n">
        <v>-0.31641</v>
      </c>
      <c r="BB138" s="15" t="n">
        <v>-0.11571</v>
      </c>
      <c r="BC138" s="15" t="n">
        <v>0.4244</v>
      </c>
      <c r="BD138" s="15" t="n">
        <v>-0.27791</v>
      </c>
      <c r="BE138" s="15" t="n">
        <v>0.83803</v>
      </c>
      <c r="BF138" s="15" t="n">
        <v>0.26891</v>
      </c>
      <c r="BG138" s="15" t="n">
        <v>-0.70402</v>
      </c>
      <c r="BH138" s="15" t="n">
        <v>0.13063</v>
      </c>
      <c r="BI138" s="15" t="n">
        <v>0.40011</v>
      </c>
      <c r="BJ138" s="15" t="n">
        <v>1.2651</v>
      </c>
      <c r="BK138" s="15" t="n">
        <v>-0.53192</v>
      </c>
      <c r="BL138" s="15" t="n">
        <v>0.020488</v>
      </c>
      <c r="BM138" s="15" t="n">
        <v>0.098705</v>
      </c>
      <c r="BN138" s="15" t="n">
        <v>-0.13185</v>
      </c>
      <c r="BO138" s="15" t="n">
        <v>0.20755</v>
      </c>
      <c r="BP138" s="15" t="n">
        <v>-0.019186</v>
      </c>
      <c r="BQ138" s="15" t="n">
        <v>0.018315</v>
      </c>
      <c r="BR138" s="15" t="n">
        <v>0.34777</v>
      </c>
      <c r="BS138" s="15" t="n">
        <v>-0.37387</v>
      </c>
      <c r="BT138" s="15" t="n">
        <v>0.55031</v>
      </c>
      <c r="BU138" s="15" t="n">
        <v>-0.044722</v>
      </c>
      <c r="BV138" s="15" t="n">
        <v>0.39567</v>
      </c>
      <c r="BW138" s="15" t="n">
        <v>0.10961</v>
      </c>
      <c r="BX138" s="15" t="n">
        <v>-0.26142</v>
      </c>
      <c r="BY138" s="15" t="n">
        <v>-0.63224</v>
      </c>
      <c r="BZ138" s="15" t="n">
        <v>-0.04564</v>
      </c>
      <c r="CA138" s="15" t="n">
        <v>-0.67901</v>
      </c>
      <c r="CB138" s="15" t="n">
        <v>0.35835</v>
      </c>
      <c r="CC138" s="15" t="n">
        <v>-0.32904</v>
      </c>
      <c r="CD138" s="15" t="n">
        <v>-0.83784</v>
      </c>
      <c r="CE138" s="15" t="n">
        <v>0.055529</v>
      </c>
      <c r="CF138" s="15" t="n">
        <v>1.1615</v>
      </c>
      <c r="CG138" s="15" t="n">
        <v>0.13332</v>
      </c>
      <c r="CH138" s="15" t="n">
        <v>-0.15287</v>
      </c>
      <c r="CI138" s="15" t="n">
        <v>0.56864</v>
      </c>
      <c r="CJ138" s="15" t="n">
        <v>-1.701</v>
      </c>
      <c r="CK138" s="15" t="n">
        <v>0.76761</v>
      </c>
      <c r="CL138" s="15" t="n">
        <v>0.80646</v>
      </c>
      <c r="CM138" s="15" t="n">
        <v>-0.4574</v>
      </c>
      <c r="CN138" s="15" t="n">
        <v>0.023968</v>
      </c>
      <c r="CO138" s="15" t="n">
        <v>0.14102</v>
      </c>
      <c r="CP138" s="15" t="n">
        <v>-0.17367</v>
      </c>
      <c r="CQ138" s="15" t="n">
        <v>-0.40397</v>
      </c>
      <c r="CR138" s="15" t="n">
        <v>0.19736</v>
      </c>
      <c r="CS138" s="15" t="n">
        <v>0.16521</v>
      </c>
      <c r="CT138" s="15" t="n">
        <v>-0.50853</v>
      </c>
      <c r="CU138" s="15" t="n">
        <v>0.50444</v>
      </c>
      <c r="CV138" s="15" t="n">
        <v>-0.162</v>
      </c>
      <c r="CW138" s="15" t="n">
        <v>-0.91166</v>
      </c>
      <c r="CX138" s="15" t="n">
        <v>0.91738</v>
      </c>
      <c r="CY138" s="15" t="n">
        <v>0.3067</v>
      </c>
    </row>
    <row r="139" customFormat="false" ht="15" hidden="false" customHeight="false" outlineLevel="0" collapsed="false">
      <c r="A139" s="4" t="s">
        <v>147</v>
      </c>
      <c r="B139" s="2" t="n">
        <f aca="false">COUNTIF('1.3 TF-IDF coseno'!$M$10:$M$123,A139)</f>
        <v>0</v>
      </c>
      <c r="C139" s="2" t="n">
        <f aca="false">COUNTIF('1.3 TF-IDF coseno'!$N$10:$N$102,A139)</f>
        <v>1</v>
      </c>
      <c r="D139" s="15" t="n">
        <v>-0.84077</v>
      </c>
      <c r="E139" s="15" t="n">
        <v>-0.037751</v>
      </c>
      <c r="F139" s="15" t="n">
        <v>0.30005</v>
      </c>
      <c r="G139" s="15" t="n">
        <v>0.39005</v>
      </c>
      <c r="H139" s="15" t="n">
        <v>0.17337</v>
      </c>
      <c r="I139" s="15" t="n">
        <v>0.24543</v>
      </c>
      <c r="J139" s="15" t="n">
        <v>-0.45248</v>
      </c>
      <c r="K139" s="15" t="n">
        <v>-0.051572</v>
      </c>
      <c r="L139" s="15" t="n">
        <v>0.22849</v>
      </c>
      <c r="M139" s="15" t="n">
        <v>-0.11157</v>
      </c>
      <c r="N139" s="15" t="n">
        <v>-0.37111</v>
      </c>
      <c r="O139" s="15" t="n">
        <v>-0.41436</v>
      </c>
      <c r="P139" s="15" t="n">
        <v>-0.43866</v>
      </c>
      <c r="Q139" s="15" t="n">
        <v>-0.066038</v>
      </c>
      <c r="R139" s="15" t="n">
        <v>-0.18816</v>
      </c>
      <c r="S139" s="15" t="n">
        <v>-0.1938</v>
      </c>
      <c r="T139" s="15" t="n">
        <v>0.52634</v>
      </c>
      <c r="U139" s="15" t="n">
        <v>0.18451</v>
      </c>
      <c r="V139" s="15" t="n">
        <v>-0.9698</v>
      </c>
      <c r="W139" s="15" t="n">
        <v>-1.2992</v>
      </c>
      <c r="X139" s="15" t="n">
        <v>-0.64173</v>
      </c>
      <c r="Y139" s="15" t="n">
        <v>-0.98507</v>
      </c>
      <c r="Z139" s="15" t="n">
        <v>0.02689</v>
      </c>
      <c r="AA139" s="15" t="n">
        <v>-0.060261</v>
      </c>
      <c r="AB139" s="15" t="n">
        <v>-0.16238</v>
      </c>
      <c r="AC139" s="15" t="n">
        <v>-0.67173</v>
      </c>
      <c r="AD139" s="15" t="n">
        <v>-0.055132</v>
      </c>
      <c r="AE139" s="15" t="n">
        <v>0.55854</v>
      </c>
      <c r="AF139" s="15" t="n">
        <v>0.19009</v>
      </c>
      <c r="AG139" s="15" t="n">
        <v>0.40492</v>
      </c>
      <c r="AH139" s="15" t="n">
        <v>0.20887</v>
      </c>
      <c r="AI139" s="15" t="n">
        <v>0.63972</v>
      </c>
      <c r="AJ139" s="15" t="n">
        <v>1.0504</v>
      </c>
      <c r="AK139" s="15" t="n">
        <v>0.62563</v>
      </c>
      <c r="AL139" s="15" t="n">
        <v>-0.32397</v>
      </c>
      <c r="AM139" s="15" t="n">
        <v>0.18054</v>
      </c>
      <c r="AN139" s="15" t="n">
        <v>-0.068602</v>
      </c>
      <c r="AO139" s="15" t="n">
        <v>-0.28184</v>
      </c>
      <c r="AP139" s="15" t="n">
        <v>-0.22424</v>
      </c>
      <c r="AQ139" s="15" t="n">
        <v>0.67935</v>
      </c>
      <c r="AR139" s="15" t="n">
        <v>-0.66364</v>
      </c>
      <c r="AS139" s="15" t="n">
        <v>-0.13951</v>
      </c>
      <c r="AT139" s="15" t="n">
        <v>0.15615</v>
      </c>
      <c r="AU139" s="15" t="n">
        <v>0.052817</v>
      </c>
      <c r="AV139" s="15" t="n">
        <v>-0.62812</v>
      </c>
      <c r="AW139" s="15" t="n">
        <v>0.14243</v>
      </c>
      <c r="AX139" s="15" t="n">
        <v>-0.0061438</v>
      </c>
      <c r="AY139" s="15" t="n">
        <v>-0.37101</v>
      </c>
      <c r="AZ139" s="15" t="n">
        <v>-0.40705</v>
      </c>
      <c r="BA139" s="15" t="n">
        <v>-0.47375</v>
      </c>
      <c r="BB139" s="15" t="n">
        <v>0.55215</v>
      </c>
      <c r="BC139" s="15" t="n">
        <v>-0.34591</v>
      </c>
      <c r="BD139" s="15" t="n">
        <v>0.62337</v>
      </c>
      <c r="BE139" s="15" t="n">
        <v>0.1607</v>
      </c>
      <c r="BF139" s="15" t="n">
        <v>-0.16315</v>
      </c>
      <c r="BG139" s="15" t="n">
        <v>-1.9544</v>
      </c>
      <c r="BH139" s="15" t="n">
        <v>-0.083108</v>
      </c>
      <c r="BI139" s="15" t="n">
        <v>-0.31313</v>
      </c>
      <c r="BJ139" s="15" t="n">
        <v>1.7145</v>
      </c>
      <c r="BK139" s="15" t="n">
        <v>-0.15753</v>
      </c>
      <c r="BL139" s="15" t="n">
        <v>-0.56012</v>
      </c>
      <c r="BM139" s="15" t="n">
        <v>0.15818</v>
      </c>
      <c r="BN139" s="15" t="n">
        <v>-0.37845</v>
      </c>
      <c r="BO139" s="15" t="n">
        <v>-1.2824</v>
      </c>
      <c r="BP139" s="15" t="n">
        <v>0.6127</v>
      </c>
      <c r="BQ139" s="15" t="n">
        <v>-0.47654</v>
      </c>
      <c r="BR139" s="15" t="n">
        <v>0.34083</v>
      </c>
      <c r="BS139" s="15" t="n">
        <v>0.083274</v>
      </c>
      <c r="BT139" s="15" t="n">
        <v>0.47165</v>
      </c>
      <c r="BU139" s="15" t="n">
        <v>-0.54222</v>
      </c>
      <c r="BV139" s="15" t="n">
        <v>0.081186</v>
      </c>
      <c r="BW139" s="15" t="n">
        <v>0.036679</v>
      </c>
      <c r="BX139" s="15" t="n">
        <v>-0.40275</v>
      </c>
      <c r="BY139" s="15" t="n">
        <v>-1.1722</v>
      </c>
      <c r="BZ139" s="15" t="n">
        <v>0.47165</v>
      </c>
      <c r="CA139" s="15" t="n">
        <v>0.31325</v>
      </c>
      <c r="CB139" s="15" t="n">
        <v>-0.0889</v>
      </c>
      <c r="CC139" s="15" t="n">
        <v>0.25728</v>
      </c>
      <c r="CD139" s="15" t="n">
        <v>-1.0854</v>
      </c>
      <c r="CE139" s="15" t="n">
        <v>-0.10385</v>
      </c>
      <c r="CF139" s="15" t="n">
        <v>0.30211</v>
      </c>
      <c r="CG139" s="15" t="n">
        <v>-0.79542</v>
      </c>
      <c r="CH139" s="15" t="n">
        <v>-0.014068</v>
      </c>
      <c r="CI139" s="15" t="n">
        <v>-0.56314</v>
      </c>
      <c r="CJ139" s="15" t="n">
        <v>-1.6502</v>
      </c>
      <c r="CK139" s="15" t="n">
        <v>-0.1172</v>
      </c>
      <c r="CL139" s="15" t="n">
        <v>0.001244</v>
      </c>
      <c r="CM139" s="15" t="n">
        <v>0.089657</v>
      </c>
      <c r="CN139" s="15" t="n">
        <v>-0.44582</v>
      </c>
      <c r="CO139" s="15" t="n">
        <v>-0.27682</v>
      </c>
      <c r="CP139" s="15" t="n">
        <v>-0.36952</v>
      </c>
      <c r="CQ139" s="15" t="n">
        <v>0.65932</v>
      </c>
      <c r="CR139" s="15" t="n">
        <v>0.25622</v>
      </c>
      <c r="CS139" s="15" t="n">
        <v>0.0017851</v>
      </c>
      <c r="CT139" s="15" t="n">
        <v>-0.2024</v>
      </c>
      <c r="CU139" s="15" t="n">
        <v>0.14982</v>
      </c>
      <c r="CV139" s="15" t="n">
        <v>0.47018</v>
      </c>
      <c r="CW139" s="15" t="n">
        <v>-0.48195</v>
      </c>
      <c r="CX139" s="15" t="n">
        <v>0.69802</v>
      </c>
      <c r="CY139" s="15" t="n">
        <v>0.35768</v>
      </c>
    </row>
    <row r="140" customFormat="false" ht="15" hidden="false" customHeight="false" outlineLevel="0" collapsed="false">
      <c r="A140" s="4" t="s">
        <v>148</v>
      </c>
      <c r="B140" s="2" t="n">
        <f aca="false">COUNTIF('1.3 TF-IDF coseno'!$M$10:$M$123,A140)</f>
        <v>0</v>
      </c>
      <c r="C140" s="2" t="n">
        <f aca="false">COUNTIF('1.3 TF-IDF coseno'!$N$10:$N$102,A140)</f>
        <v>1</v>
      </c>
      <c r="D140" s="15" t="n">
        <v>0.10025</v>
      </c>
      <c r="E140" s="15" t="n">
        <v>0.28797</v>
      </c>
      <c r="F140" s="15" t="n">
        <v>0.2426</v>
      </c>
      <c r="G140" s="15" t="n">
        <v>0.84315</v>
      </c>
      <c r="H140" s="15" t="n">
        <v>0.13604</v>
      </c>
      <c r="I140" s="15" t="n">
        <v>-0.59634</v>
      </c>
      <c r="J140" s="15" t="n">
        <v>-0.54454</v>
      </c>
      <c r="K140" s="15" t="n">
        <v>-0.7633</v>
      </c>
      <c r="L140" s="15" t="n">
        <v>0.21157</v>
      </c>
      <c r="M140" s="15" t="n">
        <v>-0.10222</v>
      </c>
      <c r="N140" s="15" t="n">
        <v>-0.15331</v>
      </c>
      <c r="O140" s="15" t="n">
        <v>-0.094618</v>
      </c>
      <c r="P140" s="15" t="n">
        <v>0.070312</v>
      </c>
      <c r="Q140" s="15" t="n">
        <v>0.13812</v>
      </c>
      <c r="R140" s="15" t="n">
        <v>-0.65514</v>
      </c>
      <c r="S140" s="15" t="n">
        <v>0.07158</v>
      </c>
      <c r="T140" s="15" t="n">
        <v>-0.49063</v>
      </c>
      <c r="U140" s="15" t="n">
        <v>0.96025</v>
      </c>
      <c r="V140" s="15" t="n">
        <v>-0.10696</v>
      </c>
      <c r="W140" s="15" t="n">
        <v>-0.35087</v>
      </c>
      <c r="X140" s="15" t="n">
        <v>0.21949</v>
      </c>
      <c r="Y140" s="15" t="n">
        <v>-0.55276</v>
      </c>
      <c r="Z140" s="15" t="n">
        <v>0.0078851</v>
      </c>
      <c r="AA140" s="15" t="n">
        <v>-0.10504</v>
      </c>
      <c r="AB140" s="15" t="n">
        <v>0.45906</v>
      </c>
      <c r="AC140" s="15" t="n">
        <v>-0.54729</v>
      </c>
      <c r="AD140" s="15" t="n">
        <v>0.29889</v>
      </c>
      <c r="AE140" s="15" t="n">
        <v>-0.40159</v>
      </c>
      <c r="AF140" s="15" t="n">
        <v>-0.54866</v>
      </c>
      <c r="AG140" s="15" t="n">
        <v>0.37498</v>
      </c>
      <c r="AH140" s="15" t="n">
        <v>-0.25781</v>
      </c>
      <c r="AI140" s="15" t="n">
        <v>0.56397</v>
      </c>
      <c r="AJ140" s="15" t="n">
        <v>0.092455</v>
      </c>
      <c r="AK140" s="15" t="n">
        <v>-0.063926</v>
      </c>
      <c r="AL140" s="15" t="n">
        <v>-0.37283</v>
      </c>
      <c r="AM140" s="15" t="n">
        <v>-0.29336</v>
      </c>
      <c r="AN140" s="15" t="n">
        <v>0.24531</v>
      </c>
      <c r="AO140" s="15" t="n">
        <v>0.36443</v>
      </c>
      <c r="AP140" s="15" t="n">
        <v>0.018076</v>
      </c>
      <c r="AQ140" s="15" t="n">
        <v>-0.29163</v>
      </c>
      <c r="AR140" s="15" t="n">
        <v>-0.6987</v>
      </c>
      <c r="AS140" s="15" t="n">
        <v>-0.013399</v>
      </c>
      <c r="AT140" s="15" t="n">
        <v>0.80805</v>
      </c>
      <c r="AU140" s="15" t="n">
        <v>0.040314</v>
      </c>
      <c r="AV140" s="15" t="n">
        <v>-0.80048</v>
      </c>
      <c r="AW140" s="15" t="n">
        <v>0.1572</v>
      </c>
      <c r="AX140" s="15" t="n">
        <v>0.46389</v>
      </c>
      <c r="AY140" s="15" t="n">
        <v>0.59088</v>
      </c>
      <c r="AZ140" s="15" t="n">
        <v>-1.5594</v>
      </c>
      <c r="BA140" s="15" t="n">
        <v>-0.24908</v>
      </c>
      <c r="BB140" s="15" t="n">
        <v>0.72184</v>
      </c>
      <c r="BC140" s="15" t="n">
        <v>-0.0075456</v>
      </c>
      <c r="BD140" s="15" t="n">
        <v>-0.42624</v>
      </c>
      <c r="BE140" s="15" t="n">
        <v>0.52116</v>
      </c>
      <c r="BF140" s="15" t="n">
        <v>0.30912</v>
      </c>
      <c r="BG140" s="15" t="n">
        <v>-1.0198</v>
      </c>
      <c r="BH140" s="15" t="n">
        <v>1.5516</v>
      </c>
      <c r="BI140" s="15" t="n">
        <v>-0.51851</v>
      </c>
      <c r="BJ140" s="15" t="n">
        <v>1.766</v>
      </c>
      <c r="BK140" s="15" t="n">
        <v>0.1088</v>
      </c>
      <c r="BL140" s="15" t="n">
        <v>-0.19223</v>
      </c>
      <c r="BM140" s="15" t="n">
        <v>-0.060452</v>
      </c>
      <c r="BN140" s="15" t="n">
        <v>-0.99196</v>
      </c>
      <c r="BO140" s="15" t="n">
        <v>-0.38021</v>
      </c>
      <c r="BP140" s="15" t="n">
        <v>1.0989</v>
      </c>
      <c r="BQ140" s="15" t="n">
        <v>0.12126</v>
      </c>
      <c r="BR140" s="15" t="n">
        <v>-0.27391</v>
      </c>
      <c r="BS140" s="15" t="n">
        <v>-0.30143</v>
      </c>
      <c r="BT140" s="15" t="n">
        <v>0.11329</v>
      </c>
      <c r="BU140" s="15" t="n">
        <v>-0.35805</v>
      </c>
      <c r="BV140" s="15" t="n">
        <v>-0.080754</v>
      </c>
      <c r="BW140" s="15" t="n">
        <v>0.64521</v>
      </c>
      <c r="BX140" s="15" t="n">
        <v>0.25768</v>
      </c>
      <c r="BY140" s="15" t="n">
        <v>-0.24701</v>
      </c>
      <c r="BZ140" s="15" t="n">
        <v>0.46992</v>
      </c>
      <c r="CA140" s="15" t="n">
        <v>-0.22528</v>
      </c>
      <c r="CB140" s="15" t="n">
        <v>0.0057228</v>
      </c>
      <c r="CC140" s="15" t="n">
        <v>-0.46904</v>
      </c>
      <c r="CD140" s="15" t="n">
        <v>-0.83618</v>
      </c>
      <c r="CE140" s="15" t="n">
        <v>0.032032</v>
      </c>
      <c r="CF140" s="15" t="n">
        <v>0.04039</v>
      </c>
      <c r="CG140" s="15" t="n">
        <v>-0.054676</v>
      </c>
      <c r="CH140" s="15" t="n">
        <v>-0.067769</v>
      </c>
      <c r="CI140" s="15" t="n">
        <v>0.24117</v>
      </c>
      <c r="CJ140" s="15" t="n">
        <v>-1.2289</v>
      </c>
      <c r="CK140" s="15" t="n">
        <v>0.37108</v>
      </c>
      <c r="CL140" s="15" t="n">
        <v>-0.048597</v>
      </c>
      <c r="CM140" s="15" t="n">
        <v>-0.12255</v>
      </c>
      <c r="CN140" s="15" t="n">
        <v>-0.29599</v>
      </c>
      <c r="CO140" s="15" t="n">
        <v>-0.47983</v>
      </c>
      <c r="CP140" s="15" t="n">
        <v>-0.75433</v>
      </c>
      <c r="CQ140" s="15" t="n">
        <v>-0.32694</v>
      </c>
      <c r="CR140" s="15" t="n">
        <v>-0.66916</v>
      </c>
      <c r="CS140" s="15" t="n">
        <v>0.24582</v>
      </c>
      <c r="CT140" s="15" t="n">
        <v>-0.15113</v>
      </c>
      <c r="CU140" s="15" t="n">
        <v>-0.12506</v>
      </c>
      <c r="CV140" s="15" t="n">
        <v>-0.12546</v>
      </c>
      <c r="CW140" s="15" t="n">
        <v>-1.5529</v>
      </c>
      <c r="CX140" s="15" t="n">
        <v>-0.011896</v>
      </c>
      <c r="CY140" s="15" t="n">
        <v>1.3481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3"/>
    <col collapsed="false" customWidth="true" hidden="false" outlineLevel="0" max="8" min="8" style="0" width="20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9" t="s">
        <v>351</v>
      </c>
    </row>
    <row r="2" customFormat="false" ht="15" hidden="false" customHeight="false" outlineLevel="0" collapsed="false">
      <c r="A2" s="10" t="s">
        <v>352</v>
      </c>
    </row>
    <row r="3" customFormat="false" ht="15" hidden="false" customHeight="false" outlineLevel="0" collapsed="false">
      <c r="J3" s="3" t="s">
        <v>69</v>
      </c>
    </row>
    <row r="4" customFormat="false" ht="15" hidden="false" customHeight="false" outlineLevel="0" collapsed="false">
      <c r="A4" s="3" t="s">
        <v>353</v>
      </c>
      <c r="B4" s="2" t="n">
        <f aca="false">SUM('GloVe vectores'!B4:B140)</f>
        <v>114</v>
      </c>
      <c r="C4" s="2" t="s">
        <v>354</v>
      </c>
      <c r="H4" s="3" t="s">
        <v>355</v>
      </c>
      <c r="I4" s="18" t="n">
        <f aca="false">SUM(D8:D107)</f>
        <v>7.57193944368721</v>
      </c>
      <c r="J4" s="15" t="n">
        <v>7.5719</v>
      </c>
    </row>
    <row r="5" customFormat="false" ht="15" hidden="false" customHeight="false" outlineLevel="0" collapsed="false">
      <c r="A5" s="3" t="s">
        <v>356</v>
      </c>
      <c r="B5" s="2" t="n">
        <f aca="false">SUM('GloVe vectores'!C4:C140)</f>
        <v>92</v>
      </c>
      <c r="C5" s="2" t="s">
        <v>357</v>
      </c>
      <c r="H5" s="3" t="s">
        <v>358</v>
      </c>
      <c r="I5" s="18" t="n">
        <f aca="false">SQRT(SUM(E8:E107))</f>
        <v>3.19990764640309</v>
      </c>
      <c r="J5" s="15" t="n">
        <v>3.1999</v>
      </c>
    </row>
    <row r="6" customFormat="false" ht="15" hidden="false" customHeight="false" outlineLevel="0" collapsed="false">
      <c r="H6" s="3" t="s">
        <v>359</v>
      </c>
      <c r="I6" s="18" t="n">
        <f aca="false">SQRT(SUM(F8:F107))</f>
        <v>2.53226611732956</v>
      </c>
      <c r="J6" s="15" t="n">
        <v>2.5323</v>
      </c>
    </row>
    <row r="7" customFormat="false" ht="15" hidden="false" customHeight="false" outlineLevel="0" collapsed="false">
      <c r="A7" s="7" t="s">
        <v>360</v>
      </c>
      <c r="B7" s="7" t="s">
        <v>361</v>
      </c>
      <c r="C7" s="7" t="s">
        <v>362</v>
      </c>
      <c r="D7" s="7" t="s">
        <v>355</v>
      </c>
      <c r="E7" s="7" t="s">
        <v>363</v>
      </c>
      <c r="F7" s="7" t="s">
        <v>364</v>
      </c>
      <c r="H7" s="3" t="s">
        <v>365</v>
      </c>
      <c r="I7" s="14" t="n">
        <f aca="false">I4/(I5*I6)</f>
        <v>0.934459199425818</v>
      </c>
      <c r="J7" s="15" t="n">
        <v>0.9345</v>
      </c>
    </row>
    <row r="8" customFormat="false" ht="15" hidden="false" customHeight="false" outlineLevel="0" collapsed="false">
      <c r="A8" s="2" t="n">
        <v>1</v>
      </c>
      <c r="B8" s="18" t="n">
        <f aca="false">SUMPRODUCT('GloVe vectores'!$B$4:$B$140,'GloVe vectores'!D4:D140)/$B$4</f>
        <v>-0.0663057894736842</v>
      </c>
      <c r="C8" s="18" t="n">
        <f aca="false">SUMPRODUCT('GloVe vectores'!$C$4:$C$140,'GloVe vectores'!D4:D140)/$B$5</f>
        <v>-0.0834950869565218</v>
      </c>
      <c r="D8" s="18" t="n">
        <f aca="false">B8*C8</f>
        <v>0.00553620765782609</v>
      </c>
      <c r="E8" s="18" t="n">
        <f aca="false">B8^2</f>
        <v>0.00439645771772853</v>
      </c>
      <c r="F8" s="18" t="n">
        <f aca="false">C8^2</f>
        <v>0.00697142954587713</v>
      </c>
      <c r="H8" s="3" t="s">
        <v>225</v>
      </c>
      <c r="I8" s="19" t="n">
        <f aca="false">DEGREES(ACOS(I7))</f>
        <v>20.8590502120031</v>
      </c>
      <c r="J8" s="20" t="n">
        <v>20.86</v>
      </c>
    </row>
    <row r="9" customFormat="false" ht="15" hidden="false" customHeight="false" outlineLevel="0" collapsed="false">
      <c r="A9" s="2" t="n">
        <v>2</v>
      </c>
      <c r="B9" s="18" t="n">
        <f aca="false">SUMPRODUCT('GloVe vectores'!$B$4:$B$140,'GloVe vectores'!E4:E140)/$B$4</f>
        <v>0.26452802631579</v>
      </c>
      <c r="C9" s="18" t="n">
        <f aca="false">SUMPRODUCT('GloVe vectores'!$C$4:$C$140,'GloVe vectores'!E4:E140)/$B$5</f>
        <v>0.264127884782609</v>
      </c>
      <c r="D9" s="18" t="n">
        <f aca="false">B9*C9</f>
        <v>0.0698692280565077</v>
      </c>
      <c r="E9" s="18" t="n">
        <f aca="false">B9^2</f>
        <v>0.069975076706527</v>
      </c>
      <c r="F9" s="18" t="n">
        <f aca="false">C9^2</f>
        <v>0.069763539519735</v>
      </c>
      <c r="H9" s="3" t="s">
        <v>366</v>
      </c>
      <c r="I9" s="18" t="n">
        <f aca="false">SQRT(SUMPRODUCT((B8:B107-C8:C107)^2))</f>
        <v>1.22796650895284</v>
      </c>
      <c r="J9" s="15" t="n">
        <v>1.228</v>
      </c>
    </row>
    <row r="10" customFormat="false" ht="15" hidden="false" customHeight="false" outlineLevel="0" collapsed="false">
      <c r="A10" s="2" t="n">
        <v>3</v>
      </c>
      <c r="B10" s="18" t="n">
        <f aca="false">SUMPRODUCT('GloVe vectores'!$B$4:$B$140,'GloVe vectores'!F4:F140)/$B$4</f>
        <v>-0.0602390263157895</v>
      </c>
      <c r="C10" s="18" t="n">
        <f aca="false">SUMPRODUCT('GloVe vectores'!$C$4:$C$140,'GloVe vectores'!F4:F140)/$B$5</f>
        <v>0.188889877173913</v>
      </c>
      <c r="D10" s="18" t="n">
        <f aca="false">B10*C10</f>
        <v>-0.0113785422818656</v>
      </c>
      <c r="E10" s="18" t="n">
        <f aca="false">B10^2</f>
        <v>0.00362874029147438</v>
      </c>
      <c r="F10" s="18" t="n">
        <f aca="false">C10^2</f>
        <v>0.035679385698776</v>
      </c>
    </row>
    <row r="11" customFormat="false" ht="15" hidden="false" customHeight="false" outlineLevel="0" collapsed="false">
      <c r="A11" s="2" t="n">
        <v>4</v>
      </c>
      <c r="B11" s="18" t="n">
        <f aca="false">SUMPRODUCT('GloVe vectores'!$B$4:$B$140,'GloVe vectores'!G4:G140)/$B$4</f>
        <v>0.218426473684211</v>
      </c>
      <c r="C11" s="18" t="n">
        <f aca="false">SUMPRODUCT('GloVe vectores'!$C$4:$C$140,'GloVe vectores'!G4:G140)/$B$5</f>
        <v>0.168513436956522</v>
      </c>
      <c r="D11" s="18" t="n">
        <f aca="false">B11*C11</f>
        <v>0.0368077958028196</v>
      </c>
      <c r="E11" s="18" t="n">
        <f aca="false">B11^2</f>
        <v>0.0477101244061191</v>
      </c>
      <c r="F11" s="18" t="n">
        <f aca="false">C11^2</f>
        <v>0.0283967784348996</v>
      </c>
    </row>
    <row r="12" customFormat="false" ht="15" hidden="false" customHeight="false" outlineLevel="0" collapsed="false">
      <c r="A12" s="2" t="n">
        <v>5</v>
      </c>
      <c r="B12" s="18" t="n">
        <f aca="false">SUMPRODUCT('GloVe vectores'!$B$4:$B$140,'GloVe vectores'!H4:H140)/$B$4</f>
        <v>0.0156179429824561</v>
      </c>
      <c r="C12" s="18" t="n">
        <f aca="false">SUMPRODUCT('GloVe vectores'!$C$4:$C$140,'GloVe vectores'!H4:H140)/$B$5</f>
        <v>-0.0399861739130435</v>
      </c>
      <c r="D12" s="18" t="n">
        <f aca="false">B12*C12</f>
        <v>-0.000624501784260488</v>
      </c>
      <c r="E12" s="18" t="n">
        <f aca="false">B12^2</f>
        <v>0.000243920143003251</v>
      </c>
      <c r="F12" s="18" t="n">
        <f aca="false">C12^2</f>
        <v>0.00159889410420416</v>
      </c>
    </row>
    <row r="13" customFormat="false" ht="15" hidden="false" customHeight="false" outlineLevel="0" collapsed="false">
      <c r="A13" s="2" t="n">
        <v>6</v>
      </c>
      <c r="B13" s="18" t="n">
        <f aca="false">SUMPRODUCT('GloVe vectores'!$B$4:$B$140,'GloVe vectores'!I4:I140)/$B$4</f>
        <v>-0.0980427833333333</v>
      </c>
      <c r="C13" s="18" t="n">
        <f aca="false">SUMPRODUCT('GloVe vectores'!$C$4:$C$140,'GloVe vectores'!I4:I140)/$B$5</f>
        <v>-0.0911696630434783</v>
      </c>
      <c r="D13" s="18" t="n">
        <f aca="false">B13*C13</f>
        <v>0.00893852752034475</v>
      </c>
      <c r="E13" s="18" t="n">
        <f aca="false">B13^2</f>
        <v>0.00961238736374694</v>
      </c>
      <c r="F13" s="18" t="n">
        <f aca="false">C13^2</f>
        <v>0.00831190745946137</v>
      </c>
    </row>
    <row r="14" customFormat="false" ht="15" hidden="false" customHeight="false" outlineLevel="0" collapsed="false">
      <c r="A14" s="2" t="n">
        <v>7</v>
      </c>
      <c r="B14" s="18" t="n">
        <f aca="false">SUMPRODUCT('GloVe vectores'!$B$4:$B$140,'GloVe vectores'!J4:J140)/$B$4</f>
        <v>-0.161127328947368</v>
      </c>
      <c r="C14" s="18" t="n">
        <f aca="false">SUMPRODUCT('GloVe vectores'!$C$4:$C$140,'GloVe vectores'!J4:J140)/$B$5</f>
        <v>-0.215044054347826</v>
      </c>
      <c r="D14" s="18" t="n">
        <f aca="false">B14*C14</f>
        <v>0.034649474083078</v>
      </c>
      <c r="E14" s="18" t="n">
        <f aca="false">B14^2</f>
        <v>0.0259620161337135</v>
      </c>
      <c r="F14" s="18" t="n">
        <f aca="false">C14^2</f>
        <v>0.0462439453103508</v>
      </c>
    </row>
    <row r="15" customFormat="false" ht="15" hidden="false" customHeight="false" outlineLevel="0" collapsed="false">
      <c r="A15" s="2" t="n">
        <v>8</v>
      </c>
      <c r="B15" s="18" t="n">
        <f aca="false">SUMPRODUCT('GloVe vectores'!$B$4:$B$140,'GloVe vectores'!K4:K140)/$B$4</f>
        <v>0.0795368894736842</v>
      </c>
      <c r="C15" s="18" t="n">
        <f aca="false">SUMPRODUCT('GloVe vectores'!$C$4:$C$140,'GloVe vectores'!K4:K140)/$B$5</f>
        <v>-0.0978155163043478</v>
      </c>
      <c r="D15" s="18" t="n">
        <f aca="false">B15*C15</f>
        <v>-0.00777994190911027</v>
      </c>
      <c r="E15" s="18" t="n">
        <f aca="false">B15^2</f>
        <v>0.00632611678714906</v>
      </c>
      <c r="F15" s="18" t="n">
        <f aca="false">C15^2</f>
        <v>0.00956787522988614</v>
      </c>
    </row>
    <row r="16" customFormat="false" ht="15" hidden="false" customHeight="false" outlineLevel="0" collapsed="false">
      <c r="A16" s="2" t="n">
        <v>9</v>
      </c>
      <c r="B16" s="18" t="n">
        <f aca="false">SUMPRODUCT('GloVe vectores'!$B$4:$B$140,'GloVe vectores'!L4:L140)/$B$4</f>
        <v>-0.217506084210526</v>
      </c>
      <c r="C16" s="18" t="n">
        <f aca="false">SUMPRODUCT('GloVe vectores'!$C$4:$C$140,'GloVe vectores'!L4:L140)/$B$5</f>
        <v>0.1356724</v>
      </c>
      <c r="D16" s="18" t="n">
        <f aca="false">B16*C16</f>
        <v>-0.0295095724594442</v>
      </c>
      <c r="E16" s="18" t="n">
        <f aca="false">B16^2</f>
        <v>0.0473088966685966</v>
      </c>
      <c r="F16" s="18" t="n">
        <f aca="false">C16^2</f>
        <v>0.01840700012176</v>
      </c>
    </row>
    <row r="17" customFormat="false" ht="15" hidden="false" customHeight="false" outlineLevel="0" collapsed="false">
      <c r="A17" s="2" t="n">
        <v>10</v>
      </c>
      <c r="B17" s="18" t="n">
        <f aca="false">SUMPRODUCT('GloVe vectores'!$B$4:$B$140,'GloVe vectores'!M4:M140)/$B$4</f>
        <v>0.295000915789474</v>
      </c>
      <c r="C17" s="18" t="n">
        <f aca="false">SUMPRODUCT('GloVe vectores'!$C$4:$C$140,'GloVe vectores'!M4:M140)/$B$5</f>
        <v>0.203754459782609</v>
      </c>
      <c r="D17" s="18" t="n">
        <f aca="false">B17*C17</f>
        <v>0.0601077522320591</v>
      </c>
      <c r="E17" s="18" t="n">
        <f aca="false">B17^2</f>
        <v>0.0870255403166281</v>
      </c>
      <c r="F17" s="18" t="n">
        <f aca="false">C17^2</f>
        <v>0.0415158798813027</v>
      </c>
    </row>
    <row r="18" customFormat="false" ht="15" hidden="false" customHeight="false" outlineLevel="0" collapsed="false">
      <c r="A18" s="2" t="n">
        <v>11</v>
      </c>
      <c r="B18" s="18" t="n">
        <f aca="false">SUMPRODUCT('GloVe vectores'!$B$4:$B$140,'GloVe vectores'!N4:N140)/$B$4</f>
        <v>-0.00744547894736842</v>
      </c>
      <c r="C18" s="18" t="n">
        <f aca="false">SUMPRODUCT('GloVe vectores'!$C$4:$C$140,'GloVe vectores'!N4:N140)/$B$5</f>
        <v>-0.0252359706521739</v>
      </c>
      <c r="D18" s="18" t="n">
        <f aca="false">B18*C18</f>
        <v>0.000187893888207168</v>
      </c>
      <c r="E18" s="18" t="n">
        <f aca="false">B18^2</f>
        <v>5.54351567557064E-005</v>
      </c>
      <c r="F18" s="18" t="n">
        <f aca="false">C18^2</f>
        <v>0.000636854214757383</v>
      </c>
    </row>
    <row r="19" customFormat="false" ht="15" hidden="false" customHeight="false" outlineLevel="0" collapsed="false">
      <c r="A19" s="2" t="n">
        <v>12</v>
      </c>
      <c r="B19" s="18" t="n">
        <f aca="false">SUMPRODUCT('GloVe vectores'!$B$4:$B$140,'GloVe vectores'!O4:O140)/$B$4</f>
        <v>-0.220077631578947</v>
      </c>
      <c r="C19" s="18" t="n">
        <f aca="false">SUMPRODUCT('GloVe vectores'!$C$4:$C$140,'GloVe vectores'!O4:O140)/$B$5</f>
        <v>0.00231288141304348</v>
      </c>
      <c r="D19" s="18" t="n">
        <f aca="false">B19*C19</f>
        <v>-0.000509013463505577</v>
      </c>
      <c r="E19" s="18" t="n">
        <f aca="false">B19^2</f>
        <v>0.0484341639213989</v>
      </c>
      <c r="F19" s="18" t="n">
        <f aca="false">C19^2</f>
        <v>5.34942043080199E-006</v>
      </c>
    </row>
    <row r="20" customFormat="false" ht="15" hidden="false" customHeight="false" outlineLevel="0" collapsed="false">
      <c r="A20" s="2" t="n">
        <v>13</v>
      </c>
      <c r="B20" s="18" t="n">
        <f aca="false">SUMPRODUCT('GloVe vectores'!$B$4:$B$140,'GloVe vectores'!P4:P140)/$B$4</f>
        <v>0.151001703508772</v>
      </c>
      <c r="C20" s="18" t="n">
        <f aca="false">SUMPRODUCT('GloVe vectores'!$C$4:$C$140,'GloVe vectores'!P4:P140)/$B$5</f>
        <v>0.127620484782609</v>
      </c>
      <c r="D20" s="18" t="n">
        <f aca="false">B20*C20</f>
        <v>0.0192709106047892</v>
      </c>
      <c r="E20" s="18" t="n">
        <f aca="false">B20^2</f>
        <v>0.0228015144625511</v>
      </c>
      <c r="F20" s="18" t="n">
        <f aca="false">C20^2</f>
        <v>0.0162869881361481</v>
      </c>
    </row>
    <row r="21" customFormat="false" ht="15" hidden="false" customHeight="false" outlineLevel="0" collapsed="false">
      <c r="A21" s="2" t="n">
        <v>14</v>
      </c>
      <c r="B21" s="18" t="n">
        <f aca="false">SUMPRODUCT('GloVe vectores'!$B$4:$B$140,'GloVe vectores'!Q4:Q140)/$B$4</f>
        <v>-0.0186730245614035</v>
      </c>
      <c r="C21" s="18" t="n">
        <f aca="false">SUMPRODUCT('GloVe vectores'!$C$4:$C$140,'GloVe vectores'!Q4:Q140)/$B$5</f>
        <v>0.00187522717391304</v>
      </c>
      <c r="D21" s="18" t="n">
        <f aca="false">B21*C21</f>
        <v>-3.50161630766894E-005</v>
      </c>
      <c r="E21" s="18" t="n">
        <f aca="false">B21^2</f>
        <v>0.000348681846270779</v>
      </c>
      <c r="F21" s="18" t="n">
        <f aca="false">C21^2</f>
        <v>3.51647695378188E-006</v>
      </c>
    </row>
    <row r="22" customFormat="false" ht="15" hidden="false" customHeight="false" outlineLevel="0" collapsed="false">
      <c r="A22" s="2" t="n">
        <v>15</v>
      </c>
      <c r="B22" s="18" t="n">
        <f aca="false">SUMPRODUCT('GloVe vectores'!$B$4:$B$140,'GloVe vectores'!R4:R140)/$B$4</f>
        <v>0.0573144640350877</v>
      </c>
      <c r="C22" s="18" t="n">
        <f aca="false">SUMPRODUCT('GloVe vectores'!$C$4:$C$140,'GloVe vectores'!R4:R140)/$B$5</f>
        <v>0.102352057608696</v>
      </c>
      <c r="D22" s="18" t="n">
        <f aca="false">B22*C22</f>
        <v>0.00586625332473081</v>
      </c>
      <c r="E22" s="18" t="n">
        <f aca="false">B22^2</f>
        <v>0.00328494778762936</v>
      </c>
      <c r="F22" s="18" t="n">
        <f aca="false">C22^2</f>
        <v>0.0104759436967338</v>
      </c>
    </row>
    <row r="23" customFormat="false" ht="15" hidden="false" customHeight="false" outlineLevel="0" collapsed="false">
      <c r="A23" s="2" t="n">
        <v>16</v>
      </c>
      <c r="B23" s="18" t="n">
        <f aca="false">SUMPRODUCT('GloVe vectores'!$B$4:$B$140,'GloVe vectores'!S4:S140)/$B$4</f>
        <v>-0.00349061140350877</v>
      </c>
      <c r="C23" s="18" t="n">
        <f aca="false">SUMPRODUCT('GloVe vectores'!$C$4:$C$140,'GloVe vectores'!S4:S140)/$B$5</f>
        <v>-0.0117897282608696</v>
      </c>
      <c r="D23" s="18" t="n">
        <f aca="false">B23*C23</f>
        <v>4.11533599116609E-005</v>
      </c>
      <c r="E23" s="18" t="n">
        <f aca="false">B23^2</f>
        <v>1.21843679703054E-005</v>
      </c>
      <c r="F23" s="18" t="n">
        <f aca="false">C23^2</f>
        <v>0.000138997692465147</v>
      </c>
    </row>
    <row r="24" customFormat="false" ht="15" hidden="false" customHeight="false" outlineLevel="0" collapsed="false">
      <c r="A24" s="2" t="n">
        <v>17</v>
      </c>
      <c r="B24" s="18" t="n">
        <f aca="false">SUMPRODUCT('GloVe vectores'!$B$4:$B$140,'GloVe vectores'!T4:T140)/$B$4</f>
        <v>0.157166257894737</v>
      </c>
      <c r="C24" s="18" t="n">
        <f aca="false">SUMPRODUCT('GloVe vectores'!$C$4:$C$140,'GloVe vectores'!T4:T140)/$B$5</f>
        <v>-0.00318155434782609</v>
      </c>
      <c r="D24" s="18" t="n">
        <f aca="false">B24*C24</f>
        <v>-0.000500032991136557</v>
      </c>
      <c r="E24" s="18" t="n">
        <f aca="false">B24^2</f>
        <v>0.0247012326206349</v>
      </c>
      <c r="F24" s="18" t="n">
        <f aca="false">C24^2</f>
        <v>1.01222880681711E-005</v>
      </c>
    </row>
    <row r="25" customFormat="false" ht="15" hidden="false" customHeight="false" outlineLevel="0" collapsed="false">
      <c r="A25" s="2" t="n">
        <v>18</v>
      </c>
      <c r="B25" s="18" t="n">
        <f aca="false">SUMPRODUCT('GloVe vectores'!$B$4:$B$140,'GloVe vectores'!U4:U140)/$B$4</f>
        <v>0.110820249122807</v>
      </c>
      <c r="C25" s="18" t="n">
        <f aca="false">SUMPRODUCT('GloVe vectores'!$C$4:$C$140,'GloVe vectores'!U4:U140)/$B$5</f>
        <v>0.241553923913044</v>
      </c>
      <c r="D25" s="18" t="n">
        <f aca="false">B25*C25</f>
        <v>0.0267690660246351</v>
      </c>
      <c r="E25" s="18" t="n">
        <f aca="false">B25^2</f>
        <v>0.012281127615641</v>
      </c>
      <c r="F25" s="18" t="n">
        <f aca="false">C25^2</f>
        <v>0.0583482981577884</v>
      </c>
    </row>
    <row r="26" customFormat="false" ht="15" hidden="false" customHeight="false" outlineLevel="0" collapsed="false">
      <c r="A26" s="2" t="n">
        <v>19</v>
      </c>
      <c r="B26" s="18" t="n">
        <f aca="false">SUMPRODUCT('GloVe vectores'!$B$4:$B$140,'GloVe vectores'!V4:V140)/$B$4</f>
        <v>-0.299820642105263</v>
      </c>
      <c r="C26" s="18" t="n">
        <f aca="false">SUMPRODUCT('GloVe vectores'!$C$4:$C$140,'GloVe vectores'!V4:V140)/$B$5</f>
        <v>-0.0569727543478261</v>
      </c>
      <c r="D26" s="18" t="n">
        <f aca="false">B26*C26</f>
        <v>0.0170816077910706</v>
      </c>
      <c r="E26" s="18" t="n">
        <f aca="false">B26^2</f>
        <v>0.0898924174324123</v>
      </c>
      <c r="F26" s="18" t="n">
        <f aca="false">C26^2</f>
        <v>0.00324589473797774</v>
      </c>
    </row>
    <row r="27" customFormat="false" ht="15" hidden="false" customHeight="false" outlineLevel="0" collapsed="false">
      <c r="A27" s="2" t="n">
        <v>20</v>
      </c>
      <c r="B27" s="18" t="n">
        <f aca="false">SUMPRODUCT('GloVe vectores'!$B$4:$B$140,'GloVe vectores'!W4:W140)/$B$4</f>
        <v>0.178236878947368</v>
      </c>
      <c r="C27" s="18" t="n">
        <f aca="false">SUMPRODUCT('GloVe vectores'!$C$4:$C$140,'GloVe vectores'!W4:W140)/$B$5</f>
        <v>0.0403355217391304</v>
      </c>
      <c r="D27" s="18" t="n">
        <f aca="false">B27*C27</f>
        <v>0.00718927750549634</v>
      </c>
      <c r="E27" s="18" t="n">
        <f aca="false">B27^2</f>
        <v>0.0317683850168989</v>
      </c>
      <c r="F27" s="18" t="n">
        <f aca="false">C27^2</f>
        <v>0.00162695431396786</v>
      </c>
    </row>
    <row r="28" customFormat="false" ht="15" hidden="false" customHeight="false" outlineLevel="0" collapsed="false">
      <c r="A28" s="2" t="n">
        <v>21</v>
      </c>
      <c r="B28" s="18" t="n">
        <f aca="false">SUMPRODUCT('GloVe vectores'!$B$4:$B$140,'GloVe vectores'!X4:X140)/$B$4</f>
        <v>-0.296243921052632</v>
      </c>
      <c r="C28" s="18" t="n">
        <f aca="false">SUMPRODUCT('GloVe vectores'!$C$4:$C$140,'GloVe vectores'!X4:X140)/$B$5</f>
        <v>-0.108194227173913</v>
      </c>
      <c r="D28" s="18" t="n">
        <f aca="false">B28*C28</f>
        <v>0.0320518820932592</v>
      </c>
      <c r="E28" s="18" t="n">
        <f aca="false">B28^2</f>
        <v>0.0877604607606378</v>
      </c>
      <c r="F28" s="18" t="n">
        <f aca="false">C28^2</f>
        <v>0.0117059907937603</v>
      </c>
    </row>
    <row r="29" customFormat="false" ht="15" hidden="false" customHeight="false" outlineLevel="0" collapsed="false">
      <c r="A29" s="2" t="n">
        <v>22</v>
      </c>
      <c r="B29" s="18" t="n">
        <f aca="false">SUMPRODUCT('GloVe vectores'!$B$4:$B$140,'GloVe vectores'!Y4:Y140)/$B$4</f>
        <v>-0.216053555263158</v>
      </c>
      <c r="C29" s="18" t="n">
        <f aca="false">SUMPRODUCT('GloVe vectores'!$C$4:$C$140,'GloVe vectores'!Y4:Y140)/$B$5</f>
        <v>-0.254086869565217</v>
      </c>
      <c r="D29" s="18" t="n">
        <f aca="false">B29*C29</f>
        <v>0.0548963715152515</v>
      </c>
      <c r="E29" s="18" t="n">
        <f aca="false">B29^2</f>
        <v>0.0466791387418504</v>
      </c>
      <c r="F29" s="18" t="n">
        <f aca="false">C29^2</f>
        <v>0.0645601372854518</v>
      </c>
    </row>
    <row r="30" customFormat="false" ht="15" hidden="false" customHeight="false" outlineLevel="0" collapsed="false">
      <c r="A30" s="2" t="n">
        <v>23</v>
      </c>
      <c r="B30" s="18" t="n">
        <f aca="false">SUMPRODUCT('GloVe vectores'!$B$4:$B$140,'GloVe vectores'!Z4:Z140)/$B$4</f>
        <v>0.0831424964912281</v>
      </c>
      <c r="C30" s="18" t="n">
        <f aca="false">SUMPRODUCT('GloVe vectores'!$C$4:$C$140,'GloVe vectores'!Z4:Z140)/$B$5</f>
        <v>0.162788381521739</v>
      </c>
      <c r="D30" s="18" t="n">
        <f aca="false">B30*C30</f>
        <v>0.0135346324394839</v>
      </c>
      <c r="E30" s="18" t="n">
        <f aca="false">B30^2</f>
        <v>0.00691267472279387</v>
      </c>
      <c r="F30" s="18" t="n">
        <f aca="false">C30^2</f>
        <v>0.0265000571584673</v>
      </c>
    </row>
    <row r="31" customFormat="false" ht="15" hidden="false" customHeight="false" outlineLevel="0" collapsed="false">
      <c r="A31" s="2" t="n">
        <v>24</v>
      </c>
      <c r="B31" s="18" t="n">
        <f aca="false">SUMPRODUCT('GloVe vectores'!$B$4:$B$140,'GloVe vectores'!AA4:AA140)/$B$4</f>
        <v>-0.0117530026315789</v>
      </c>
      <c r="C31" s="18" t="n">
        <f aca="false">SUMPRODUCT('GloVe vectores'!$C$4:$C$140,'GloVe vectores'!AA4:AA140)/$B$5</f>
        <v>-0.00104151739130436</v>
      </c>
      <c r="D31" s="18" t="n">
        <f aca="false">B31*C31</f>
        <v>1.22409566408353E-005</v>
      </c>
      <c r="E31" s="18" t="n">
        <f aca="false">B31^2</f>
        <v>0.000138133070857902</v>
      </c>
      <c r="F31" s="18" t="n">
        <f aca="false">C31^2</f>
        <v>1.08475847638943E-006</v>
      </c>
    </row>
    <row r="32" customFormat="false" ht="15" hidden="false" customHeight="false" outlineLevel="0" collapsed="false">
      <c r="A32" s="2" t="n">
        <v>25</v>
      </c>
      <c r="B32" s="18" t="n">
        <f aca="false">SUMPRODUCT('GloVe vectores'!$B$4:$B$140,'GloVe vectores'!AB4:AB140)/$B$4</f>
        <v>-0.322012370175439</v>
      </c>
      <c r="C32" s="18" t="n">
        <f aca="false">SUMPRODUCT('GloVe vectores'!$C$4:$C$140,'GloVe vectores'!AB4:AB140)/$B$5</f>
        <v>-0.15875654673913</v>
      </c>
      <c r="D32" s="18" t="n">
        <f aca="false">B32*C32</f>
        <v>0.0511215718963352</v>
      </c>
      <c r="E32" s="18" t="n">
        <f aca="false">B32^2</f>
        <v>0.103691966546004</v>
      </c>
      <c r="F32" s="18" t="n">
        <f aca="false">C32^2</f>
        <v>0.0252036411325337</v>
      </c>
    </row>
    <row r="33" customFormat="false" ht="15" hidden="false" customHeight="false" outlineLevel="0" collapsed="false">
      <c r="A33" s="2" t="n">
        <v>26</v>
      </c>
      <c r="B33" s="18" t="n">
        <f aca="false">SUMPRODUCT('GloVe vectores'!$B$4:$B$140,'GloVe vectores'!AC4:AC140)/$B$4</f>
        <v>-0.282039014035088</v>
      </c>
      <c r="C33" s="18" t="n">
        <f aca="false">SUMPRODUCT('GloVe vectores'!$C$4:$C$140,'GloVe vectores'!AC4:AC140)/$B$5</f>
        <v>-0.150633168478261</v>
      </c>
      <c r="D33" s="18" t="n">
        <f aca="false">B33*C33</f>
        <v>0.04248443031859</v>
      </c>
      <c r="E33" s="18" t="n">
        <f aca="false">B33^2</f>
        <v>0.0795460054378844</v>
      </c>
      <c r="F33" s="18" t="n">
        <f aca="false">C33^2</f>
        <v>0.0226903514458001</v>
      </c>
    </row>
    <row r="34" customFormat="false" ht="15" hidden="false" customHeight="false" outlineLevel="0" collapsed="false">
      <c r="A34" s="2" t="n">
        <v>27</v>
      </c>
      <c r="B34" s="18" t="n">
        <f aca="false">SUMPRODUCT('GloVe vectores'!$B$4:$B$140,'GloVe vectores'!AD4:AD140)/$B$4</f>
        <v>0.0890767736842105</v>
      </c>
      <c r="C34" s="18" t="n">
        <f aca="false">SUMPRODUCT('GloVe vectores'!$C$4:$C$140,'GloVe vectores'!AD4:AD140)/$B$5</f>
        <v>0.0951275434782609</v>
      </c>
      <c r="D34" s="18" t="n">
        <f aca="false">B34*C34</f>
        <v>0.00847365466154794</v>
      </c>
      <c r="E34" s="18" t="n">
        <f aca="false">B34^2</f>
        <v>0.00793467160998806</v>
      </c>
      <c r="F34" s="18" t="n">
        <f aca="false">C34^2</f>
        <v>0.00904924952820842</v>
      </c>
    </row>
    <row r="35" customFormat="false" ht="15" hidden="false" customHeight="false" outlineLevel="0" collapsed="false">
      <c r="A35" s="2" t="n">
        <v>28</v>
      </c>
      <c r="B35" s="18" t="n">
        <f aca="false">SUMPRODUCT('GloVe vectores'!$B$4:$B$140,'GloVe vectores'!AE4:AE140)/$B$4</f>
        <v>-0.263298850877193</v>
      </c>
      <c r="C35" s="18" t="n">
        <f aca="false">SUMPRODUCT('GloVe vectores'!$C$4:$C$140,'GloVe vectores'!AE4:AE140)/$B$5</f>
        <v>-0.139164752173913</v>
      </c>
      <c r="D35" s="18" t="n">
        <f aca="false">B35*C35</f>
        <v>0.0366419193300007</v>
      </c>
      <c r="E35" s="18" t="n">
        <f aca="false">B35^2</f>
        <v>0.0693262848732503</v>
      </c>
      <c r="F35" s="18" t="n">
        <f aca="false">C35^2</f>
        <v>0.0193668282476266</v>
      </c>
    </row>
    <row r="36" customFormat="false" ht="15" hidden="false" customHeight="false" outlineLevel="0" collapsed="false">
      <c r="A36" s="2" t="n">
        <v>29</v>
      </c>
      <c r="B36" s="18" t="n">
        <f aca="false">SUMPRODUCT('GloVe vectores'!$B$4:$B$140,'GloVe vectores'!AF4:AF140)/$B$4</f>
        <v>-0.297744035087719</v>
      </c>
      <c r="C36" s="18" t="n">
        <f aca="false">SUMPRODUCT('GloVe vectores'!$C$4:$C$140,'GloVe vectores'!AF4:AF140)/$B$5</f>
        <v>-0.242663473913044</v>
      </c>
      <c r="D36" s="18" t="n">
        <f aca="false">B36*C36</f>
        <v>0.0722516018912731</v>
      </c>
      <c r="E36" s="18" t="n">
        <f aca="false">B36^2</f>
        <v>0.088651510430317</v>
      </c>
      <c r="F36" s="18" t="n">
        <f aca="false">C36^2</f>
        <v>0.0588855615715463</v>
      </c>
    </row>
    <row r="37" customFormat="false" ht="15" hidden="false" customHeight="false" outlineLevel="0" collapsed="false">
      <c r="A37" s="2" t="n">
        <v>30</v>
      </c>
      <c r="B37" s="18" t="n">
        <f aca="false">SUMPRODUCT('GloVe vectores'!$B$4:$B$140,'GloVe vectores'!AG4:AG140)/$B$4</f>
        <v>0.177540109649123</v>
      </c>
      <c r="C37" s="18" t="n">
        <f aca="false">SUMPRODUCT('GloVe vectores'!$C$4:$C$140,'GloVe vectores'!AG4:AG140)/$B$5</f>
        <v>0.121397625</v>
      </c>
      <c r="D37" s="18" t="n">
        <f aca="false">B37*C37</f>
        <v>0.0215529476536431</v>
      </c>
      <c r="E37" s="18" t="n">
        <f aca="false">B37^2</f>
        <v>0.0315204905342226</v>
      </c>
      <c r="F37" s="18" t="n">
        <f aca="false">C37^2</f>
        <v>0.0147373833556406</v>
      </c>
    </row>
    <row r="38" customFormat="false" ht="15" hidden="false" customHeight="false" outlineLevel="0" collapsed="false">
      <c r="A38" s="2" t="n">
        <v>31</v>
      </c>
      <c r="B38" s="18" t="n">
        <f aca="false">SUMPRODUCT('GloVe vectores'!$B$4:$B$140,'GloVe vectores'!AH4:AH140)/$B$4</f>
        <v>-0.162586892982456</v>
      </c>
      <c r="C38" s="18" t="n">
        <f aca="false">SUMPRODUCT('GloVe vectores'!$C$4:$C$140,'GloVe vectores'!AH4:AH140)/$B$5</f>
        <v>-0.161608915217391</v>
      </c>
      <c r="D38" s="18" t="n">
        <f aca="false">B38*C38</f>
        <v>0.0262754914034608</v>
      </c>
      <c r="E38" s="18" t="n">
        <f aca="false">B38^2</f>
        <v>0.0264344977696887</v>
      </c>
      <c r="F38" s="18" t="n">
        <f aca="false">C38^2</f>
        <v>0.026117441477742</v>
      </c>
    </row>
    <row r="39" customFormat="false" ht="15" hidden="false" customHeight="false" outlineLevel="0" collapsed="false">
      <c r="A39" s="2" t="n">
        <v>32</v>
      </c>
      <c r="B39" s="18" t="n">
        <f aca="false">SUMPRODUCT('GloVe vectores'!$B$4:$B$140,'GloVe vectores'!AI4:AI140)/$B$4</f>
        <v>0.362348899122807</v>
      </c>
      <c r="C39" s="18" t="n">
        <f aca="false">SUMPRODUCT('GloVe vectores'!$C$4:$C$140,'GloVe vectores'!AI4:AI140)/$B$5</f>
        <v>0.272916923913044</v>
      </c>
      <c r="D39" s="18" t="n">
        <f aca="false">B39*C39</f>
        <v>0.0988911469318742</v>
      </c>
      <c r="E39" s="18" t="n">
        <f aca="false">B39^2</f>
        <v>0.13129672469551</v>
      </c>
      <c r="F39" s="18" t="n">
        <f aca="false">C39^2</f>
        <v>0.074483647358158</v>
      </c>
    </row>
    <row r="40" customFormat="false" ht="15" hidden="false" customHeight="false" outlineLevel="0" collapsed="false">
      <c r="A40" s="2" t="n">
        <v>33</v>
      </c>
      <c r="B40" s="18" t="n">
        <f aca="false">SUMPRODUCT('GloVe vectores'!$B$4:$B$140,'GloVe vectores'!AJ4:AJ140)/$B$4</f>
        <v>-0.373141940350877</v>
      </c>
      <c r="C40" s="18" t="n">
        <f aca="false">SUMPRODUCT('GloVe vectores'!$C$4:$C$140,'GloVe vectores'!AJ4:AJ140)/$B$5</f>
        <v>-0.139169558478261</v>
      </c>
      <c r="D40" s="18" t="n">
        <f aca="false">B40*C40</f>
        <v>0.0519299990883531</v>
      </c>
      <c r="E40" s="18" t="n">
        <f aca="false">B40^2</f>
        <v>0.139234907648818</v>
      </c>
      <c r="F40" s="18" t="n">
        <f aca="false">C40^2</f>
        <v>0.0193681660070341</v>
      </c>
    </row>
    <row r="41" customFormat="false" ht="15" hidden="false" customHeight="false" outlineLevel="0" collapsed="false">
      <c r="A41" s="2" t="n">
        <v>34</v>
      </c>
      <c r="B41" s="18" t="n">
        <f aca="false">SUMPRODUCT('GloVe vectores'!$B$4:$B$140,'GloVe vectores'!AK4:AK140)/$B$4</f>
        <v>-0.0250682201754386</v>
      </c>
      <c r="C41" s="18" t="n">
        <f aca="false">SUMPRODUCT('GloVe vectores'!$C$4:$C$140,'GloVe vectores'!AK4:AK140)/$B$5</f>
        <v>-0.0910600815217391</v>
      </c>
      <c r="D41" s="18" t="n">
        <f aca="false">B41*C41</f>
        <v>0.00228271417278034</v>
      </c>
      <c r="E41" s="18" t="n">
        <f aca="false">B41^2</f>
        <v>0.000628415662764267</v>
      </c>
      <c r="F41" s="18" t="n">
        <f aca="false">C41^2</f>
        <v>0.00829193844674577</v>
      </c>
    </row>
    <row r="42" customFormat="false" ht="15" hidden="false" customHeight="false" outlineLevel="0" collapsed="false">
      <c r="A42" s="2" t="n">
        <v>35</v>
      </c>
      <c r="B42" s="18" t="n">
        <f aca="false">SUMPRODUCT('GloVe vectores'!$B$4:$B$140,'GloVe vectores'!AL4:AL140)/$B$4</f>
        <v>-0.0393213947368421</v>
      </c>
      <c r="C42" s="18" t="n">
        <f aca="false">SUMPRODUCT('GloVe vectores'!$C$4:$C$140,'GloVe vectores'!AL4:AL140)/$B$5</f>
        <v>0.0348404673913044</v>
      </c>
      <c r="D42" s="18" t="n">
        <f aca="false">B42*C42</f>
        <v>-0.00136997577110955</v>
      </c>
      <c r="E42" s="18" t="n">
        <f aca="false">B42^2</f>
        <v>0.00154617208405055</v>
      </c>
      <c r="F42" s="18" t="n">
        <f aca="false">C42^2</f>
        <v>0.00121385816804454</v>
      </c>
    </row>
    <row r="43" customFormat="false" ht="15" hidden="false" customHeight="false" outlineLevel="0" collapsed="false">
      <c r="A43" s="2" t="n">
        <v>36</v>
      </c>
      <c r="B43" s="18" t="n">
        <f aca="false">SUMPRODUCT('GloVe vectores'!$B$4:$B$140,'GloVe vectores'!AM4:AM140)/$B$4</f>
        <v>0.036637949122807</v>
      </c>
      <c r="C43" s="18" t="n">
        <f aca="false">SUMPRODUCT('GloVe vectores'!$C$4:$C$140,'GloVe vectores'!AM4:AM140)/$B$5</f>
        <v>0.0738015413043478</v>
      </c>
      <c r="D43" s="18" t="n">
        <f aca="false">B43*C43</f>
        <v>0.00270393711549344</v>
      </c>
      <c r="E43" s="18" t="n">
        <f aca="false">B43^2</f>
        <v>0.0013423393159254</v>
      </c>
      <c r="F43" s="18" t="n">
        <f aca="false">C43^2</f>
        <v>0.00544666749889736</v>
      </c>
    </row>
    <row r="44" customFormat="false" ht="15" hidden="false" customHeight="false" outlineLevel="0" collapsed="false">
      <c r="A44" s="2" t="n">
        <v>37</v>
      </c>
      <c r="B44" s="18" t="n">
        <f aca="false">SUMPRODUCT('GloVe vectores'!$B$4:$B$140,'GloVe vectores'!AN4:AN140)/$B$4</f>
        <v>-0.206884142280702</v>
      </c>
      <c r="C44" s="18" t="n">
        <f aca="false">SUMPRODUCT('GloVe vectores'!$C$4:$C$140,'GloVe vectores'!AN4:AN140)/$B$5</f>
        <v>-0.0787335326086957</v>
      </c>
      <c r="D44" s="18" t="n">
        <f aca="false">B44*C44</f>
        <v>0.0162887193624797</v>
      </c>
      <c r="E44" s="18" t="n">
        <f aca="false">B44^2</f>
        <v>0.0428010483272217</v>
      </c>
      <c r="F44" s="18" t="n">
        <f aca="false">C44^2</f>
        <v>0.00619896915704454</v>
      </c>
    </row>
    <row r="45" customFormat="false" ht="15" hidden="false" customHeight="false" outlineLevel="0" collapsed="false">
      <c r="A45" s="2" t="n">
        <v>38</v>
      </c>
      <c r="B45" s="18" t="n">
        <f aca="false">SUMPRODUCT('GloVe vectores'!$B$4:$B$140,'GloVe vectores'!AO4:AO140)/$B$4</f>
        <v>0.144911303508772</v>
      </c>
      <c r="C45" s="18" t="n">
        <f aca="false">SUMPRODUCT('GloVe vectores'!$C$4:$C$140,'GloVe vectores'!AO4:AO140)/$B$5</f>
        <v>0.0033001347826087</v>
      </c>
      <c r="D45" s="18" t="n">
        <f aca="false">B45*C45</f>
        <v>0.000478226833102464</v>
      </c>
      <c r="E45" s="18" t="n">
        <f aca="false">B45^2</f>
        <v>0.0209992858846114</v>
      </c>
      <c r="F45" s="18" t="n">
        <f aca="false">C45^2</f>
        <v>1.08908895833837E-005</v>
      </c>
    </row>
    <row r="46" customFormat="false" ht="15" hidden="false" customHeight="false" outlineLevel="0" collapsed="false">
      <c r="A46" s="2" t="n">
        <v>39</v>
      </c>
      <c r="B46" s="18" t="n">
        <f aca="false">SUMPRODUCT('GloVe vectores'!$B$4:$B$140,'GloVe vectores'!AP4:AP140)/$B$4</f>
        <v>-0.370638129824561</v>
      </c>
      <c r="C46" s="18" t="n">
        <f aca="false">SUMPRODUCT('GloVe vectores'!$C$4:$C$140,'GloVe vectores'!AP4:AP140)/$B$5</f>
        <v>-0.292273548913044</v>
      </c>
      <c r="D46" s="18" t="n">
        <f aca="false">B46*C46</f>
        <v>0.108327721566318</v>
      </c>
      <c r="E46" s="18" t="n">
        <f aca="false">B46^2</f>
        <v>0.137372623279848</v>
      </c>
      <c r="F46" s="18" t="n">
        <f aca="false">C46^2</f>
        <v>0.0854238273942252</v>
      </c>
    </row>
    <row r="47" customFormat="false" ht="15" hidden="false" customHeight="false" outlineLevel="0" collapsed="false">
      <c r="A47" s="2" t="n">
        <v>40</v>
      </c>
      <c r="B47" s="18" t="n">
        <f aca="false">SUMPRODUCT('GloVe vectores'!$B$4:$B$140,'GloVe vectores'!AQ4:AQ140)/$B$4</f>
        <v>-0.0893860061403509</v>
      </c>
      <c r="C47" s="18" t="n">
        <f aca="false">SUMPRODUCT('GloVe vectores'!$C$4:$C$140,'GloVe vectores'!AQ4:AQ140)/$B$5</f>
        <v>-0.181919280434783</v>
      </c>
      <c r="D47" s="18" t="n">
        <f aca="false">B47*C47</f>
        <v>0.0162610379179917</v>
      </c>
      <c r="E47" s="18" t="n">
        <f aca="false">B47^2</f>
        <v>0.00798985809372284</v>
      </c>
      <c r="F47" s="18" t="n">
        <f aca="false">C47^2</f>
        <v>0.0330946245939091</v>
      </c>
    </row>
    <row r="48" customFormat="false" ht="15" hidden="false" customHeight="false" outlineLevel="0" collapsed="false">
      <c r="A48" s="2" t="n">
        <v>41</v>
      </c>
      <c r="B48" s="18" t="n">
        <f aca="false">SUMPRODUCT('GloVe vectores'!$B$4:$B$140,'GloVe vectores'!AR4:AR140)/$B$4</f>
        <v>-0.481083789473684</v>
      </c>
      <c r="C48" s="18" t="n">
        <f aca="false">SUMPRODUCT('GloVe vectores'!$C$4:$C$140,'GloVe vectores'!AR4:AR140)/$B$5</f>
        <v>-0.296838713043478</v>
      </c>
      <c r="D48" s="18" t="n">
        <f aca="false">B48*C48</f>
        <v>0.142804292933448</v>
      </c>
      <c r="E48" s="18" t="n">
        <f aca="false">B48^2</f>
        <v>0.23144161249436</v>
      </c>
      <c r="F48" s="18" t="n">
        <f aca="false">C48^2</f>
        <v>0.0881132215613084</v>
      </c>
    </row>
    <row r="49" customFormat="false" ht="15" hidden="false" customHeight="false" outlineLevel="0" collapsed="false">
      <c r="A49" s="2" t="n">
        <v>42</v>
      </c>
      <c r="B49" s="18" t="n">
        <f aca="false">SUMPRODUCT('GloVe vectores'!$B$4:$B$140,'GloVe vectores'!AS4:AS140)/$B$4</f>
        <v>-0.103337225438596</v>
      </c>
      <c r="C49" s="18" t="n">
        <f aca="false">SUMPRODUCT('GloVe vectores'!$C$4:$C$140,'GloVe vectores'!AS4:AS140)/$B$5</f>
        <v>-0.00372935</v>
      </c>
      <c r="D49" s="18" t="n">
        <f aca="false">B49*C49</f>
        <v>0.00038538068168943</v>
      </c>
      <c r="E49" s="18" t="n">
        <f aca="false">B49^2</f>
        <v>0.0106785821613473</v>
      </c>
      <c r="F49" s="18" t="n">
        <f aca="false">C49^2</f>
        <v>1.39080514225E-005</v>
      </c>
    </row>
    <row r="50" customFormat="false" ht="15" hidden="false" customHeight="false" outlineLevel="0" collapsed="false">
      <c r="A50" s="2" t="n">
        <v>43</v>
      </c>
      <c r="B50" s="18" t="n">
        <f aca="false">SUMPRODUCT('GloVe vectores'!$B$4:$B$140,'GloVe vectores'!AT4:AT140)/$B$4</f>
        <v>-0.16481401754386</v>
      </c>
      <c r="C50" s="18" t="n">
        <f aca="false">SUMPRODUCT('GloVe vectores'!$C$4:$C$140,'GloVe vectores'!AT4:AT140)/$B$5</f>
        <v>-0.0694264771739131</v>
      </c>
      <c r="D50" s="18" t="n">
        <f aca="false">B50*C50</f>
        <v>0.0114424566269497</v>
      </c>
      <c r="E50" s="18" t="n">
        <f aca="false">B50^2</f>
        <v>0.0271636603789477</v>
      </c>
      <c r="F50" s="18" t="n">
        <f aca="false">C50^2</f>
        <v>0.00482003573277987</v>
      </c>
    </row>
    <row r="51" customFormat="false" ht="15" hidden="false" customHeight="false" outlineLevel="0" collapsed="false">
      <c r="A51" s="2" t="n">
        <v>44</v>
      </c>
      <c r="B51" s="18" t="n">
        <f aca="false">SUMPRODUCT('GloVe vectores'!$B$4:$B$140,'GloVe vectores'!AU4:AU140)/$B$4</f>
        <v>-0.0622868728070176</v>
      </c>
      <c r="C51" s="18" t="n">
        <f aca="false">SUMPRODUCT('GloVe vectores'!$C$4:$C$140,'GloVe vectores'!AU4:AU140)/$B$5</f>
        <v>0.0194893010869565</v>
      </c>
      <c r="D51" s="18" t="n">
        <f aca="false">B51*C51</f>
        <v>-0.00121392761790093</v>
      </c>
      <c r="E51" s="18" t="n">
        <f aca="false">B51^2</f>
        <v>0.00387965452407758</v>
      </c>
      <c r="F51" s="18" t="n">
        <f aca="false">C51^2</f>
        <v>0.000379832856858045</v>
      </c>
    </row>
    <row r="52" customFormat="false" ht="15" hidden="false" customHeight="false" outlineLevel="0" collapsed="false">
      <c r="A52" s="2" t="n">
        <v>45</v>
      </c>
      <c r="B52" s="18" t="n">
        <f aca="false">SUMPRODUCT('GloVe vectores'!$B$4:$B$140,'GloVe vectores'!AV4:AV140)/$B$4</f>
        <v>-0.160687962280702</v>
      </c>
      <c r="C52" s="18" t="n">
        <f aca="false">SUMPRODUCT('GloVe vectores'!$C$4:$C$140,'GloVe vectores'!AV4:AV140)/$B$5</f>
        <v>-0.249090586956522</v>
      </c>
      <c r="D52" s="18" t="n">
        <f aca="false">B52*C52</f>
        <v>0.0400258588413474</v>
      </c>
      <c r="E52" s="18" t="n">
        <f aca="false">B52^2</f>
        <v>0.0258206212219242</v>
      </c>
      <c r="F52" s="18" t="n">
        <f aca="false">C52^2</f>
        <v>0.0620461205103445</v>
      </c>
    </row>
    <row r="53" customFormat="false" ht="15" hidden="false" customHeight="false" outlineLevel="0" collapsed="false">
      <c r="A53" s="2" t="n">
        <v>46</v>
      </c>
      <c r="B53" s="18" t="n">
        <f aca="false">SUMPRODUCT('GloVe vectores'!$B$4:$B$140,'GloVe vectores'!AW4:AW140)/$B$4</f>
        <v>-0.113779288596491</v>
      </c>
      <c r="C53" s="18" t="n">
        <f aca="false">SUMPRODUCT('GloVe vectores'!$C$4:$C$140,'GloVe vectores'!AW4:AW140)/$B$5</f>
        <v>-0.180490442391304</v>
      </c>
      <c r="D53" s="18" t="n">
        <f aca="false">B53*C53</f>
        <v>0.0205360741337486</v>
      </c>
      <c r="E53" s="18" t="n">
        <f aca="false">B53^2</f>
        <v>0.0129457265135236</v>
      </c>
      <c r="F53" s="18" t="n">
        <f aca="false">C53^2</f>
        <v>0.0325767997946088</v>
      </c>
    </row>
    <row r="54" customFormat="false" ht="15" hidden="false" customHeight="false" outlineLevel="0" collapsed="false">
      <c r="A54" s="2" t="n">
        <v>47</v>
      </c>
      <c r="B54" s="18" t="n">
        <f aca="false">SUMPRODUCT('GloVe vectores'!$B$4:$B$140,'GloVe vectores'!AX4:AX140)/$B$4</f>
        <v>0.0450988070175439</v>
      </c>
      <c r="C54" s="18" t="n">
        <f aca="false">SUMPRODUCT('GloVe vectores'!$C$4:$C$140,'GloVe vectores'!AX4:AX140)/$B$5</f>
        <v>0.160016659782609</v>
      </c>
      <c r="D54" s="18" t="n">
        <f aca="false">B54*C54</f>
        <v>0.00721656045912784</v>
      </c>
      <c r="E54" s="18" t="n">
        <f aca="false">B54^2</f>
        <v>0.00203390239440566</v>
      </c>
      <c r="F54" s="18" t="n">
        <f aca="false">C54^2</f>
        <v>0.0256053314079831</v>
      </c>
    </row>
    <row r="55" customFormat="false" ht="15" hidden="false" customHeight="false" outlineLevel="0" collapsed="false">
      <c r="A55" s="2" t="n">
        <v>48</v>
      </c>
      <c r="B55" s="18" t="n">
        <f aca="false">SUMPRODUCT('GloVe vectores'!$B$4:$B$140,'GloVe vectores'!AY4:AY140)/$B$4</f>
        <v>-0.111113020175439</v>
      </c>
      <c r="C55" s="18" t="n">
        <f aca="false">SUMPRODUCT('GloVe vectores'!$C$4:$C$140,'GloVe vectores'!AY4:AY140)/$B$5</f>
        <v>-0.0129157434782609</v>
      </c>
      <c r="D55" s="18" t="n">
        <f aca="false">B55*C55</f>
        <v>0.00143510726568079</v>
      </c>
      <c r="E55" s="18" t="n">
        <f aca="false">B55^2</f>
        <v>0.0123461032525074</v>
      </c>
      <c r="F55" s="18" t="n">
        <f aca="false">C55^2</f>
        <v>0.000166816429596238</v>
      </c>
    </row>
    <row r="56" customFormat="false" ht="15" hidden="false" customHeight="false" outlineLevel="0" collapsed="false">
      <c r="A56" s="2" t="n">
        <v>49</v>
      </c>
      <c r="B56" s="18" t="n">
        <f aca="false">SUMPRODUCT('GloVe vectores'!$B$4:$B$140,'GloVe vectores'!AZ4:AZ140)/$B$4</f>
        <v>-0.178737286842105</v>
      </c>
      <c r="C56" s="18" t="n">
        <f aca="false">SUMPRODUCT('GloVe vectores'!$C$4:$C$140,'GloVe vectores'!AZ4:AZ140)/$B$5</f>
        <v>-0.24290177173913</v>
      </c>
      <c r="D56" s="18" t="n">
        <f aca="false">B56*C56</f>
        <v>0.0434156036497925</v>
      </c>
      <c r="E56" s="18" t="n">
        <f aca="false">B56^2</f>
        <v>0.031947017707677</v>
      </c>
      <c r="F56" s="18" t="n">
        <f aca="false">C56^2</f>
        <v>0.0590012707140086</v>
      </c>
    </row>
    <row r="57" customFormat="false" ht="15" hidden="false" customHeight="false" outlineLevel="0" collapsed="false">
      <c r="A57" s="2" t="n">
        <v>50</v>
      </c>
      <c r="B57" s="18" t="n">
        <f aca="false">SUMPRODUCT('GloVe vectores'!$B$4:$B$140,'GloVe vectores'!BA4:BA140)/$B$4</f>
        <v>-0.487610513157895</v>
      </c>
      <c r="C57" s="18" t="n">
        <f aca="false">SUMPRODUCT('GloVe vectores'!$C$4:$C$140,'GloVe vectores'!BA4:BA140)/$B$5</f>
        <v>-0.372613082608696</v>
      </c>
      <c r="D57" s="18" t="n">
        <f aca="false">B57*C57</f>
        <v>0.181690056420171</v>
      </c>
      <c r="E57" s="18" t="n">
        <f aca="false">B57^2</f>
        <v>0.237764012542105</v>
      </c>
      <c r="F57" s="18" t="n">
        <f aca="false">C57^2</f>
        <v>0.138840509331155</v>
      </c>
    </row>
    <row r="58" customFormat="false" ht="15" hidden="false" customHeight="false" outlineLevel="0" collapsed="false">
      <c r="A58" s="2" t="n">
        <v>51</v>
      </c>
      <c r="B58" s="18" t="n">
        <f aca="false">SUMPRODUCT('GloVe vectores'!$B$4:$B$140,'GloVe vectores'!BB4:BB140)/$B$4</f>
        <v>0.197084313157895</v>
      </c>
      <c r="C58" s="18" t="n">
        <f aca="false">SUMPRODUCT('GloVe vectores'!$C$4:$C$140,'GloVe vectores'!BB4:BB140)/$B$5</f>
        <v>0.172272597826087</v>
      </c>
      <c r="D58" s="18" t="n">
        <f aca="false">B58*C58</f>
        <v>0.0339522266184806</v>
      </c>
      <c r="E58" s="18" t="n">
        <f aca="false">B58^2</f>
        <v>0.0388422264929191</v>
      </c>
      <c r="F58" s="18" t="n">
        <f aca="false">C58^2</f>
        <v>0.0296778479617487</v>
      </c>
    </row>
    <row r="59" customFormat="false" ht="15" hidden="false" customHeight="false" outlineLevel="0" collapsed="false">
      <c r="A59" s="2" t="n">
        <v>52</v>
      </c>
      <c r="B59" s="18" t="n">
        <f aca="false">SUMPRODUCT('GloVe vectores'!$B$4:$B$140,'GloVe vectores'!BC4:BC140)/$B$4</f>
        <v>-0.0622217868421053</v>
      </c>
      <c r="C59" s="18" t="n">
        <f aca="false">SUMPRODUCT('GloVe vectores'!$C$4:$C$140,'GloVe vectores'!BC4:BC140)/$B$5</f>
        <v>0.0658768543478261</v>
      </c>
      <c r="D59" s="18" t="n">
        <f aca="false">B59*C59</f>
        <v>-0.00409897558905885</v>
      </c>
      <c r="E59" s="18" t="n">
        <f aca="false">B59^2</f>
        <v>0.00387155075782438</v>
      </c>
      <c r="F59" s="18" t="n">
        <f aca="false">C59^2</f>
        <v>0.00433975993876469</v>
      </c>
    </row>
    <row r="60" customFormat="false" ht="15" hidden="false" customHeight="false" outlineLevel="0" collapsed="false">
      <c r="A60" s="2" t="n">
        <v>53</v>
      </c>
      <c r="B60" s="18" t="n">
        <f aca="false">SUMPRODUCT('GloVe vectores'!$B$4:$B$140,'GloVe vectores'!BD4:BD140)/$B$4</f>
        <v>-0.100386450877193</v>
      </c>
      <c r="C60" s="18" t="n">
        <f aca="false">SUMPRODUCT('GloVe vectores'!$C$4:$C$140,'GloVe vectores'!BD4:BD140)/$B$5</f>
        <v>-0.0514544391304348</v>
      </c>
      <c r="D60" s="18" t="n">
        <f aca="false">B60*C60</f>
        <v>0.00516532852618091</v>
      </c>
      <c r="E60" s="18" t="n">
        <f aca="false">B60^2</f>
        <v>0.0100774395197191</v>
      </c>
      <c r="F60" s="18" t="n">
        <f aca="false">C60^2</f>
        <v>0.00264755930622762</v>
      </c>
    </row>
    <row r="61" customFormat="false" ht="15" hidden="false" customHeight="false" outlineLevel="0" collapsed="false">
      <c r="A61" s="2" t="n">
        <v>54</v>
      </c>
      <c r="B61" s="18" t="n">
        <f aca="false">SUMPRODUCT('GloVe vectores'!$B$4:$B$140,'GloVe vectores'!BE4:BE140)/$B$4</f>
        <v>0.671758949122807</v>
      </c>
      <c r="C61" s="18" t="n">
        <f aca="false">SUMPRODUCT('GloVe vectores'!$C$4:$C$140,'GloVe vectores'!BE4:BE140)/$B$5</f>
        <v>0.524632366304348</v>
      </c>
      <c r="D61" s="18" t="n">
        <f aca="false">B61*C61</f>
        <v>0.35242648706442</v>
      </c>
      <c r="E61" s="18" t="n">
        <f aca="false">B61^2</f>
        <v>0.451260085726578</v>
      </c>
      <c r="F61" s="18" t="n">
        <f aca="false">C61^2</f>
        <v>0.275239119774099</v>
      </c>
    </row>
    <row r="62" customFormat="false" ht="15" hidden="false" customHeight="false" outlineLevel="0" collapsed="false">
      <c r="A62" s="2" t="n">
        <v>55</v>
      </c>
      <c r="B62" s="18" t="n">
        <f aca="false">SUMPRODUCT('GloVe vectores'!$B$4:$B$140,'GloVe vectores'!BF4:BF140)/$B$4</f>
        <v>-0.00650810701754386</v>
      </c>
      <c r="C62" s="18" t="n">
        <f aca="false">SUMPRODUCT('GloVe vectores'!$C$4:$C$140,'GloVe vectores'!BF4:BF140)/$B$5</f>
        <v>0.0363347956521739</v>
      </c>
      <c r="D62" s="18" t="n">
        <f aca="false">B62*C62</f>
        <v>-0.000236470738564935</v>
      </c>
      <c r="E62" s="18" t="n">
        <f aca="false">B62^2</f>
        <v>4.23554569518037E-005</v>
      </c>
      <c r="F62" s="18" t="n">
        <f aca="false">C62^2</f>
        <v>0.00132021737508524</v>
      </c>
    </row>
    <row r="63" customFormat="false" ht="15" hidden="false" customHeight="false" outlineLevel="0" collapsed="false">
      <c r="A63" s="2" t="n">
        <v>56</v>
      </c>
      <c r="B63" s="18" t="n">
        <f aca="false">SUMPRODUCT('GloVe vectores'!$B$4:$B$140,'GloVe vectores'!BG4:BG140)/$B$4</f>
        <v>-1.35725519298246</v>
      </c>
      <c r="C63" s="18" t="n">
        <f aca="false">SUMPRODUCT('GloVe vectores'!$C$4:$C$140,'GloVe vectores'!BG4:BG140)/$B$5</f>
        <v>-0.966829097826087</v>
      </c>
      <c r="D63" s="18" t="n">
        <f aca="false">B63*C63</f>
        <v>1.312233813751</v>
      </c>
      <c r="E63" s="18" t="n">
        <f aca="false">B63^2</f>
        <v>1.84214165887784</v>
      </c>
      <c r="F63" s="18" t="n">
        <f aca="false">C63^2</f>
        <v>0.934758504403205</v>
      </c>
    </row>
    <row r="64" customFormat="false" ht="15" hidden="false" customHeight="false" outlineLevel="0" collapsed="false">
      <c r="A64" s="2" t="n">
        <v>57</v>
      </c>
      <c r="B64" s="18" t="n">
        <f aca="false">SUMPRODUCT('GloVe vectores'!$B$4:$B$140,'GloVe vectores'!BH4:BH140)/$B$4</f>
        <v>0.346147114035088</v>
      </c>
      <c r="C64" s="18" t="n">
        <f aca="false">SUMPRODUCT('GloVe vectores'!$C$4:$C$140,'GloVe vectores'!BH4:BH140)/$B$5</f>
        <v>0.329578657608696</v>
      </c>
      <c r="D64" s="18" t="n">
        <f aca="false">B64*C64</f>
        <v>0.114082701178808</v>
      </c>
      <c r="E64" s="18" t="n">
        <f aca="false">B64^2</f>
        <v>0.11981782455482</v>
      </c>
      <c r="F64" s="18" t="n">
        <f aca="false">C64^2</f>
        <v>0.10862209155115</v>
      </c>
    </row>
    <row r="65" customFormat="false" ht="15" hidden="false" customHeight="false" outlineLevel="0" collapsed="false">
      <c r="A65" s="2" t="n">
        <v>58</v>
      </c>
      <c r="B65" s="18" t="n">
        <f aca="false">SUMPRODUCT('GloVe vectores'!$B$4:$B$140,'GloVe vectores'!BI4:BI140)/$B$4</f>
        <v>-0.342445168421053</v>
      </c>
      <c r="C65" s="18" t="n">
        <f aca="false">SUMPRODUCT('GloVe vectores'!$C$4:$C$140,'GloVe vectores'!BI4:BI140)/$B$5</f>
        <v>-0.276352685869565</v>
      </c>
      <c r="D65" s="18" t="n">
        <f aca="false">B65*C65</f>
        <v>0.0946356420562135</v>
      </c>
      <c r="E65" s="18" t="n">
        <f aca="false">B65^2</f>
        <v>0.117268693374923</v>
      </c>
      <c r="F65" s="18" t="n">
        <f aca="false">C65^2</f>
        <v>0.0763708069873226</v>
      </c>
    </row>
    <row r="66" customFormat="false" ht="15" hidden="false" customHeight="false" outlineLevel="0" collapsed="false">
      <c r="A66" s="2" t="n">
        <v>59</v>
      </c>
      <c r="B66" s="18" t="n">
        <f aca="false">SUMPRODUCT('GloVe vectores'!$B$4:$B$140,'GloVe vectores'!BJ4:BJ140)/$B$4</f>
        <v>1.2802728245614</v>
      </c>
      <c r="C66" s="18" t="n">
        <f aca="false">SUMPRODUCT('GloVe vectores'!$C$4:$C$140,'GloVe vectores'!BJ4:BJ140)/$B$5</f>
        <v>0.850951304347826</v>
      </c>
      <c r="D66" s="18" t="n">
        <f aca="false">B66*C66</f>
        <v>1.0894498299816</v>
      </c>
      <c r="E66" s="18" t="n">
        <f aca="false">B66^2</f>
        <v>1.63909850531043</v>
      </c>
      <c r="F66" s="18" t="n">
        <f aca="false">C66^2</f>
        <v>0.724118122371267</v>
      </c>
    </row>
    <row r="67" customFormat="false" ht="15" hidden="false" customHeight="false" outlineLevel="0" collapsed="false">
      <c r="A67" s="2" t="n">
        <v>60</v>
      </c>
      <c r="B67" s="18" t="n">
        <f aca="false">SUMPRODUCT('GloVe vectores'!$B$4:$B$140,'GloVe vectores'!BK4:BK140)/$B$4</f>
        <v>0.128004207017544</v>
      </c>
      <c r="C67" s="18" t="n">
        <f aca="false">SUMPRODUCT('GloVe vectores'!$C$4:$C$140,'GloVe vectores'!BK4:BK140)/$B$5</f>
        <v>0.153011597826087</v>
      </c>
      <c r="D67" s="18" t="n">
        <f aca="false">B67*C67</f>
        <v>0.0195861282442156</v>
      </c>
      <c r="E67" s="18" t="n">
        <f aca="false">B67^2</f>
        <v>0.0163850770141902</v>
      </c>
      <c r="F67" s="18" t="n">
        <f aca="false">C67^2</f>
        <v>0.0234125490692922</v>
      </c>
    </row>
    <row r="68" customFormat="false" ht="15" hidden="false" customHeight="false" outlineLevel="0" collapsed="false">
      <c r="A68" s="2" t="n">
        <v>61</v>
      </c>
      <c r="B68" s="18" t="n">
        <f aca="false">SUMPRODUCT('GloVe vectores'!$B$4:$B$140,'GloVe vectores'!BL4:BL140)/$B$4</f>
        <v>-0.0619023587719298</v>
      </c>
      <c r="C68" s="18" t="n">
        <f aca="false">SUMPRODUCT('GloVe vectores'!$C$4:$C$140,'GloVe vectores'!BL4:BL140)/$B$5</f>
        <v>-0.0551098565217391</v>
      </c>
      <c r="D68" s="18" t="n">
        <f aca="false">B68*C68</f>
        <v>0.00341143011027827</v>
      </c>
      <c r="E68" s="18" t="n">
        <f aca="false">B68^2</f>
        <v>0.00383190202152872</v>
      </c>
      <c r="F68" s="18" t="n">
        <f aca="false">C68^2</f>
        <v>0.00303709628584667</v>
      </c>
    </row>
    <row r="69" customFormat="false" ht="15" hidden="false" customHeight="false" outlineLevel="0" collapsed="false">
      <c r="A69" s="2" t="n">
        <v>62</v>
      </c>
      <c r="B69" s="18" t="n">
        <f aca="false">SUMPRODUCT('GloVe vectores'!$B$4:$B$140,'GloVe vectores'!BM4:BM140)/$B$4</f>
        <v>0.353631368421053</v>
      </c>
      <c r="C69" s="18" t="n">
        <f aca="false">SUMPRODUCT('GloVe vectores'!$C$4:$C$140,'GloVe vectores'!BM4:BM140)/$B$5</f>
        <v>0.228048584782609</v>
      </c>
      <c r="D69" s="18" t="n">
        <f aca="false">B69*C69</f>
        <v>0.0806451331031584</v>
      </c>
      <c r="E69" s="18" t="n">
        <f aca="false">B69^2</f>
        <v>0.125055144731346</v>
      </c>
      <c r="F69" s="18" t="n">
        <f aca="false">C69^2</f>
        <v>0.0520061570213507</v>
      </c>
    </row>
    <row r="70" customFormat="false" ht="15" hidden="false" customHeight="false" outlineLevel="0" collapsed="false">
      <c r="A70" s="2" t="n">
        <v>63</v>
      </c>
      <c r="B70" s="18" t="n">
        <f aca="false">SUMPRODUCT('GloVe vectores'!$B$4:$B$140,'GloVe vectores'!BN4:BN140)/$B$4</f>
        <v>-0.12632188245614</v>
      </c>
      <c r="C70" s="18" t="n">
        <f aca="false">SUMPRODUCT('GloVe vectores'!$C$4:$C$140,'GloVe vectores'!BN4:BN140)/$B$5</f>
        <v>-0.212997336956522</v>
      </c>
      <c r="D70" s="18" t="n">
        <f aca="false">B70*C70</f>
        <v>0.0269062245624927</v>
      </c>
      <c r="E70" s="18" t="n">
        <f aca="false">B70^2</f>
        <v>0.0159572179872629</v>
      </c>
      <c r="F70" s="18" t="n">
        <f aca="false">C70^2</f>
        <v>0.0453678655505701</v>
      </c>
    </row>
    <row r="71" customFormat="false" ht="15" hidden="false" customHeight="false" outlineLevel="0" collapsed="false">
      <c r="A71" s="2" t="n">
        <v>64</v>
      </c>
      <c r="B71" s="18" t="n">
        <f aca="false">SUMPRODUCT('GloVe vectores'!$B$4:$B$140,'GloVe vectores'!BO4:BO140)/$B$4</f>
        <v>-0.0631417543859649</v>
      </c>
      <c r="C71" s="18" t="n">
        <f aca="false">SUMPRODUCT('GloVe vectores'!$C$4:$C$140,'GloVe vectores'!BO4:BO140)/$B$5</f>
        <v>0.0315478586956522</v>
      </c>
      <c r="D71" s="18" t="n">
        <f aca="false">B71*C71</f>
        <v>-0.001991987145164</v>
      </c>
      <c r="E71" s="18" t="n">
        <f aca="false">B71^2</f>
        <v>0.00398688114693752</v>
      </c>
      <c r="F71" s="18" t="n">
        <f aca="false">C71^2</f>
        <v>0.000995267388280837</v>
      </c>
    </row>
    <row r="72" customFormat="false" ht="15" hidden="false" customHeight="false" outlineLevel="0" collapsed="false">
      <c r="A72" s="2" t="n">
        <v>65</v>
      </c>
      <c r="B72" s="18" t="n">
        <f aca="false">SUMPRODUCT('GloVe vectores'!$B$4:$B$140,'GloVe vectores'!BP4:BP140)/$B$4</f>
        <v>0.530371956140351</v>
      </c>
      <c r="C72" s="18" t="n">
        <f aca="false">SUMPRODUCT('GloVe vectores'!$C$4:$C$140,'GloVe vectores'!BP4:BP140)/$B$5</f>
        <v>0.64152072826087</v>
      </c>
      <c r="D72" s="18" t="n">
        <f aca="false">B72*C72</f>
        <v>0.3402446035523</v>
      </c>
      <c r="E72" s="18" t="n">
        <f aca="false">B72^2</f>
        <v>0.281294411860142</v>
      </c>
      <c r="F72" s="18" t="n">
        <f aca="false">C72^2</f>
        <v>0.411548844788356</v>
      </c>
    </row>
    <row r="73" customFormat="false" ht="15" hidden="false" customHeight="false" outlineLevel="0" collapsed="false">
      <c r="A73" s="2" t="n">
        <v>66</v>
      </c>
      <c r="B73" s="18" t="n">
        <f aca="false">SUMPRODUCT('GloVe vectores'!$B$4:$B$140,'GloVe vectores'!BQ4:BQ140)/$B$4</f>
        <v>-0.00279928070175438</v>
      </c>
      <c r="C73" s="18" t="n">
        <f aca="false">SUMPRODUCT('GloVe vectores'!$C$4:$C$140,'GloVe vectores'!BQ4:BQ140)/$B$5</f>
        <v>-0.0369715988913044</v>
      </c>
      <c r="D73" s="18" t="n">
        <f aca="false">B73*C73</f>
        <v>0.000103493883289432</v>
      </c>
      <c r="E73" s="18" t="n">
        <f aca="false">B73^2</f>
        <v>7.83597244721452E-006</v>
      </c>
      <c r="F73" s="18" t="n">
        <f aca="false">C73^2</f>
        <v>0.0013668991245795</v>
      </c>
    </row>
    <row r="74" customFormat="false" ht="15" hidden="false" customHeight="false" outlineLevel="0" collapsed="false">
      <c r="A74" s="2" t="n">
        <v>67</v>
      </c>
      <c r="B74" s="18" t="n">
        <f aca="false">SUMPRODUCT('GloVe vectores'!$B$4:$B$140,'GloVe vectores'!BR4:BR140)/$B$4</f>
        <v>-0.0859280942105263</v>
      </c>
      <c r="C74" s="18" t="n">
        <f aca="false">SUMPRODUCT('GloVe vectores'!$C$4:$C$140,'GloVe vectores'!BR4:BR140)/$B$5</f>
        <v>0.0197309043478261</v>
      </c>
      <c r="D74" s="18" t="n">
        <f aca="false">B74*C74</f>
        <v>-0.00169543900765888</v>
      </c>
      <c r="E74" s="18" t="n">
        <f aca="false">B74^2</f>
        <v>0.00738363737465309</v>
      </c>
      <c r="F74" s="18" t="n">
        <f aca="false">C74^2</f>
        <v>0.000389308586383062</v>
      </c>
    </row>
    <row r="75" customFormat="false" ht="15" hidden="false" customHeight="false" outlineLevel="0" collapsed="false">
      <c r="A75" s="2" t="n">
        <v>68</v>
      </c>
      <c r="B75" s="18" t="n">
        <f aca="false">SUMPRODUCT('GloVe vectores'!$B$4:$B$140,'GloVe vectores'!BS4:BS140)/$B$4</f>
        <v>0.110356066666667</v>
      </c>
      <c r="C75" s="18" t="n">
        <f aca="false">SUMPRODUCT('GloVe vectores'!$C$4:$C$140,'GloVe vectores'!BS4:BS140)/$B$5</f>
        <v>-0.00569530760869566</v>
      </c>
      <c r="D75" s="18" t="n">
        <f aca="false">B75*C75</f>
        <v>-0.000628511746152392</v>
      </c>
      <c r="E75" s="18" t="n">
        <f aca="false">B75^2</f>
        <v>0.0121784614501378</v>
      </c>
      <c r="F75" s="18" t="n">
        <f aca="false">C75^2</f>
        <v>3.24365287576666E-005</v>
      </c>
    </row>
    <row r="76" customFormat="false" ht="15" hidden="false" customHeight="false" outlineLevel="0" collapsed="false">
      <c r="A76" s="2" t="n">
        <v>69</v>
      </c>
      <c r="B76" s="18" t="n">
        <f aca="false">SUMPRODUCT('GloVe vectores'!$B$4:$B$140,'GloVe vectores'!BT4:BT140)/$B$4</f>
        <v>0.43925220877193</v>
      </c>
      <c r="C76" s="18" t="n">
        <f aca="false">SUMPRODUCT('GloVe vectores'!$C$4:$C$140,'GloVe vectores'!BT4:BT140)/$B$5</f>
        <v>0.31568913423913</v>
      </c>
      <c r="D76" s="18" t="n">
        <f aca="false">B76*C76</f>
        <v>0.138667149499836</v>
      </c>
      <c r="E76" s="18" t="n">
        <f aca="false">B76^2</f>
        <v>0.192942502911019</v>
      </c>
      <c r="F76" s="18" t="n">
        <f aca="false">C76^2</f>
        <v>0.0996596294766517</v>
      </c>
    </row>
    <row r="77" customFormat="false" ht="15" hidden="false" customHeight="false" outlineLevel="0" collapsed="false">
      <c r="A77" s="2" t="n">
        <v>70</v>
      </c>
      <c r="B77" s="18" t="n">
        <f aca="false">SUMPRODUCT('GloVe vectores'!$B$4:$B$140,'GloVe vectores'!BU4:BU140)/$B$4</f>
        <v>0.0489727368421053</v>
      </c>
      <c r="C77" s="18" t="n">
        <f aca="false">SUMPRODUCT('GloVe vectores'!$C$4:$C$140,'GloVe vectores'!BU4:BU140)/$B$5</f>
        <v>-0.07337015</v>
      </c>
      <c r="D77" s="18" t="n">
        <f aca="false">B77*C77</f>
        <v>-0.00359313704801579</v>
      </c>
      <c r="E77" s="18" t="n">
        <f aca="false">B77^2</f>
        <v>0.00239832895380609</v>
      </c>
      <c r="F77" s="18" t="n">
        <f aca="false">C77^2</f>
        <v>0.0053831789110225</v>
      </c>
    </row>
    <row r="78" customFormat="false" ht="15" hidden="false" customHeight="false" outlineLevel="0" collapsed="false">
      <c r="A78" s="2" t="n">
        <v>71</v>
      </c>
      <c r="B78" s="18" t="n">
        <f aca="false">SUMPRODUCT('GloVe vectores'!$B$4:$B$140,'GloVe vectores'!BV4:BV140)/$B$4</f>
        <v>0.184223414035088</v>
      </c>
      <c r="C78" s="18" t="n">
        <f aca="false">SUMPRODUCT('GloVe vectores'!$C$4:$C$140,'GloVe vectores'!BV4:BV140)/$B$5</f>
        <v>0.10348185326087</v>
      </c>
      <c r="D78" s="18" t="n">
        <f aca="false">B78*C78</f>
        <v>0.0190637802983954</v>
      </c>
      <c r="E78" s="18" t="n">
        <f aca="false">B78^2</f>
        <v>0.0339382662787434</v>
      </c>
      <c r="F78" s="18" t="n">
        <f aca="false">C78^2</f>
        <v>0.0107084939543041</v>
      </c>
    </row>
    <row r="79" customFormat="false" ht="15" hidden="false" customHeight="false" outlineLevel="0" collapsed="false">
      <c r="A79" s="2" t="n">
        <v>72</v>
      </c>
      <c r="B79" s="18" t="n">
        <f aca="false">SUMPRODUCT('GloVe vectores'!$B$4:$B$140,'GloVe vectores'!BW4:BW140)/$B$4</f>
        <v>0.145820952631579</v>
      </c>
      <c r="C79" s="18" t="n">
        <f aca="false">SUMPRODUCT('GloVe vectores'!$C$4:$C$140,'GloVe vectores'!BW4:BW140)/$B$5</f>
        <v>0.0164143358695652</v>
      </c>
      <c r="D79" s="18" t="n">
        <f aca="false">B79*C79</f>
        <v>0.0023935540933147</v>
      </c>
      <c r="E79" s="18" t="n">
        <f aca="false">B79^2</f>
        <v>0.0212637502263812</v>
      </c>
      <c r="F79" s="18" t="n">
        <f aca="false">C79^2</f>
        <v>0.000269430422038895</v>
      </c>
    </row>
    <row r="80" customFormat="false" ht="15" hidden="false" customHeight="false" outlineLevel="0" collapsed="false">
      <c r="A80" s="2" t="n">
        <v>73</v>
      </c>
      <c r="B80" s="18" t="n">
        <f aca="false">SUMPRODUCT('GloVe vectores'!$B$4:$B$140,'GloVe vectores'!BX4:BX140)/$B$4</f>
        <v>0.153926767105263</v>
      </c>
      <c r="C80" s="18" t="n">
        <f aca="false">SUMPRODUCT('GloVe vectores'!$C$4:$C$140,'GloVe vectores'!BX4:BX140)/$B$5</f>
        <v>0.0349977218478261</v>
      </c>
      <c r="D80" s="18" t="n">
        <f aca="false">B80*C80</f>
        <v>0.00538708618008511</v>
      </c>
      <c r="E80" s="18" t="n">
        <f aca="false">B80^2</f>
        <v>0.0236934496314779</v>
      </c>
      <c r="F80" s="18" t="n">
        <f aca="false">C80^2</f>
        <v>0.0012248405345378</v>
      </c>
    </row>
    <row r="81" customFormat="false" ht="15" hidden="false" customHeight="false" outlineLevel="0" collapsed="false">
      <c r="A81" s="2" t="n">
        <v>74</v>
      </c>
      <c r="B81" s="18" t="n">
        <f aca="false">SUMPRODUCT('GloVe vectores'!$B$4:$B$140,'GloVe vectores'!BY4:BY140)/$B$4</f>
        <v>-0.188332587719298</v>
      </c>
      <c r="C81" s="18" t="n">
        <f aca="false">SUMPRODUCT('GloVe vectores'!$C$4:$C$140,'GloVe vectores'!BY4:BY140)/$B$5</f>
        <v>-0.149012066304348</v>
      </c>
      <c r="D81" s="18" t="n">
        <f aca="false">B81*C81</f>
        <v>0.0280638280484975</v>
      </c>
      <c r="E81" s="18" t="n">
        <f aca="false">B81^2</f>
        <v>0.0354691635970472</v>
      </c>
      <c r="F81" s="18" t="n">
        <f aca="false">C81^2</f>
        <v>0.0222045959042914</v>
      </c>
    </row>
    <row r="82" customFormat="false" ht="15" hidden="false" customHeight="false" outlineLevel="0" collapsed="false">
      <c r="A82" s="2" t="n">
        <v>75</v>
      </c>
      <c r="B82" s="18" t="n">
        <f aca="false">SUMPRODUCT('GloVe vectores'!$B$4:$B$140,'GloVe vectores'!BZ4:BZ140)/$B$4</f>
        <v>-0.110946307894737</v>
      </c>
      <c r="C82" s="18" t="n">
        <f aca="false">SUMPRODUCT('GloVe vectores'!$C$4:$C$140,'GloVe vectores'!BZ4:BZ140)/$B$5</f>
        <v>-0.0322206663043478</v>
      </c>
      <c r="D82" s="18" t="n">
        <f aca="false">B82*C82</f>
        <v>0.00357476396437575</v>
      </c>
      <c r="E82" s="18" t="n">
        <f aca="false">B82^2</f>
        <v>0.0123090832354737</v>
      </c>
      <c r="F82" s="18" t="n">
        <f aca="false">C82^2</f>
        <v>0.00103817133709614</v>
      </c>
    </row>
    <row r="83" customFormat="false" ht="15" hidden="false" customHeight="false" outlineLevel="0" collapsed="false">
      <c r="A83" s="2" t="n">
        <v>76</v>
      </c>
      <c r="B83" s="18" t="n">
        <f aca="false">SUMPRODUCT('GloVe vectores'!$B$4:$B$140,'GloVe vectores'!CA4:CA140)/$B$4</f>
        <v>0.0185715701754386</v>
      </c>
      <c r="C83" s="18" t="n">
        <f aca="false">SUMPRODUCT('GloVe vectores'!$C$4:$C$140,'GloVe vectores'!CA4:CA140)/$B$5</f>
        <v>0.0271344902173913</v>
      </c>
      <c r="D83" s="18" t="n">
        <f aca="false">B83*C83</f>
        <v>0.000503930089247034</v>
      </c>
      <c r="E83" s="18" t="n">
        <f aca="false">B83^2</f>
        <v>0.00034490321878124</v>
      </c>
      <c r="F83" s="18" t="n">
        <f aca="false">C83^2</f>
        <v>0.000736280559357704</v>
      </c>
    </row>
    <row r="84" customFormat="false" ht="15" hidden="false" customHeight="false" outlineLevel="0" collapsed="false">
      <c r="A84" s="2" t="n">
        <v>77</v>
      </c>
      <c r="B84" s="18" t="n">
        <f aca="false">SUMPRODUCT('GloVe vectores'!$B$4:$B$140,'GloVe vectores'!CB4:CB140)/$B$4</f>
        <v>-0.108541471052632</v>
      </c>
      <c r="C84" s="18" t="n">
        <f aca="false">SUMPRODUCT('GloVe vectores'!$C$4:$C$140,'GloVe vectores'!CB4:CB140)/$B$5</f>
        <v>0.00184915326086956</v>
      </c>
      <c r="D84" s="18" t="n">
        <f aca="false">B84*C84</f>
        <v>-0.000200709815136552</v>
      </c>
      <c r="E84" s="18" t="n">
        <f aca="false">B84^2</f>
        <v>0.0117812509382693</v>
      </c>
      <c r="F84" s="18" t="n">
        <f aca="false">C84^2</f>
        <v>3.41936778218452E-006</v>
      </c>
    </row>
    <row r="85" customFormat="false" ht="15" hidden="false" customHeight="false" outlineLevel="0" collapsed="false">
      <c r="A85" s="2" t="n">
        <v>78</v>
      </c>
      <c r="B85" s="18" t="n">
        <f aca="false">SUMPRODUCT('GloVe vectores'!$B$4:$B$140,'GloVe vectores'!CC4:CC140)/$B$4</f>
        <v>0.0833045842105263</v>
      </c>
      <c r="C85" s="18" t="n">
        <f aca="false">SUMPRODUCT('GloVe vectores'!$C$4:$C$140,'GloVe vectores'!CC4:CC140)/$B$5</f>
        <v>0.110017610869565</v>
      </c>
      <c r="D85" s="18" t="n">
        <f aca="false">B85*C85</f>
        <v>0.00916497132932461</v>
      </c>
      <c r="E85" s="18" t="n">
        <f aca="false">B85^2</f>
        <v>0.00693965375048867</v>
      </c>
      <c r="F85" s="18" t="n">
        <f aca="false">C85^2</f>
        <v>0.0121038747014471</v>
      </c>
    </row>
    <row r="86" customFormat="false" ht="15" hidden="false" customHeight="false" outlineLevel="0" collapsed="false">
      <c r="A86" s="2" t="n">
        <v>79</v>
      </c>
      <c r="B86" s="18" t="n">
        <f aca="false">SUMPRODUCT('GloVe vectores'!$B$4:$B$140,'GloVe vectores'!CD4:CD140)/$B$4</f>
        <v>-0.631325018421053</v>
      </c>
      <c r="C86" s="18" t="n">
        <f aca="false">SUMPRODUCT('GloVe vectores'!$C$4:$C$140,'GloVe vectores'!CD4:CD140)/$B$5</f>
        <v>-0.542252935869565</v>
      </c>
      <c r="D86" s="18" t="n">
        <f aca="false">B86*C86</f>
        <v>0.342337844726723</v>
      </c>
      <c r="E86" s="18" t="n">
        <f aca="false">B86^2</f>
        <v>0.398571278884342</v>
      </c>
      <c r="F86" s="18" t="n">
        <f aca="false">C86^2</f>
        <v>0.294038246459163</v>
      </c>
    </row>
    <row r="87" customFormat="false" ht="15" hidden="false" customHeight="false" outlineLevel="0" collapsed="false">
      <c r="A87" s="2" t="n">
        <v>80</v>
      </c>
      <c r="B87" s="18" t="n">
        <f aca="false">SUMPRODUCT('GloVe vectores'!$B$4:$B$140,'GloVe vectores'!CE4:CE140)/$B$4</f>
        <v>-0.38857476754386</v>
      </c>
      <c r="C87" s="18" t="n">
        <f aca="false">SUMPRODUCT('GloVe vectores'!$C$4:$C$140,'GloVe vectores'!CE4:CE140)/$B$5</f>
        <v>-0.179343097826087</v>
      </c>
      <c r="D87" s="18" t="n">
        <f aca="false">B87*C87</f>
        <v>0.0696882025483674</v>
      </c>
      <c r="E87" s="18" t="n">
        <f aca="false">B87^2</f>
        <v>0.150990349971765</v>
      </c>
      <c r="F87" s="18" t="n">
        <f aca="false">C87^2</f>
        <v>0.0321639467378574</v>
      </c>
    </row>
    <row r="88" customFormat="false" ht="15" hidden="false" customHeight="false" outlineLevel="0" collapsed="false">
      <c r="A88" s="2" t="n">
        <v>81</v>
      </c>
      <c r="B88" s="18" t="n">
        <f aca="false">SUMPRODUCT('GloVe vectores'!$B$4:$B$140,'GloVe vectores'!CF4:CF140)/$B$4</f>
        <v>0.293704122807018</v>
      </c>
      <c r="C88" s="18" t="n">
        <f aca="false">SUMPRODUCT('GloVe vectores'!$C$4:$C$140,'GloVe vectores'!CF4:CF140)/$B$5</f>
        <v>0.270082402173913</v>
      </c>
      <c r="D88" s="18" t="n">
        <f aca="false">B88*C88</f>
        <v>0.0793243150161013</v>
      </c>
      <c r="E88" s="18" t="n">
        <f aca="false">B88^2</f>
        <v>0.0862621117538396</v>
      </c>
      <c r="F88" s="18" t="n">
        <f aca="false">C88^2</f>
        <v>0.0729445039640313</v>
      </c>
    </row>
    <row r="89" customFormat="false" ht="15" hidden="false" customHeight="false" outlineLevel="0" collapsed="false">
      <c r="A89" s="2" t="n">
        <v>82</v>
      </c>
      <c r="B89" s="18" t="n">
        <f aca="false">SUMPRODUCT('GloVe vectores'!$B$4:$B$140,'GloVe vectores'!CG4:CG140)/$B$4</f>
        <v>0.187625807017544</v>
      </c>
      <c r="C89" s="18" t="n">
        <f aca="false">SUMPRODUCT('GloVe vectores'!$C$4:$C$140,'GloVe vectores'!CG4:CG140)/$B$5</f>
        <v>0.0676602369565218</v>
      </c>
      <c r="D89" s="18" t="n">
        <f aca="false">B89*C89</f>
        <v>0.0126948065619656</v>
      </c>
      <c r="E89" s="18" t="n">
        <f aca="false">B89^2</f>
        <v>0.0352034434589846</v>
      </c>
      <c r="F89" s="18" t="n">
        <f aca="false">C89^2</f>
        <v>0.00457790766501267</v>
      </c>
    </row>
    <row r="90" customFormat="false" ht="15" hidden="false" customHeight="false" outlineLevel="0" collapsed="false">
      <c r="A90" s="2" t="n">
        <v>83</v>
      </c>
      <c r="B90" s="18" t="n">
        <f aca="false">SUMPRODUCT('GloVe vectores'!$B$4:$B$140,'GloVe vectores'!CH4:CH140)/$B$4</f>
        <v>-0.283387219298246</v>
      </c>
      <c r="C90" s="18" t="n">
        <f aca="false">SUMPRODUCT('GloVe vectores'!$C$4:$C$140,'GloVe vectores'!CH4:CH140)/$B$5</f>
        <v>-0.205724340217391</v>
      </c>
      <c r="D90" s="18" t="n">
        <f aca="false">B90*C90</f>
        <v>0.0582996487161728</v>
      </c>
      <c r="E90" s="18" t="n">
        <f aca="false">B90^2</f>
        <v>0.080308316061592</v>
      </c>
      <c r="F90" s="18" t="n">
        <f aca="false">C90^2</f>
        <v>0.042322504157881</v>
      </c>
    </row>
    <row r="91" customFormat="false" ht="15" hidden="false" customHeight="false" outlineLevel="0" collapsed="false">
      <c r="A91" s="2" t="n">
        <v>84</v>
      </c>
      <c r="B91" s="18" t="n">
        <f aca="false">SUMPRODUCT('GloVe vectores'!$B$4:$B$140,'GloVe vectores'!CI4:CI140)/$B$4</f>
        <v>-0.109927610175439</v>
      </c>
      <c r="C91" s="18" t="n">
        <f aca="false">SUMPRODUCT('GloVe vectores'!$C$4:$C$140,'GloVe vectores'!CI4:CI140)/$B$5</f>
        <v>-0.0107049317391304</v>
      </c>
      <c r="D91" s="18" t="n">
        <f aca="false">B91*C91</f>
        <v>0.00117676756317381</v>
      </c>
      <c r="E91" s="18" t="n">
        <f aca="false">B91^2</f>
        <v>0.0120840794788832</v>
      </c>
      <c r="F91" s="18" t="n">
        <f aca="false">C91^2</f>
        <v>0.000114595563539442</v>
      </c>
    </row>
    <row r="92" customFormat="false" ht="15" hidden="false" customHeight="false" outlineLevel="0" collapsed="false">
      <c r="A92" s="2" t="n">
        <v>85</v>
      </c>
      <c r="B92" s="18" t="n">
        <f aca="false">SUMPRODUCT('GloVe vectores'!$B$4:$B$140,'GloVe vectores'!CJ4:CJ140)/$B$4</f>
        <v>-1.24824127192982</v>
      </c>
      <c r="C92" s="18" t="n">
        <f aca="false">SUMPRODUCT('GloVe vectores'!$C$4:$C$140,'GloVe vectores'!CJ4:CJ140)/$B$5</f>
        <v>-1.06363327173913</v>
      </c>
      <c r="D92" s="18" t="n">
        <f aca="false">B92*C92</f>
        <v>1.32767094798253</v>
      </c>
      <c r="E92" s="18" t="n">
        <f aca="false">B92^2</f>
        <v>1.55810627294899</v>
      </c>
      <c r="F92" s="18" t="n">
        <f aca="false">C92^2</f>
        <v>1.13131573675049</v>
      </c>
    </row>
    <row r="93" customFormat="false" ht="15" hidden="false" customHeight="false" outlineLevel="0" collapsed="false">
      <c r="A93" s="2" t="n">
        <v>86</v>
      </c>
      <c r="B93" s="18" t="n">
        <f aca="false">SUMPRODUCT('GloVe vectores'!$B$4:$B$140,'GloVe vectores'!CK4:CK140)/$B$4</f>
        <v>0.133545614035088</v>
      </c>
      <c r="C93" s="18" t="n">
        <f aca="false">SUMPRODUCT('GloVe vectores'!$C$4:$C$140,'GloVe vectores'!CK4:CK140)/$B$5</f>
        <v>0.128022684782609</v>
      </c>
      <c r="D93" s="18" t="n">
        <f aca="false">B93*C93</f>
        <v>0.017096868049714</v>
      </c>
      <c r="E93" s="18" t="n">
        <f aca="false">B93^2</f>
        <v>0.0178344310280086</v>
      </c>
      <c r="F93" s="18" t="n">
        <f aca="false">C93^2</f>
        <v>0.0163898078189472</v>
      </c>
    </row>
    <row r="94" customFormat="false" ht="15" hidden="false" customHeight="false" outlineLevel="0" collapsed="false">
      <c r="A94" s="2" t="n">
        <v>87</v>
      </c>
      <c r="B94" s="18" t="n">
        <f aca="false">SUMPRODUCT('GloVe vectores'!$B$4:$B$140,'GloVe vectores'!CL4:CL140)/$B$4</f>
        <v>0.154682771929825</v>
      </c>
      <c r="C94" s="18" t="n">
        <f aca="false">SUMPRODUCT('GloVe vectores'!$C$4:$C$140,'GloVe vectores'!CL4:CL140)/$B$5</f>
        <v>0.0846632391304348</v>
      </c>
      <c r="D94" s="18" t="n">
        <f aca="false">B94*C94</f>
        <v>0.0130959445092532</v>
      </c>
      <c r="E94" s="18" t="n">
        <f aca="false">B94^2</f>
        <v>0.0239267599318941</v>
      </c>
      <c r="F94" s="18" t="n">
        <f aca="false">C94^2</f>
        <v>0.00716786406005718</v>
      </c>
    </row>
    <row r="95" customFormat="false" ht="15" hidden="false" customHeight="false" outlineLevel="0" collapsed="false">
      <c r="A95" s="2" t="n">
        <v>88</v>
      </c>
      <c r="B95" s="18" t="n">
        <f aca="false">SUMPRODUCT('GloVe vectores'!$B$4:$B$140,'GloVe vectores'!CM4:CM140)/$B$4</f>
        <v>-0.19588438245614</v>
      </c>
      <c r="C95" s="18" t="n">
        <f aca="false">SUMPRODUCT('GloVe vectores'!$C$4:$C$140,'GloVe vectores'!CM4:CM140)/$B$5</f>
        <v>-0.0660666010869565</v>
      </c>
      <c r="D95" s="18" t="n">
        <f aca="false">B95*C95</f>
        <v>0.0129414153548947</v>
      </c>
      <c r="E95" s="18" t="n">
        <f aca="false">B95^2</f>
        <v>0.0383706912902235</v>
      </c>
      <c r="F95" s="18" t="n">
        <f aca="false">C95^2</f>
        <v>0.00436479577918305</v>
      </c>
    </row>
    <row r="96" customFormat="false" ht="15" hidden="false" customHeight="false" outlineLevel="0" collapsed="false">
      <c r="A96" s="2" t="n">
        <v>89</v>
      </c>
      <c r="B96" s="18" t="n">
        <f aca="false">SUMPRODUCT('GloVe vectores'!$B$4:$B$140,'GloVe vectores'!CN4:CN140)/$B$4</f>
        <v>-0.213005715789474</v>
      </c>
      <c r="C96" s="18" t="n">
        <f aca="false">SUMPRODUCT('GloVe vectores'!$C$4:$C$140,'GloVe vectores'!CN4:CN140)/$B$5</f>
        <v>-0.185123989130435</v>
      </c>
      <c r="D96" s="18" t="n">
        <f aca="false">B96*C96</f>
        <v>0.039432467814531</v>
      </c>
      <c r="E96" s="18" t="n">
        <f aca="false">B96^2</f>
        <v>0.045371434958986</v>
      </c>
      <c r="F96" s="18" t="n">
        <f aca="false">C96^2</f>
        <v>0.0342708913515653</v>
      </c>
    </row>
    <row r="97" customFormat="false" ht="15" hidden="false" customHeight="false" outlineLevel="0" collapsed="false">
      <c r="A97" s="2" t="n">
        <v>90</v>
      </c>
      <c r="B97" s="18" t="n">
        <f aca="false">SUMPRODUCT('GloVe vectores'!$B$4:$B$140,'GloVe vectores'!CO4:CO140)/$B$4</f>
        <v>-0.242036324561404</v>
      </c>
      <c r="C97" s="18" t="n">
        <f aca="false">SUMPRODUCT('GloVe vectores'!$C$4:$C$140,'GloVe vectores'!CO4:CO140)/$B$5</f>
        <v>-0.251868163043478</v>
      </c>
      <c r="D97" s="18" t="n">
        <f aca="false">B97*C97</f>
        <v>0.0609612444570758</v>
      </c>
      <c r="E97" s="18" t="n">
        <f aca="false">B97^2</f>
        <v>0.0585815824071931</v>
      </c>
      <c r="F97" s="18" t="n">
        <f aca="false">C97^2</f>
        <v>0.0634375715548961</v>
      </c>
    </row>
    <row r="98" customFormat="false" ht="15" hidden="false" customHeight="false" outlineLevel="0" collapsed="false">
      <c r="A98" s="2" t="n">
        <v>91</v>
      </c>
      <c r="B98" s="18" t="n">
        <f aca="false">SUMPRODUCT('GloVe vectores'!$B$4:$B$140,'GloVe vectores'!CP4:CP140)/$B$4</f>
        <v>-0.084192256754386</v>
      </c>
      <c r="C98" s="18" t="n">
        <f aca="false">SUMPRODUCT('GloVe vectores'!$C$4:$C$140,'GloVe vectores'!CP4:CP140)/$B$5</f>
        <v>-0.0851733423913044</v>
      </c>
      <c r="D98" s="18" t="n">
        <f aca="false">B98*C98</f>
        <v>0.00717093591123792</v>
      </c>
      <c r="E98" s="18" t="n">
        <f aca="false">B98^2</f>
        <v>0.00708833609739645</v>
      </c>
      <c r="F98" s="18" t="n">
        <f aca="false">C98^2</f>
        <v>0.00725449825410636</v>
      </c>
    </row>
    <row r="99" customFormat="false" ht="15" hidden="false" customHeight="false" outlineLevel="0" collapsed="false">
      <c r="A99" s="2" t="n">
        <v>92</v>
      </c>
      <c r="B99" s="18" t="n">
        <f aca="false">SUMPRODUCT('GloVe vectores'!$B$4:$B$140,'GloVe vectores'!CQ4:CQ140)/$B$4</f>
        <v>-0.143686102631579</v>
      </c>
      <c r="C99" s="18" t="n">
        <f aca="false">SUMPRODUCT('GloVe vectores'!$C$4:$C$140,'GloVe vectores'!CQ4:CQ140)/$B$5</f>
        <v>-0.008039125</v>
      </c>
      <c r="D99" s="18" t="n">
        <f aca="false">B99*C99</f>
        <v>0.00115511053981809</v>
      </c>
      <c r="E99" s="18" t="n">
        <f aca="false">B99^2</f>
        <v>0.0206456960894526</v>
      </c>
      <c r="F99" s="18" t="n">
        <f aca="false">C99^2</f>
        <v>6.4627530765625E-005</v>
      </c>
    </row>
    <row r="100" customFormat="false" ht="15" hidden="false" customHeight="false" outlineLevel="0" collapsed="false">
      <c r="A100" s="2" t="n">
        <v>93</v>
      </c>
      <c r="B100" s="18" t="n">
        <f aca="false">SUMPRODUCT('GloVe vectores'!$B$4:$B$140,'GloVe vectores'!CR4:CR140)/$B$4</f>
        <v>-0.0587891403508772</v>
      </c>
      <c r="C100" s="18" t="n">
        <f aca="false">SUMPRODUCT('GloVe vectores'!$C$4:$C$140,'GloVe vectores'!CR4:CR140)/$B$5</f>
        <v>-0.0869952771739131</v>
      </c>
      <c r="D100" s="18" t="n">
        <f aca="false">B100*C100</f>
        <v>0.00511437755964064</v>
      </c>
      <c r="E100" s="18" t="n">
        <f aca="false">B100^2</f>
        <v>0.00345616302319514</v>
      </c>
      <c r="F100" s="18" t="n">
        <f aca="false">C100^2</f>
        <v>0.00756817825056596</v>
      </c>
    </row>
    <row r="101" customFormat="false" ht="15" hidden="false" customHeight="false" outlineLevel="0" collapsed="false">
      <c r="A101" s="2" t="n">
        <v>94</v>
      </c>
      <c r="B101" s="18" t="n">
        <f aca="false">SUMPRODUCT('GloVe vectores'!$B$4:$B$140,'GloVe vectores'!CS4:CS140)/$B$4</f>
        <v>0.0707123473684211</v>
      </c>
      <c r="C101" s="18" t="n">
        <f aca="false">SUMPRODUCT('GloVe vectores'!$C$4:$C$140,'GloVe vectores'!CS4:CS140)/$B$5</f>
        <v>-0.00374103152173913</v>
      </c>
      <c r="D101" s="18" t="n">
        <f aca="false">B101*C101</f>
        <v>-0.00026453712048143</v>
      </c>
      <c r="E101" s="18" t="n">
        <f aca="false">B101^2</f>
        <v>0.00500023607035224</v>
      </c>
      <c r="F101" s="18" t="n">
        <f aca="false">C101^2</f>
        <v>1.39953168466458E-005</v>
      </c>
    </row>
    <row r="102" customFormat="false" ht="15" hidden="false" customHeight="false" outlineLevel="0" collapsed="false">
      <c r="A102" s="2" t="n">
        <v>95</v>
      </c>
      <c r="B102" s="18" t="n">
        <f aca="false">SUMPRODUCT('GloVe vectores'!$B$4:$B$140,'GloVe vectores'!CT4:CT140)/$B$4</f>
        <v>-0.0741429859649123</v>
      </c>
      <c r="C102" s="18" t="n">
        <f aca="false">SUMPRODUCT('GloVe vectores'!$C$4:$C$140,'GloVe vectores'!CT4:CT140)/$B$5</f>
        <v>0.0136848695652174</v>
      </c>
      <c r="D102" s="18" t="n">
        <f aca="false">B102*C102</f>
        <v>-0.00101463709210557</v>
      </c>
      <c r="E102" s="18" t="n">
        <f aca="false">B102^2</f>
        <v>0.00549718236779318</v>
      </c>
      <c r="F102" s="18" t="n">
        <f aca="false">C102^2</f>
        <v>0.000187275655017013</v>
      </c>
    </row>
    <row r="103" customFormat="false" ht="15" hidden="false" customHeight="false" outlineLevel="0" collapsed="false">
      <c r="A103" s="2" t="n">
        <v>96</v>
      </c>
      <c r="B103" s="18" t="n">
        <f aca="false">SUMPRODUCT('GloVe vectores'!$B$4:$B$140,'GloVe vectores'!CU4:CU140)/$B$4</f>
        <v>0.220309114035088</v>
      </c>
      <c r="C103" s="18" t="n">
        <f aca="false">SUMPRODUCT('GloVe vectores'!$C$4:$C$140,'GloVe vectores'!CU4:CU140)/$B$5</f>
        <v>0.0582398869565218</v>
      </c>
      <c r="D103" s="18" t="n">
        <f aca="false">B103*C103</f>
        <v>0.012830777896895</v>
      </c>
      <c r="E103" s="18" t="n">
        <f aca="false">B103^2</f>
        <v>0.0485361057269253</v>
      </c>
      <c r="F103" s="18" t="n">
        <f aca="false">C103^2</f>
        <v>0.00339188443270843</v>
      </c>
    </row>
    <row r="104" customFormat="false" ht="15" hidden="false" customHeight="false" outlineLevel="0" collapsed="false">
      <c r="A104" s="2" t="n">
        <v>97</v>
      </c>
      <c r="B104" s="18" t="n">
        <f aca="false">SUMPRODUCT('GloVe vectores'!$B$4:$B$140,'GloVe vectores'!CV4:CV140)/$B$4</f>
        <v>-0.108908963157895</v>
      </c>
      <c r="C104" s="18" t="n">
        <f aca="false">SUMPRODUCT('GloVe vectores'!$C$4:$C$140,'GloVe vectores'!CV4:CV140)/$B$5</f>
        <v>-0.194180795652174</v>
      </c>
      <c r="D104" s="18" t="n">
        <f aca="false">B104*C104</f>
        <v>0.0211480291196533</v>
      </c>
      <c r="E104" s="18" t="n">
        <f aca="false">B104^2</f>
        <v>0.0118611622561277</v>
      </c>
      <c r="F104" s="18" t="n">
        <f aca="false">C104^2</f>
        <v>0.0377061814001113</v>
      </c>
    </row>
    <row r="105" customFormat="false" ht="15" hidden="false" customHeight="false" outlineLevel="0" collapsed="false">
      <c r="A105" s="2" t="n">
        <v>98</v>
      </c>
      <c r="B105" s="18" t="n">
        <f aca="false">SUMPRODUCT('GloVe vectores'!$B$4:$B$140,'GloVe vectores'!CW4:CW140)/$B$4</f>
        <v>-0.451780640350877</v>
      </c>
      <c r="C105" s="18" t="n">
        <f aca="false">SUMPRODUCT('GloVe vectores'!$C$4:$C$140,'GloVe vectores'!CW4:CW140)/$B$5</f>
        <v>-0.495828902173913</v>
      </c>
      <c r="D105" s="18" t="n">
        <f aca="false">B105*C105</f>
        <v>0.224005898928603</v>
      </c>
      <c r="E105" s="18" t="n">
        <f aca="false">B105^2</f>
        <v>0.204105746995849</v>
      </c>
      <c r="F105" s="18" t="n">
        <f aca="false">C105^2</f>
        <v>0.245846300230988</v>
      </c>
    </row>
    <row r="106" customFormat="false" ht="15" hidden="false" customHeight="false" outlineLevel="0" collapsed="false">
      <c r="A106" s="2" t="n">
        <v>99</v>
      </c>
      <c r="B106" s="18" t="n">
        <f aca="false">SUMPRODUCT('GloVe vectores'!$B$4:$B$140,'GloVe vectores'!CX4:CX140)/$B$4</f>
        <v>0.413137692982456</v>
      </c>
      <c r="C106" s="18" t="n">
        <f aca="false">SUMPRODUCT('GloVe vectores'!$C$4:$C$140,'GloVe vectores'!CX4:CX140)/$B$5</f>
        <v>0.447564</v>
      </c>
      <c r="D106" s="18" t="n">
        <f aca="false">B106*C106</f>
        <v>0.184905558422</v>
      </c>
      <c r="E106" s="18" t="n">
        <f aca="false">B106^2</f>
        <v>0.170682753362866</v>
      </c>
      <c r="F106" s="18" t="n">
        <f aca="false">C106^2</f>
        <v>0.200313534096</v>
      </c>
    </row>
    <row r="107" customFormat="false" ht="15" hidden="false" customHeight="false" outlineLevel="0" collapsed="false">
      <c r="A107" s="2" t="n">
        <v>100</v>
      </c>
      <c r="B107" s="18" t="n">
        <f aca="false">SUMPRODUCT('GloVe vectores'!$B$4:$B$140,'GloVe vectores'!CY4:CY140)/$B$4</f>
        <v>0.252479859649123</v>
      </c>
      <c r="C107" s="18" t="n">
        <f aca="false">SUMPRODUCT('GloVe vectores'!$C$4:$C$140,'GloVe vectores'!CY4:CY140)/$B$5</f>
        <v>0.277821445652174</v>
      </c>
      <c r="D107" s="18" t="n">
        <f aca="false">B107*C107</f>
        <v>0.0701443196057773</v>
      </c>
      <c r="E107" s="18" t="n">
        <f aca="false">B107^2</f>
        <v>0.0637460795284407</v>
      </c>
      <c r="F107" s="18" t="n">
        <f aca="false">C107^2</f>
        <v>0.0771847556642638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8" min="8" style="0" width="30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9" t="s">
        <v>367</v>
      </c>
    </row>
    <row r="2" customFormat="false" ht="15" hidden="false" customHeight="false" outlineLevel="0" collapsed="false">
      <c r="A2" s="10" t="s">
        <v>368</v>
      </c>
    </row>
    <row r="3" customFormat="false" ht="15" hidden="false" customHeight="false" outlineLevel="0" collapsed="false">
      <c r="J3" s="3" t="s">
        <v>69</v>
      </c>
    </row>
    <row r="4" customFormat="false" ht="15" hidden="false" customHeight="false" outlineLevel="0" collapsed="false">
      <c r="H4" s="3" t="s">
        <v>369</v>
      </c>
      <c r="I4" s="18" t="n">
        <f aca="false">SUM(D8:D391)</f>
        <v>0.735490318889828</v>
      </c>
      <c r="J4" s="15" t="n">
        <v>0.7355</v>
      </c>
    </row>
    <row r="5" customFormat="false" ht="15" hidden="false" customHeight="false" outlineLevel="0" collapsed="false">
      <c r="H5" s="3" t="s">
        <v>221</v>
      </c>
      <c r="I5" s="18" t="n">
        <f aca="false">SQRT(SUM(E8:E391))</f>
        <v>1.00000000329945</v>
      </c>
    </row>
    <row r="6" customFormat="false" ht="15" hidden="false" customHeight="false" outlineLevel="0" collapsed="false">
      <c r="H6" s="3" t="s">
        <v>223</v>
      </c>
      <c r="I6" s="18" t="n">
        <f aca="false">SQRT(SUM(F8:F391))</f>
        <v>0.99999999559488</v>
      </c>
    </row>
    <row r="7" customFormat="false" ht="15" hidden="false" customHeight="false" outlineLevel="0" collapsed="false">
      <c r="A7" s="7" t="s">
        <v>370</v>
      </c>
      <c r="B7" s="7" t="s">
        <v>371</v>
      </c>
      <c r="C7" s="7" t="s">
        <v>372</v>
      </c>
      <c r="D7" s="7" t="s">
        <v>373</v>
      </c>
      <c r="E7" s="7" t="s">
        <v>374</v>
      </c>
      <c r="F7" s="7" t="s">
        <v>375</v>
      </c>
      <c r="H7" s="3" t="s">
        <v>365</v>
      </c>
      <c r="I7" s="14" t="n">
        <f aca="false">I4/(I5*I6)</f>
        <v>0.735490319703036</v>
      </c>
      <c r="J7" s="15" t="n">
        <v>0.7355</v>
      </c>
    </row>
    <row r="8" customFormat="false" ht="15" hidden="false" customHeight="false" outlineLevel="0" collapsed="false">
      <c r="A8" s="2" t="n">
        <v>1</v>
      </c>
      <c r="B8" s="21" t="n">
        <v>-0.07128632</v>
      </c>
      <c r="C8" s="21" t="n">
        <v>-0.09853928</v>
      </c>
      <c r="D8" s="22" t="n">
        <f aca="false">B8*C8</f>
        <v>0.0070245026466496</v>
      </c>
      <c r="E8" s="22" t="n">
        <f aca="false">B8^2</f>
        <v>0.0050817394191424</v>
      </c>
      <c r="F8" s="22" t="n">
        <f aca="false">C8^2</f>
        <v>0.0097099897029184</v>
      </c>
      <c r="H8" s="3" t="s">
        <v>225</v>
      </c>
      <c r="I8" s="19" t="n">
        <f aca="false">DEGREES(ACOS(I7))</f>
        <v>42.6513362703623</v>
      </c>
      <c r="J8" s="20" t="n">
        <v>42.65</v>
      </c>
    </row>
    <row r="9" customFormat="false" ht="15" hidden="false" customHeight="false" outlineLevel="0" collapsed="false">
      <c r="A9" s="2" t="n">
        <v>2</v>
      </c>
      <c r="B9" s="21" t="n">
        <v>0.01669559</v>
      </c>
      <c r="C9" s="21" t="n">
        <v>-0.00408267</v>
      </c>
      <c r="D9" s="22" t="n">
        <f aca="false">B9*C9</f>
        <v>-6.81625844253E-005</v>
      </c>
      <c r="E9" s="22" t="n">
        <f aca="false">B9^2</f>
        <v>0.0002787427254481</v>
      </c>
      <c r="F9" s="22" t="n">
        <f aca="false">C9^2</f>
        <v>1.66681943289E-005</v>
      </c>
      <c r="H9" s="3" t="s">
        <v>376</v>
      </c>
      <c r="I9" s="18" t="n">
        <f aca="false">SQRT(2-2*I7)</f>
        <v>0.72733717118949</v>
      </c>
      <c r="J9" s="15" t="n">
        <v>0.7273</v>
      </c>
    </row>
    <row r="10" customFormat="false" ht="15" hidden="false" customHeight="false" outlineLevel="0" collapsed="false">
      <c r="A10" s="2" t="n">
        <v>3</v>
      </c>
      <c r="B10" s="21" t="n">
        <v>0.00466786</v>
      </c>
      <c r="C10" s="21" t="n">
        <v>0.05794586</v>
      </c>
      <c r="D10" s="22" t="n">
        <f aca="false">B10*C10</f>
        <v>0.0002704831620596</v>
      </c>
      <c r="E10" s="22" t="n">
        <f aca="false">B10^2</f>
        <v>2.17889169796E-005</v>
      </c>
      <c r="F10" s="22" t="n">
        <f aca="false">C10^2</f>
        <v>0.0033577226911396</v>
      </c>
      <c r="H10" s="3" t="s">
        <v>377</v>
      </c>
      <c r="I10" s="22" t="n">
        <f aca="false">SUM(D8:D12)</f>
        <v>0.0068686453315317</v>
      </c>
      <c r="J10" s="21" t="n">
        <v>0.006869</v>
      </c>
    </row>
    <row r="11" customFormat="false" ht="15" hidden="false" customHeight="false" outlineLevel="0" collapsed="false">
      <c r="A11" s="2" t="n">
        <v>4</v>
      </c>
      <c r="B11" s="21" t="n">
        <v>0.01001874</v>
      </c>
      <c r="C11" s="21" t="n">
        <v>-0.02240014</v>
      </c>
      <c r="D11" s="22" t="n">
        <f aca="false">B11*C11</f>
        <v>-0.0002244211786236</v>
      </c>
      <c r="E11" s="22" t="n">
        <f aca="false">B11^2</f>
        <v>0.0001003751511876</v>
      </c>
      <c r="F11" s="22" t="n">
        <f aca="false">C11^2</f>
        <v>0.0005017662720196</v>
      </c>
    </row>
    <row r="12" customFormat="false" ht="15" hidden="false" customHeight="false" outlineLevel="0" collapsed="false">
      <c r="A12" s="2" t="n">
        <v>5</v>
      </c>
      <c r="B12" s="21" t="n">
        <v>-0.03830573</v>
      </c>
      <c r="C12" s="21" t="n">
        <v>0.00349182</v>
      </c>
      <c r="D12" s="22" t="n">
        <f aca="false">B12*C12</f>
        <v>-0.0001337567141286</v>
      </c>
      <c r="E12" s="22" t="n">
        <f aca="false">B12^2</f>
        <v>0.0014673289508329</v>
      </c>
      <c r="F12" s="22" t="n">
        <f aca="false">C12^2</f>
        <v>1.21928069124E-005</v>
      </c>
    </row>
    <row r="13" customFormat="false" ht="15" hidden="false" customHeight="false" outlineLevel="0" collapsed="false">
      <c r="A13" s="2" t="n">
        <v>6</v>
      </c>
      <c r="B13" s="21" t="n">
        <v>-0.00946811</v>
      </c>
      <c r="C13" s="21" t="n">
        <v>-0.01151092</v>
      </c>
      <c r="D13" s="22" t="n">
        <f aca="false">B13*C13</f>
        <v>0.0001089866567612</v>
      </c>
      <c r="E13" s="22" t="n">
        <f aca="false">B13^2</f>
        <v>8.96451069721E-005</v>
      </c>
      <c r="F13" s="22" t="n">
        <f aca="false">C13^2</f>
        <v>0.0001325012792464</v>
      </c>
    </row>
    <row r="14" customFormat="false" ht="15" hidden="false" customHeight="false" outlineLevel="0" collapsed="false">
      <c r="A14" s="2" t="n">
        <v>7</v>
      </c>
      <c r="B14" s="21" t="n">
        <v>-0.04549144</v>
      </c>
      <c r="C14" s="21" t="n">
        <v>-0.02349803</v>
      </c>
      <c r="D14" s="22" t="n">
        <f aca="false">B14*C14</f>
        <v>0.0010689592218632</v>
      </c>
      <c r="E14" s="22" t="n">
        <f aca="false">B14^2</f>
        <v>0.0020694711132736</v>
      </c>
      <c r="F14" s="22" t="n">
        <f aca="false">C14^2</f>
        <v>0.0005521574138809</v>
      </c>
    </row>
    <row r="15" customFormat="false" ht="15" hidden="false" customHeight="false" outlineLevel="0" collapsed="false">
      <c r="A15" s="2" t="n">
        <v>8</v>
      </c>
      <c r="B15" s="21" t="n">
        <v>-0.00086507</v>
      </c>
      <c r="C15" s="21" t="n">
        <v>-0.03671941</v>
      </c>
      <c r="D15" s="22" t="n">
        <f aca="false">B15*C15</f>
        <v>3.17648600087E-005</v>
      </c>
      <c r="E15" s="22" t="n">
        <f aca="false">B15^2</f>
        <v>7.483461049E-007</v>
      </c>
      <c r="F15" s="22" t="n">
        <f aca="false">C15^2</f>
        <v>0.0013483150707481</v>
      </c>
    </row>
    <row r="16" customFormat="false" ht="15" hidden="false" customHeight="false" outlineLevel="0" collapsed="false">
      <c r="A16" s="2" t="n">
        <v>9</v>
      </c>
      <c r="B16" s="21" t="n">
        <v>-0.00910399</v>
      </c>
      <c r="C16" s="21" t="n">
        <v>0.03153066</v>
      </c>
      <c r="D16" s="22" t="n">
        <f aca="false">B16*C16</f>
        <v>-0.0002870548133334</v>
      </c>
      <c r="E16" s="22" t="n">
        <f aca="false">B16^2</f>
        <v>8.28826339201E-005</v>
      </c>
      <c r="F16" s="22" t="n">
        <f aca="false">C16^2</f>
        <v>0.0009941825200356</v>
      </c>
    </row>
    <row r="17" customFormat="false" ht="15" hidden="false" customHeight="false" outlineLevel="0" collapsed="false">
      <c r="A17" s="2" t="n">
        <v>10</v>
      </c>
      <c r="B17" s="21" t="n">
        <v>0.08905378</v>
      </c>
      <c r="C17" s="21" t="n">
        <v>0.06102073</v>
      </c>
      <c r="D17" s="22" t="n">
        <f aca="false">B17*C17</f>
        <v>0.0054341266648594</v>
      </c>
      <c r="E17" s="22" t="n">
        <f aca="false">B17^2</f>
        <v>0.0079305757322884</v>
      </c>
      <c r="F17" s="22" t="n">
        <f aca="false">C17^2</f>
        <v>0.0037235294897329</v>
      </c>
    </row>
    <row r="18" customFormat="false" ht="15" hidden="false" customHeight="false" outlineLevel="0" collapsed="false">
      <c r="A18" s="2" t="n">
        <v>11</v>
      </c>
      <c r="B18" s="21" t="n">
        <v>-0.02157652</v>
      </c>
      <c r="C18" s="21" t="n">
        <v>-0.03630999</v>
      </c>
      <c r="D18" s="22" t="n">
        <f aca="false">B18*C18</f>
        <v>0.0007834432254348</v>
      </c>
      <c r="E18" s="22" t="n">
        <f aca="false">B18^2</f>
        <v>0.0004655462153104</v>
      </c>
      <c r="F18" s="22" t="n">
        <f aca="false">C18^2</f>
        <v>0.0013184153738001</v>
      </c>
    </row>
    <row r="19" customFormat="false" ht="15" hidden="false" customHeight="false" outlineLevel="0" collapsed="false">
      <c r="A19" s="2" t="n">
        <v>12</v>
      </c>
      <c r="B19" s="21" t="n">
        <v>-0.01960386</v>
      </c>
      <c r="C19" s="21" t="n">
        <v>-0.02865688</v>
      </c>
      <c r="D19" s="22" t="n">
        <f aca="false">B19*C19</f>
        <v>0.0005617854635568</v>
      </c>
      <c r="E19" s="22" t="n">
        <f aca="false">B19^2</f>
        <v>0.0003843113268996</v>
      </c>
      <c r="F19" s="22" t="n">
        <f aca="false">C19^2</f>
        <v>0.0008212167713344</v>
      </c>
    </row>
    <row r="20" customFormat="false" ht="15" hidden="false" customHeight="false" outlineLevel="0" collapsed="false">
      <c r="A20" s="2" t="n">
        <v>13</v>
      </c>
      <c r="B20" s="21" t="n">
        <v>0.00043594</v>
      </c>
      <c r="C20" s="21" t="n">
        <v>-0.00796438</v>
      </c>
      <c r="D20" s="22" t="n">
        <f aca="false">B20*C20</f>
        <v>-3.4719918172E-006</v>
      </c>
      <c r="E20" s="22" t="n">
        <f aca="false">B20^2</f>
        <v>1.900436836E-007</v>
      </c>
      <c r="F20" s="22" t="n">
        <f aca="false">C20^2</f>
        <v>6.34313487844E-005</v>
      </c>
    </row>
    <row r="21" customFormat="false" ht="15" hidden="false" customHeight="false" outlineLevel="0" collapsed="false">
      <c r="A21" s="2" t="n">
        <v>14</v>
      </c>
      <c r="B21" s="21" t="n">
        <v>0.03861721</v>
      </c>
      <c r="C21" s="21" t="n">
        <v>-0.02074702</v>
      </c>
      <c r="D21" s="22" t="n">
        <f aca="false">B21*C21</f>
        <v>-0.0008011920282142</v>
      </c>
      <c r="E21" s="22" t="n">
        <f aca="false">B21^2</f>
        <v>0.0014912889081841</v>
      </c>
      <c r="F21" s="22" t="n">
        <f aca="false">C21^2</f>
        <v>0.0004304388388804</v>
      </c>
    </row>
    <row r="22" customFormat="false" ht="15" hidden="false" customHeight="false" outlineLevel="0" collapsed="false">
      <c r="A22" s="2" t="n">
        <v>15</v>
      </c>
      <c r="B22" s="21" t="n">
        <v>-0.0398042</v>
      </c>
      <c r="C22" s="21" t="n">
        <v>-0.02662814</v>
      </c>
      <c r="D22" s="22" t="n">
        <f aca="false">B22*C22</f>
        <v>0.001059911810188</v>
      </c>
      <c r="E22" s="22" t="n">
        <f aca="false">B22^2</f>
        <v>0.00158437433764</v>
      </c>
      <c r="F22" s="22" t="n">
        <f aca="false">C22^2</f>
        <v>0.0007090578398596</v>
      </c>
    </row>
    <row r="23" customFormat="false" ht="15" hidden="false" customHeight="false" outlineLevel="0" collapsed="false">
      <c r="A23" s="2" t="n">
        <v>16</v>
      </c>
      <c r="B23" s="21" t="n">
        <v>0.05902483</v>
      </c>
      <c r="C23" s="21" t="n">
        <v>0.01155723</v>
      </c>
      <c r="D23" s="22" t="n">
        <f aca="false">B23*C23</f>
        <v>0.0006821635360209</v>
      </c>
      <c r="E23" s="22" t="n">
        <f aca="false">B23^2</f>
        <v>0.0034839305565289</v>
      </c>
      <c r="F23" s="22" t="n">
        <f aca="false">C23^2</f>
        <v>0.0001335695652729</v>
      </c>
    </row>
    <row r="24" customFormat="false" ht="15" hidden="false" customHeight="false" outlineLevel="0" collapsed="false">
      <c r="A24" s="2" t="n">
        <v>17</v>
      </c>
      <c r="B24" s="21" t="n">
        <v>-0.05206418</v>
      </c>
      <c r="C24" s="21" t="n">
        <v>0.02110178</v>
      </c>
      <c r="D24" s="22" t="n">
        <f aca="false">B24*C24</f>
        <v>-0.0010986468722404</v>
      </c>
      <c r="E24" s="22" t="n">
        <f aca="false">B24^2</f>
        <v>0.0027106788390724</v>
      </c>
      <c r="F24" s="22" t="n">
        <f aca="false">C24^2</f>
        <v>0.0004452851191684</v>
      </c>
    </row>
    <row r="25" customFormat="false" ht="15" hidden="false" customHeight="false" outlineLevel="0" collapsed="false">
      <c r="A25" s="2" t="n">
        <v>18</v>
      </c>
      <c r="B25" s="21" t="n">
        <v>0.02527229</v>
      </c>
      <c r="C25" s="21" t="n">
        <v>0.03790391</v>
      </c>
      <c r="D25" s="22" t="n">
        <f aca="false">B25*C25</f>
        <v>0.0009579186056539</v>
      </c>
      <c r="E25" s="22" t="n">
        <f aca="false">B25^2</f>
        <v>0.0006386886418441</v>
      </c>
      <c r="F25" s="22" t="n">
        <f aca="false">C25^2</f>
        <v>0.0014367063932881</v>
      </c>
    </row>
    <row r="26" customFormat="false" ht="15" hidden="false" customHeight="false" outlineLevel="0" collapsed="false">
      <c r="A26" s="2" t="n">
        <v>19</v>
      </c>
      <c r="B26" s="21" t="n">
        <v>-0.04770115</v>
      </c>
      <c r="C26" s="21" t="n">
        <v>0.02753653</v>
      </c>
      <c r="D26" s="22" t="n">
        <f aca="false">B26*C26</f>
        <v>-0.0013135241480095</v>
      </c>
      <c r="E26" s="22" t="n">
        <f aca="false">B26^2</f>
        <v>0.0022753997113225</v>
      </c>
      <c r="F26" s="22" t="n">
        <f aca="false">C26^2</f>
        <v>0.0007582604844409</v>
      </c>
    </row>
    <row r="27" customFormat="false" ht="15" hidden="false" customHeight="false" outlineLevel="0" collapsed="false">
      <c r="A27" s="2" t="n">
        <v>20</v>
      </c>
      <c r="B27" s="21" t="n">
        <v>-0.05077745</v>
      </c>
      <c r="C27" s="21" t="n">
        <v>-0.05743933</v>
      </c>
      <c r="D27" s="22" t="n">
        <f aca="false">B27*C27</f>
        <v>0.0029166227071085</v>
      </c>
      <c r="E27" s="22" t="n">
        <f aca="false">B27^2</f>
        <v>0.0025783494285025</v>
      </c>
      <c r="F27" s="22" t="n">
        <f aca="false">C27^2</f>
        <v>0.0032992766308489</v>
      </c>
    </row>
    <row r="28" customFormat="false" ht="15" hidden="false" customHeight="false" outlineLevel="0" collapsed="false">
      <c r="A28" s="2" t="n">
        <v>21</v>
      </c>
      <c r="B28" s="21" t="n">
        <v>0.05555422</v>
      </c>
      <c r="C28" s="21" t="n">
        <v>0.06150626</v>
      </c>
      <c r="D28" s="22" t="n">
        <f aca="false">B28*C28</f>
        <v>0.0034169322994172</v>
      </c>
      <c r="E28" s="22" t="n">
        <f aca="false">B28^2</f>
        <v>0.0030862713598084</v>
      </c>
      <c r="F28" s="22" t="n">
        <f aca="false">C28^2</f>
        <v>0.0037830200191876</v>
      </c>
    </row>
    <row r="29" customFormat="false" ht="15" hidden="false" customHeight="false" outlineLevel="0" collapsed="false">
      <c r="A29" s="2" t="n">
        <v>22</v>
      </c>
      <c r="B29" s="21" t="n">
        <v>0.06205239</v>
      </c>
      <c r="C29" s="21" t="n">
        <v>0.08371561</v>
      </c>
      <c r="D29" s="22" t="n">
        <f aca="false">B29*C29</f>
        <v>0.0051947536808079</v>
      </c>
      <c r="E29" s="22" t="n">
        <f aca="false">B29^2</f>
        <v>0.0038504991047121</v>
      </c>
      <c r="F29" s="22" t="n">
        <f aca="false">C29^2</f>
        <v>0.0070083033576721</v>
      </c>
    </row>
    <row r="30" customFormat="false" ht="15" hidden="false" customHeight="false" outlineLevel="0" collapsed="false">
      <c r="A30" s="2" t="n">
        <v>23</v>
      </c>
      <c r="B30" s="21" t="n">
        <v>0.04065116</v>
      </c>
      <c r="C30" s="21" t="n">
        <v>0.05323014</v>
      </c>
      <c r="D30" s="22" t="n">
        <f aca="false">B30*C30</f>
        <v>0.0021638669379624</v>
      </c>
      <c r="E30" s="22" t="n">
        <f aca="false">B30^2</f>
        <v>0.0016525168093456</v>
      </c>
      <c r="F30" s="22" t="n">
        <f aca="false">C30^2</f>
        <v>0.0028334478044196</v>
      </c>
    </row>
    <row r="31" customFormat="false" ht="15" hidden="false" customHeight="false" outlineLevel="0" collapsed="false">
      <c r="A31" s="2" t="n">
        <v>24</v>
      </c>
      <c r="B31" s="21" t="n">
        <v>0.01917129</v>
      </c>
      <c r="C31" s="21" t="n">
        <v>-0.01755708</v>
      </c>
      <c r="D31" s="22" t="n">
        <f aca="false">B31*C31</f>
        <v>-0.0003365918722332</v>
      </c>
      <c r="E31" s="22" t="n">
        <f aca="false">B31^2</f>
        <v>0.0003675383602641</v>
      </c>
      <c r="F31" s="22" t="n">
        <f aca="false">C31^2</f>
        <v>0.0003082510581264</v>
      </c>
    </row>
    <row r="32" customFormat="false" ht="15" hidden="false" customHeight="false" outlineLevel="0" collapsed="false">
      <c r="A32" s="2" t="n">
        <v>25</v>
      </c>
      <c r="B32" s="21" t="n">
        <v>-0.01471724</v>
      </c>
      <c r="C32" s="21" t="n">
        <v>0.04276639</v>
      </c>
      <c r="D32" s="22" t="n">
        <f aca="false">B32*C32</f>
        <v>-0.0006294032255636</v>
      </c>
      <c r="E32" s="22" t="n">
        <f aca="false">B32^2</f>
        <v>0.0002165971532176</v>
      </c>
      <c r="F32" s="22" t="n">
        <f aca="false">C32^2</f>
        <v>0.0018289641136321</v>
      </c>
    </row>
    <row r="33" customFormat="false" ht="15" hidden="false" customHeight="false" outlineLevel="0" collapsed="false">
      <c r="A33" s="2" t="n">
        <v>26</v>
      </c>
      <c r="B33" s="21" t="n">
        <v>0.01936401</v>
      </c>
      <c r="C33" s="21" t="n">
        <v>0.04635131</v>
      </c>
      <c r="D33" s="22" t="n">
        <f aca="false">B33*C33</f>
        <v>0.0008975472303531</v>
      </c>
      <c r="E33" s="22" t="n">
        <f aca="false">B33^2</f>
        <v>0.0003749648832801</v>
      </c>
      <c r="F33" s="22" t="n">
        <f aca="false">C33^2</f>
        <v>0.0021484439387161</v>
      </c>
    </row>
    <row r="34" customFormat="false" ht="15" hidden="false" customHeight="false" outlineLevel="0" collapsed="false">
      <c r="A34" s="2" t="n">
        <v>27</v>
      </c>
      <c r="B34" s="21" t="n">
        <v>-0.03499764</v>
      </c>
      <c r="C34" s="21" t="n">
        <v>-0.03116827</v>
      </c>
      <c r="D34" s="22" t="n">
        <f aca="false">B34*C34</f>
        <v>0.0010908158928828</v>
      </c>
      <c r="E34" s="22" t="n">
        <f aca="false">B34^2</f>
        <v>0.0012248348055696</v>
      </c>
      <c r="F34" s="22" t="n">
        <f aca="false">C34^2</f>
        <v>0.0009714610547929</v>
      </c>
    </row>
    <row r="35" customFormat="false" ht="15" hidden="false" customHeight="false" outlineLevel="0" collapsed="false">
      <c r="A35" s="2" t="n">
        <v>28</v>
      </c>
      <c r="B35" s="21" t="n">
        <v>-0.14012424</v>
      </c>
      <c r="C35" s="21" t="n">
        <v>-0.08097496</v>
      </c>
      <c r="D35" s="22" t="n">
        <f aca="false">B35*C35</f>
        <v>0.0113465547290304</v>
      </c>
      <c r="E35" s="22" t="n">
        <f aca="false">B35^2</f>
        <v>0.0196348026355776</v>
      </c>
      <c r="F35" s="22" t="n">
        <f aca="false">C35^2</f>
        <v>0.0065569441470016</v>
      </c>
    </row>
    <row r="36" customFormat="false" ht="15" hidden="false" customHeight="false" outlineLevel="0" collapsed="false">
      <c r="A36" s="2" t="n">
        <v>29</v>
      </c>
      <c r="B36" s="21" t="n">
        <v>-0.01944024</v>
      </c>
      <c r="C36" s="21" t="n">
        <v>-0.02488485</v>
      </c>
      <c r="D36" s="22" t="n">
        <f aca="false">B36*C36</f>
        <v>0.000483767456364</v>
      </c>
      <c r="E36" s="22" t="n">
        <f aca="false">B36^2</f>
        <v>0.0003779229312576</v>
      </c>
      <c r="F36" s="22" t="n">
        <f aca="false">C36^2</f>
        <v>0.0006192557595225</v>
      </c>
    </row>
    <row r="37" customFormat="false" ht="15" hidden="false" customHeight="false" outlineLevel="0" collapsed="false">
      <c r="A37" s="2" t="n">
        <v>30</v>
      </c>
      <c r="B37" s="21" t="n">
        <v>-0.05403602</v>
      </c>
      <c r="C37" s="21" t="n">
        <v>-0.05200226</v>
      </c>
      <c r="D37" s="22" t="n">
        <f aca="false">B37*C37</f>
        <v>0.0028099951614052</v>
      </c>
      <c r="E37" s="22" t="n">
        <f aca="false">B37^2</f>
        <v>0.0029198914574404</v>
      </c>
      <c r="F37" s="22" t="n">
        <f aca="false">C37^2</f>
        <v>0.0027042350451076</v>
      </c>
    </row>
    <row r="38" customFormat="false" ht="15" hidden="false" customHeight="false" outlineLevel="0" collapsed="false">
      <c r="A38" s="2" t="n">
        <v>31</v>
      </c>
      <c r="B38" s="21" t="n">
        <v>0.01326821</v>
      </c>
      <c r="C38" s="21" t="n">
        <v>0.02347837</v>
      </c>
      <c r="D38" s="22" t="n">
        <f aca="false">B38*C38</f>
        <v>0.0003115159436177</v>
      </c>
      <c r="E38" s="22" t="n">
        <f aca="false">B38^2</f>
        <v>0.0001760453966041</v>
      </c>
      <c r="F38" s="22" t="n">
        <f aca="false">C38^2</f>
        <v>0.0005512338578569</v>
      </c>
    </row>
    <row r="39" customFormat="false" ht="15" hidden="false" customHeight="false" outlineLevel="0" collapsed="false">
      <c r="A39" s="2" t="n">
        <v>32</v>
      </c>
      <c r="B39" s="21" t="n">
        <v>0.0283335</v>
      </c>
      <c r="C39" s="21" t="n">
        <v>0.09862971</v>
      </c>
      <c r="D39" s="22" t="n">
        <f aca="false">B39*C39</f>
        <v>0.002794524888285</v>
      </c>
      <c r="E39" s="22" t="n">
        <f aca="false">B39^2</f>
        <v>0.00080278722225</v>
      </c>
      <c r="F39" s="22" t="n">
        <f aca="false">C39^2</f>
        <v>0.0097278196946841</v>
      </c>
    </row>
    <row r="40" customFormat="false" ht="15" hidden="false" customHeight="false" outlineLevel="0" collapsed="false">
      <c r="A40" s="2" t="n">
        <v>33</v>
      </c>
      <c r="B40" s="21" t="n">
        <v>-0.03504265</v>
      </c>
      <c r="C40" s="21" t="n">
        <v>0.00598862</v>
      </c>
      <c r="D40" s="22" t="n">
        <f aca="false">B40*C40</f>
        <v>-0.000209857114643</v>
      </c>
      <c r="E40" s="22" t="n">
        <f aca="false">B40^2</f>
        <v>0.0012279873190225</v>
      </c>
      <c r="F40" s="22" t="n">
        <f aca="false">C40^2</f>
        <v>3.58635695044E-005</v>
      </c>
    </row>
    <row r="41" customFormat="false" ht="15" hidden="false" customHeight="false" outlineLevel="0" collapsed="false">
      <c r="A41" s="2" t="n">
        <v>34</v>
      </c>
      <c r="B41" s="21" t="n">
        <v>0.06804519</v>
      </c>
      <c r="C41" s="21" t="n">
        <v>0.07882345</v>
      </c>
      <c r="D41" s="22" t="n">
        <f aca="false">B41*C41</f>
        <v>0.0053635566317055</v>
      </c>
      <c r="E41" s="22" t="n">
        <f aca="false">B41^2</f>
        <v>0.0046301478821361</v>
      </c>
      <c r="F41" s="22" t="n">
        <f aca="false">C41^2</f>
        <v>0.0062131362699025</v>
      </c>
    </row>
    <row r="42" customFormat="false" ht="15" hidden="false" customHeight="false" outlineLevel="0" collapsed="false">
      <c r="A42" s="2" t="n">
        <v>35</v>
      </c>
      <c r="B42" s="21" t="n">
        <v>-0.0250934</v>
      </c>
      <c r="C42" s="21" t="n">
        <v>-0.0337314</v>
      </c>
      <c r="D42" s="22" t="n">
        <f aca="false">B42*C42</f>
        <v>0.00084643551276</v>
      </c>
      <c r="E42" s="22" t="n">
        <f aca="false">B42^2</f>
        <v>0.00062967872356</v>
      </c>
      <c r="F42" s="22" t="n">
        <f aca="false">C42^2</f>
        <v>0.00113780734596</v>
      </c>
    </row>
    <row r="43" customFormat="false" ht="15" hidden="false" customHeight="false" outlineLevel="0" collapsed="false">
      <c r="A43" s="2" t="n">
        <v>36</v>
      </c>
      <c r="B43" s="21" t="n">
        <v>0.03566792</v>
      </c>
      <c r="C43" s="21" t="n">
        <v>0.04405235</v>
      </c>
      <c r="D43" s="22" t="n">
        <f aca="false">B43*C43</f>
        <v>0.001571255695612</v>
      </c>
      <c r="E43" s="22" t="n">
        <f aca="false">B43^2</f>
        <v>0.0012722005171264</v>
      </c>
      <c r="F43" s="22" t="n">
        <f aca="false">C43^2</f>
        <v>0.0019406095405225</v>
      </c>
    </row>
    <row r="44" customFormat="false" ht="15" hidden="false" customHeight="false" outlineLevel="0" collapsed="false">
      <c r="A44" s="2" t="n">
        <v>37</v>
      </c>
      <c r="B44" s="21" t="n">
        <v>0.04159159</v>
      </c>
      <c r="C44" s="21" t="n">
        <v>-0.03481751</v>
      </c>
      <c r="D44" s="22" t="n">
        <f aca="false">B44*C44</f>
        <v>-0.0014481156007409</v>
      </c>
      <c r="E44" s="22" t="n">
        <f aca="false">B44^2</f>
        <v>0.0017298603587281</v>
      </c>
      <c r="F44" s="22" t="n">
        <f aca="false">C44^2</f>
        <v>0.0012122590026001</v>
      </c>
    </row>
    <row r="45" customFormat="false" ht="15" hidden="false" customHeight="false" outlineLevel="0" collapsed="false">
      <c r="A45" s="2" t="n">
        <v>38</v>
      </c>
      <c r="B45" s="21" t="n">
        <v>0.03373988</v>
      </c>
      <c r="C45" s="21" t="n">
        <v>0.06473299</v>
      </c>
      <c r="D45" s="22" t="n">
        <f aca="false">B45*C45</f>
        <v>0.0021840833146412</v>
      </c>
      <c r="E45" s="22" t="n">
        <f aca="false">B45^2</f>
        <v>0.0011383795024144</v>
      </c>
      <c r="F45" s="22" t="n">
        <f aca="false">C45^2</f>
        <v>0.0041903599943401</v>
      </c>
    </row>
    <row r="46" customFormat="false" ht="15" hidden="false" customHeight="false" outlineLevel="0" collapsed="false">
      <c r="A46" s="2" t="n">
        <v>39</v>
      </c>
      <c r="B46" s="21" t="n">
        <v>0.05516021</v>
      </c>
      <c r="C46" s="21" t="n">
        <v>0.06039932</v>
      </c>
      <c r="D46" s="22" t="n">
        <f aca="false">B46*C46</f>
        <v>0.0033316391750572</v>
      </c>
      <c r="E46" s="22" t="n">
        <f aca="false">B46^2</f>
        <v>0.0030426487672441</v>
      </c>
      <c r="F46" s="22" t="n">
        <f aca="false">C46^2</f>
        <v>0.0036480778564624</v>
      </c>
    </row>
    <row r="47" customFormat="false" ht="15" hidden="false" customHeight="false" outlineLevel="0" collapsed="false">
      <c r="A47" s="2" t="n">
        <v>40</v>
      </c>
      <c r="B47" s="21" t="n">
        <v>-0.02177508</v>
      </c>
      <c r="C47" s="21" t="n">
        <v>-0.05191486</v>
      </c>
      <c r="D47" s="22" t="n">
        <f aca="false">B47*C47</f>
        <v>0.0011304502296888</v>
      </c>
      <c r="E47" s="22" t="n">
        <f aca="false">B47^2</f>
        <v>0.0004741541090064</v>
      </c>
      <c r="F47" s="22" t="n">
        <f aca="false">C47^2</f>
        <v>0.0026951526888196</v>
      </c>
    </row>
    <row r="48" customFormat="false" ht="15" hidden="false" customHeight="false" outlineLevel="0" collapsed="false">
      <c r="A48" s="2" t="n">
        <v>41</v>
      </c>
      <c r="B48" s="21" t="n">
        <v>0.00905884</v>
      </c>
      <c r="C48" s="21" t="n">
        <v>-0.03623603</v>
      </c>
      <c r="D48" s="22" t="n">
        <f aca="false">B48*C48</f>
        <v>-0.0003282563980052</v>
      </c>
      <c r="E48" s="22" t="n">
        <f aca="false">B48^2</f>
        <v>8.20625821456E-005</v>
      </c>
      <c r="F48" s="22" t="n">
        <f aca="false">C48^2</f>
        <v>0.0013130498701609</v>
      </c>
    </row>
    <row r="49" customFormat="false" ht="15" hidden="false" customHeight="false" outlineLevel="0" collapsed="false">
      <c r="A49" s="2" t="n">
        <v>42</v>
      </c>
      <c r="B49" s="21" t="n">
        <v>-0.05061059</v>
      </c>
      <c r="C49" s="21" t="n">
        <v>-0.06164296</v>
      </c>
      <c r="D49" s="22" t="n">
        <f aca="false">B49*C49</f>
        <v>0.0031197865749464</v>
      </c>
      <c r="E49" s="22" t="n">
        <f aca="false">B49^2</f>
        <v>0.0025614318201481</v>
      </c>
      <c r="F49" s="22" t="n">
        <f aca="false">C49^2</f>
        <v>0.0037998545175616</v>
      </c>
    </row>
    <row r="50" customFormat="false" ht="15" hidden="false" customHeight="false" outlineLevel="0" collapsed="false">
      <c r="A50" s="2" t="n">
        <v>43</v>
      </c>
      <c r="B50" s="21" t="n">
        <v>0.03445784</v>
      </c>
      <c r="C50" s="21" t="n">
        <v>0.0246132</v>
      </c>
      <c r="D50" s="22" t="n">
        <f aca="false">B50*C50</f>
        <v>0.000848117707488</v>
      </c>
      <c r="E50" s="22" t="n">
        <f aca="false">B50^2</f>
        <v>0.0011873427374656</v>
      </c>
      <c r="F50" s="22" t="n">
        <f aca="false">C50^2</f>
        <v>0.00060580961424</v>
      </c>
    </row>
    <row r="51" customFormat="false" ht="15" hidden="false" customHeight="false" outlineLevel="0" collapsed="false">
      <c r="A51" s="2" t="n">
        <v>44</v>
      </c>
      <c r="B51" s="21" t="n">
        <v>-0.0635248</v>
      </c>
      <c r="C51" s="21" t="n">
        <v>-0.05078062</v>
      </c>
      <c r="D51" s="22" t="n">
        <f aca="false">B51*C51</f>
        <v>0.003225828729376</v>
      </c>
      <c r="E51" s="22" t="n">
        <f aca="false">B51^2</f>
        <v>0.00403540021504</v>
      </c>
      <c r="F51" s="22" t="n">
        <f aca="false">C51^2</f>
        <v>0.0025786713675844</v>
      </c>
    </row>
    <row r="52" customFormat="false" ht="15" hidden="false" customHeight="false" outlineLevel="0" collapsed="false">
      <c r="A52" s="2" t="n">
        <v>45</v>
      </c>
      <c r="B52" s="21" t="n">
        <v>0.05767286</v>
      </c>
      <c r="C52" s="21" t="n">
        <v>0.0724598</v>
      </c>
      <c r="D52" s="22" t="n">
        <f aca="false">B52*C52</f>
        <v>0.004178963901028</v>
      </c>
      <c r="E52" s="22" t="n">
        <f aca="false">B52^2</f>
        <v>0.0033261587805796</v>
      </c>
      <c r="F52" s="22" t="n">
        <f aca="false">C52^2</f>
        <v>0.00525042261604</v>
      </c>
    </row>
    <row r="53" customFormat="false" ht="15" hidden="false" customHeight="false" outlineLevel="0" collapsed="false">
      <c r="A53" s="2" t="n">
        <v>46</v>
      </c>
      <c r="B53" s="21" t="n">
        <v>-0.00926343</v>
      </c>
      <c r="C53" s="21" t="n">
        <v>-0.10833954</v>
      </c>
      <c r="D53" s="22" t="n">
        <f aca="false">B53*C53</f>
        <v>0.0010035957450222</v>
      </c>
      <c r="E53" s="22" t="n">
        <f aca="false">B53^2</f>
        <v>8.58111353649E-005</v>
      </c>
      <c r="F53" s="22" t="n">
        <f aca="false">C53^2</f>
        <v>0.0117374559274116</v>
      </c>
    </row>
    <row r="54" customFormat="false" ht="15" hidden="false" customHeight="false" outlineLevel="0" collapsed="false">
      <c r="A54" s="2" t="n">
        <v>47</v>
      </c>
      <c r="B54" s="21" t="n">
        <v>-0.03415743</v>
      </c>
      <c r="C54" s="21" t="n">
        <v>-0.10097529</v>
      </c>
      <c r="D54" s="22" t="n">
        <f aca="false">B54*C54</f>
        <v>0.0034490563999047</v>
      </c>
      <c r="E54" s="22" t="n">
        <f aca="false">B54^2</f>
        <v>0.0011667300242049</v>
      </c>
      <c r="F54" s="22" t="n">
        <f aca="false">C54^2</f>
        <v>0.0101960091905841</v>
      </c>
    </row>
    <row r="55" customFormat="false" ht="15" hidden="false" customHeight="false" outlineLevel="0" collapsed="false">
      <c r="A55" s="2" t="n">
        <v>48</v>
      </c>
      <c r="B55" s="21" t="n">
        <v>-0.09995736</v>
      </c>
      <c r="C55" s="21" t="n">
        <v>-0.042314</v>
      </c>
      <c r="D55" s="22" t="n">
        <f aca="false">B55*C55</f>
        <v>0.00422959573104</v>
      </c>
      <c r="E55" s="22" t="n">
        <f aca="false">B55^2</f>
        <v>0.0099914738181696</v>
      </c>
      <c r="F55" s="22" t="n">
        <f aca="false">C55^2</f>
        <v>0.001790474596</v>
      </c>
    </row>
    <row r="56" customFormat="false" ht="15" hidden="false" customHeight="false" outlineLevel="0" collapsed="false">
      <c r="A56" s="2" t="n">
        <v>49</v>
      </c>
      <c r="B56" s="21" t="n">
        <v>-0.06009814</v>
      </c>
      <c r="C56" s="21" t="n">
        <v>-0.00661978</v>
      </c>
      <c r="D56" s="22" t="n">
        <f aca="false">B56*C56</f>
        <v>0.0003978364652092</v>
      </c>
      <c r="E56" s="22" t="n">
        <f aca="false">B56^2</f>
        <v>0.0036117864314596</v>
      </c>
      <c r="F56" s="22" t="n">
        <f aca="false">C56^2</f>
        <v>4.38214872484E-005</v>
      </c>
    </row>
    <row r="57" customFormat="false" ht="15" hidden="false" customHeight="false" outlineLevel="0" collapsed="false">
      <c r="A57" s="2" t="n">
        <v>50</v>
      </c>
      <c r="B57" s="21" t="n">
        <v>0.06145732</v>
      </c>
      <c r="C57" s="21" t="n">
        <v>0.04289831</v>
      </c>
      <c r="D57" s="22" t="n">
        <f aca="false">B57*C57</f>
        <v>0.0026364151651292</v>
      </c>
      <c r="E57" s="22" t="n">
        <f aca="false">B57^2</f>
        <v>0.0037770021815824</v>
      </c>
      <c r="F57" s="22" t="n">
        <f aca="false">C57^2</f>
        <v>0.0018402650008561</v>
      </c>
    </row>
    <row r="58" customFormat="false" ht="15" hidden="false" customHeight="false" outlineLevel="0" collapsed="false">
      <c r="A58" s="2" t="n">
        <v>51</v>
      </c>
      <c r="B58" s="21" t="n">
        <v>-0.07219474</v>
      </c>
      <c r="C58" s="21" t="n">
        <v>-0.11459114</v>
      </c>
      <c r="D58" s="22" t="n">
        <f aca="false">B58*C58</f>
        <v>0.0082728775586036</v>
      </c>
      <c r="E58" s="22" t="n">
        <f aca="false">B58^2</f>
        <v>0.0052120804836676</v>
      </c>
      <c r="F58" s="22" t="n">
        <f aca="false">C58^2</f>
        <v>0.0131311293664996</v>
      </c>
    </row>
    <row r="59" customFormat="false" ht="15" hidden="false" customHeight="false" outlineLevel="0" collapsed="false">
      <c r="A59" s="2" t="n">
        <v>52</v>
      </c>
      <c r="B59" s="21" t="n">
        <v>-0.04562156</v>
      </c>
      <c r="C59" s="21" t="n">
        <v>-0.06246421</v>
      </c>
      <c r="D59" s="22" t="n">
        <f aca="false">B59*C59</f>
        <v>0.0028497147043676</v>
      </c>
      <c r="E59" s="22" t="n">
        <f aca="false">B59^2</f>
        <v>0.0020813267368336</v>
      </c>
      <c r="F59" s="22" t="n">
        <f aca="false">C59^2</f>
        <v>0.0039017775309241</v>
      </c>
    </row>
    <row r="60" customFormat="false" ht="15" hidden="false" customHeight="false" outlineLevel="0" collapsed="false">
      <c r="A60" s="2" t="n">
        <v>53</v>
      </c>
      <c r="B60" s="21" t="n">
        <v>0.03866219</v>
      </c>
      <c r="C60" s="21" t="n">
        <v>0.04174025</v>
      </c>
      <c r="D60" s="22" t="n">
        <f aca="false">B60*C60</f>
        <v>0.0016137694761475</v>
      </c>
      <c r="E60" s="22" t="n">
        <f aca="false">B60^2</f>
        <v>0.0014947649355961</v>
      </c>
      <c r="F60" s="22" t="n">
        <f aca="false">C60^2</f>
        <v>0.0017422484700625</v>
      </c>
    </row>
    <row r="61" customFormat="false" ht="15" hidden="false" customHeight="false" outlineLevel="0" collapsed="false">
      <c r="A61" s="2" t="n">
        <v>54</v>
      </c>
      <c r="B61" s="21" t="n">
        <v>-0.02767623</v>
      </c>
      <c r="C61" s="21" t="n">
        <v>0.02348067</v>
      </c>
      <c r="D61" s="22" t="n">
        <f aca="false">B61*C61</f>
        <v>-0.0006498564234741</v>
      </c>
      <c r="E61" s="22" t="n">
        <f aca="false">B61^2</f>
        <v>0.0007659737070129</v>
      </c>
      <c r="F61" s="22" t="n">
        <f aca="false">C61^2</f>
        <v>0.0005513418636489</v>
      </c>
    </row>
    <row r="62" customFormat="false" ht="15" hidden="false" customHeight="false" outlineLevel="0" collapsed="false">
      <c r="A62" s="2" t="n">
        <v>55</v>
      </c>
      <c r="B62" s="21" t="n">
        <v>-0.09511188</v>
      </c>
      <c r="C62" s="21" t="n">
        <v>-0.04533522</v>
      </c>
      <c r="D62" s="22" t="n">
        <f aca="false">B62*C62</f>
        <v>0.0043119180044136</v>
      </c>
      <c r="E62" s="22" t="n">
        <f aca="false">B62^2</f>
        <v>0.0090462697171344</v>
      </c>
      <c r="F62" s="22" t="n">
        <f aca="false">C62^2</f>
        <v>0.0020552821724484</v>
      </c>
    </row>
    <row r="63" customFormat="false" ht="15" hidden="false" customHeight="false" outlineLevel="0" collapsed="false">
      <c r="A63" s="2" t="n">
        <v>56</v>
      </c>
      <c r="B63" s="21" t="n">
        <v>0.06674036</v>
      </c>
      <c r="C63" s="21" t="n">
        <v>0.01270891</v>
      </c>
      <c r="D63" s="22" t="n">
        <f aca="false">B63*C63</f>
        <v>0.0008481972286076</v>
      </c>
      <c r="E63" s="22" t="n">
        <f aca="false">B63^2</f>
        <v>0.0044542756529296</v>
      </c>
      <c r="F63" s="22" t="n">
        <f aca="false">C63^2</f>
        <v>0.0001615163933881</v>
      </c>
    </row>
    <row r="64" customFormat="false" ht="15" hidden="false" customHeight="false" outlineLevel="0" collapsed="false">
      <c r="A64" s="2" t="n">
        <v>57</v>
      </c>
      <c r="B64" s="21" t="n">
        <v>0.09777478</v>
      </c>
      <c r="C64" s="21" t="n">
        <v>0.05743619</v>
      </c>
      <c r="D64" s="22" t="n">
        <f aca="false">B64*C64</f>
        <v>0.0056158108412882</v>
      </c>
      <c r="E64" s="22" t="n">
        <f aca="false">B64^2</f>
        <v>0.0095599076040484</v>
      </c>
      <c r="F64" s="22" t="n">
        <f aca="false">C64^2</f>
        <v>0.0032989159217161</v>
      </c>
    </row>
    <row r="65" customFormat="false" ht="15" hidden="false" customHeight="false" outlineLevel="0" collapsed="false">
      <c r="A65" s="2" t="n">
        <v>58</v>
      </c>
      <c r="B65" s="21" t="n">
        <v>-0.00316363</v>
      </c>
      <c r="C65" s="21" t="n">
        <v>0.06945973</v>
      </c>
      <c r="D65" s="22" t="n">
        <f aca="false">B65*C65</f>
        <v>-0.0002197448856199</v>
      </c>
      <c r="E65" s="22" t="n">
        <f aca="false">B65^2</f>
        <v>1.00085547769E-005</v>
      </c>
      <c r="F65" s="22" t="n">
        <f aca="false">C65^2</f>
        <v>0.0048246540916729</v>
      </c>
    </row>
    <row r="66" customFormat="false" ht="15" hidden="false" customHeight="false" outlineLevel="0" collapsed="false">
      <c r="A66" s="2" t="n">
        <v>59</v>
      </c>
      <c r="B66" s="21" t="n">
        <v>0.05023574</v>
      </c>
      <c r="C66" s="21" t="n">
        <v>0.00046161</v>
      </c>
      <c r="D66" s="22" t="n">
        <f aca="false">B66*C66</f>
        <v>2.31893199414E-005</v>
      </c>
      <c r="E66" s="22" t="n">
        <f aca="false">B66^2</f>
        <v>0.0025236295733476</v>
      </c>
      <c r="F66" s="22" t="n">
        <f aca="false">C66^2</f>
        <v>2.130837921E-007</v>
      </c>
    </row>
    <row r="67" customFormat="false" ht="15" hidden="false" customHeight="false" outlineLevel="0" collapsed="false">
      <c r="A67" s="2" t="n">
        <v>60</v>
      </c>
      <c r="B67" s="21" t="n">
        <v>-0.02016999</v>
      </c>
      <c r="C67" s="21" t="n">
        <v>-0.03704308</v>
      </c>
      <c r="D67" s="22" t="n">
        <f aca="false">B67*C67</f>
        <v>0.0007471585531692</v>
      </c>
      <c r="E67" s="22" t="n">
        <f aca="false">B67^2</f>
        <v>0.0004068284966001</v>
      </c>
      <c r="F67" s="22" t="n">
        <f aca="false">C67^2</f>
        <v>0.0013721897758864</v>
      </c>
    </row>
    <row r="68" customFormat="false" ht="15" hidden="false" customHeight="false" outlineLevel="0" collapsed="false">
      <c r="A68" s="2" t="n">
        <v>61</v>
      </c>
      <c r="B68" s="21" t="n">
        <v>-0.10309555</v>
      </c>
      <c r="C68" s="21" t="n">
        <v>-0.11551185</v>
      </c>
      <c r="D68" s="22" t="n">
        <f aca="false">B68*C68</f>
        <v>0.0119087577072675</v>
      </c>
      <c r="E68" s="22" t="n">
        <f aca="false">B68^2</f>
        <v>0.0106286924298025</v>
      </c>
      <c r="F68" s="22" t="n">
        <f aca="false">C68^2</f>
        <v>0.0133429874904225</v>
      </c>
    </row>
    <row r="69" customFormat="false" ht="15" hidden="false" customHeight="false" outlineLevel="0" collapsed="false">
      <c r="A69" s="2" t="n">
        <v>62</v>
      </c>
      <c r="B69" s="21" t="n">
        <v>-0.03294666</v>
      </c>
      <c r="C69" s="21" t="n">
        <v>-0.01230554</v>
      </c>
      <c r="D69" s="22" t="n">
        <f aca="false">B69*C69</f>
        <v>0.0004054264424964</v>
      </c>
      <c r="E69" s="22" t="n">
        <f aca="false">B69^2</f>
        <v>0.0010854824051556</v>
      </c>
      <c r="F69" s="22" t="n">
        <f aca="false">C69^2</f>
        <v>0.0001514263146916</v>
      </c>
    </row>
    <row r="70" customFormat="false" ht="15" hidden="false" customHeight="false" outlineLevel="0" collapsed="false">
      <c r="A70" s="2" t="n">
        <v>63</v>
      </c>
      <c r="B70" s="21" t="n">
        <v>0.0550126</v>
      </c>
      <c r="C70" s="21" t="n">
        <v>0.01970705</v>
      </c>
      <c r="D70" s="22" t="n">
        <f aca="false">B70*C70</f>
        <v>0.00108413605883</v>
      </c>
      <c r="E70" s="22" t="n">
        <f aca="false">B70^2</f>
        <v>0.00302638615876</v>
      </c>
      <c r="F70" s="22" t="n">
        <f aca="false">C70^2</f>
        <v>0.0003883678197025</v>
      </c>
    </row>
    <row r="71" customFormat="false" ht="15" hidden="false" customHeight="false" outlineLevel="0" collapsed="false">
      <c r="A71" s="2" t="n">
        <v>64</v>
      </c>
      <c r="B71" s="21" t="n">
        <v>0.02893877</v>
      </c>
      <c r="C71" s="21" t="n">
        <v>-0.00565671</v>
      </c>
      <c r="D71" s="22" t="n">
        <f aca="false">B71*C71</f>
        <v>-0.0001636982296467</v>
      </c>
      <c r="E71" s="22" t="n">
        <f aca="false">B71^2</f>
        <v>0.0008374524091129</v>
      </c>
      <c r="F71" s="22" t="n">
        <f aca="false">C71^2</f>
        <v>3.19983680241E-005</v>
      </c>
    </row>
    <row r="72" customFormat="false" ht="15" hidden="false" customHeight="false" outlineLevel="0" collapsed="false">
      <c r="A72" s="2" t="n">
        <v>65</v>
      </c>
      <c r="B72" s="21" t="n">
        <v>-0.00775436</v>
      </c>
      <c r="C72" s="21" t="n">
        <v>0.02458865</v>
      </c>
      <c r="D72" s="22" t="n">
        <f aca="false">B72*C72</f>
        <v>-0.000190669244014</v>
      </c>
      <c r="E72" s="22" t="n">
        <f aca="false">B72^2</f>
        <v>6.01300990096E-005</v>
      </c>
      <c r="F72" s="22" t="n">
        <f aca="false">C72^2</f>
        <v>0.0006046017088225</v>
      </c>
    </row>
    <row r="73" customFormat="false" ht="15" hidden="false" customHeight="false" outlineLevel="0" collapsed="false">
      <c r="A73" s="2" t="n">
        <v>66</v>
      </c>
      <c r="B73" s="21" t="n">
        <v>0.00997066</v>
      </c>
      <c r="C73" s="21" t="n">
        <v>0.0245718</v>
      </c>
      <c r="D73" s="22" t="n">
        <f aca="false">B73*C73</f>
        <v>0.000244997063388</v>
      </c>
      <c r="E73" s="22" t="n">
        <f aca="false">B73^2</f>
        <v>9.94140608356E-005</v>
      </c>
      <c r="F73" s="22" t="n">
        <f aca="false">C73^2</f>
        <v>0.00060377335524</v>
      </c>
    </row>
    <row r="74" customFormat="false" ht="15" hidden="false" customHeight="false" outlineLevel="0" collapsed="false">
      <c r="A74" s="2" t="n">
        <v>67</v>
      </c>
      <c r="B74" s="21" t="n">
        <v>-0.09124422</v>
      </c>
      <c r="C74" s="21" t="n">
        <v>-0.07807117</v>
      </c>
      <c r="D74" s="22" t="n">
        <f aca="false">B74*C74</f>
        <v>0.0071235430111374</v>
      </c>
      <c r="E74" s="22" t="n">
        <f aca="false">B74^2</f>
        <v>0.0083255076834084</v>
      </c>
      <c r="F74" s="22" t="n">
        <f aca="false">C74^2</f>
        <v>0.0060951075851689</v>
      </c>
    </row>
    <row r="75" customFormat="false" ht="15" hidden="false" customHeight="false" outlineLevel="0" collapsed="false">
      <c r="A75" s="2" t="n">
        <v>68</v>
      </c>
      <c r="B75" s="21" t="n">
        <v>0.05903</v>
      </c>
      <c r="C75" s="21" t="n">
        <v>0.06175766</v>
      </c>
      <c r="D75" s="22" t="n">
        <f aca="false">B75*C75</f>
        <v>0.0036455546698</v>
      </c>
      <c r="E75" s="22" t="n">
        <f aca="false">B75^2</f>
        <v>0.0034845409</v>
      </c>
      <c r="F75" s="22" t="n">
        <f aca="false">C75^2</f>
        <v>0.0038140085686756</v>
      </c>
    </row>
    <row r="76" customFormat="false" ht="15" hidden="false" customHeight="false" outlineLevel="0" collapsed="false">
      <c r="A76" s="2" t="n">
        <v>69</v>
      </c>
      <c r="B76" s="21" t="n">
        <v>-0.00741365</v>
      </c>
      <c r="C76" s="21" t="n">
        <v>-0.01231665</v>
      </c>
      <c r="D76" s="22" t="n">
        <f aca="false">B76*C76</f>
        <v>9.13113322725E-005</v>
      </c>
      <c r="E76" s="22" t="n">
        <f aca="false">B76^2</f>
        <v>5.49622063225E-005</v>
      </c>
      <c r="F76" s="22" t="n">
        <f aca="false">C76^2</f>
        <v>0.0001516998672225</v>
      </c>
    </row>
    <row r="77" customFormat="false" ht="15" hidden="false" customHeight="false" outlineLevel="0" collapsed="false">
      <c r="A77" s="2" t="n">
        <v>70</v>
      </c>
      <c r="B77" s="21" t="n">
        <v>-0.01104326</v>
      </c>
      <c r="C77" s="21" t="n">
        <v>0.05306592</v>
      </c>
      <c r="D77" s="22" t="n">
        <f aca="false">B77*C77</f>
        <v>-0.0005860207516992</v>
      </c>
      <c r="E77" s="22" t="n">
        <f aca="false">B77^2</f>
        <v>0.0001219535914276</v>
      </c>
      <c r="F77" s="22" t="n">
        <f aca="false">C77^2</f>
        <v>0.0028159918654464</v>
      </c>
    </row>
    <row r="78" customFormat="false" ht="15" hidden="false" customHeight="false" outlineLevel="0" collapsed="false">
      <c r="A78" s="2" t="n">
        <v>71</v>
      </c>
      <c r="B78" s="21" t="n">
        <v>-0.01124988</v>
      </c>
      <c r="C78" s="21" t="n">
        <v>0.05780579</v>
      </c>
      <c r="D78" s="22" t="n">
        <f aca="false">B78*C78</f>
        <v>-0.0006503082008052</v>
      </c>
      <c r="E78" s="22" t="n">
        <f aca="false">B78^2</f>
        <v>0.0001265598000144</v>
      </c>
      <c r="F78" s="22" t="n">
        <f aca="false">C78^2</f>
        <v>0.0033415093575241</v>
      </c>
    </row>
    <row r="79" customFormat="false" ht="15" hidden="false" customHeight="false" outlineLevel="0" collapsed="false">
      <c r="A79" s="2" t="n">
        <v>72</v>
      </c>
      <c r="B79" s="21" t="n">
        <v>0.07875794</v>
      </c>
      <c r="C79" s="21" t="n">
        <v>0.06982157</v>
      </c>
      <c r="D79" s="22" t="n">
        <f aca="false">B79*C79</f>
        <v>0.0054990030207658</v>
      </c>
      <c r="E79" s="22" t="n">
        <f aca="false">B79^2</f>
        <v>0.0062028131130436</v>
      </c>
      <c r="F79" s="22" t="n">
        <f aca="false">C79^2</f>
        <v>0.0048750516372649</v>
      </c>
    </row>
    <row r="80" customFormat="false" ht="15" hidden="false" customHeight="false" outlineLevel="0" collapsed="false">
      <c r="A80" s="2" t="n">
        <v>73</v>
      </c>
      <c r="B80" s="21" t="n">
        <v>0.06140228</v>
      </c>
      <c r="C80" s="21" t="n">
        <v>0.01355107</v>
      </c>
      <c r="D80" s="22" t="n">
        <f aca="false">B80*C80</f>
        <v>0.0008320665944396</v>
      </c>
      <c r="E80" s="22" t="n">
        <f aca="false">B80^2</f>
        <v>0.0037702399891984</v>
      </c>
      <c r="F80" s="22" t="n">
        <f aca="false">C80^2</f>
        <v>0.0001836314981449</v>
      </c>
    </row>
    <row r="81" customFormat="false" ht="15" hidden="false" customHeight="false" outlineLevel="0" collapsed="false">
      <c r="A81" s="2" t="n">
        <v>74</v>
      </c>
      <c r="B81" s="21" t="n">
        <v>0.0024178</v>
      </c>
      <c r="C81" s="21" t="n">
        <v>0.01213649</v>
      </c>
      <c r="D81" s="22" t="n">
        <f aca="false">B81*C81</f>
        <v>2.9343605522E-005</v>
      </c>
      <c r="E81" s="22" t="n">
        <f aca="false">B81^2</f>
        <v>5.84575684E-006</v>
      </c>
      <c r="F81" s="22" t="n">
        <f aca="false">C81^2</f>
        <v>0.0001472943895201</v>
      </c>
    </row>
    <row r="82" customFormat="false" ht="15" hidden="false" customHeight="false" outlineLevel="0" collapsed="false">
      <c r="A82" s="2" t="n">
        <v>75</v>
      </c>
      <c r="B82" s="21" t="n">
        <v>0.08762419</v>
      </c>
      <c r="C82" s="21" t="n">
        <v>0.10450454</v>
      </c>
      <c r="D82" s="22" t="n">
        <f aca="false">B82*C82</f>
        <v>0.0091571256688226</v>
      </c>
      <c r="E82" s="22" t="n">
        <f aca="false">B82^2</f>
        <v>0.0076779986731561</v>
      </c>
      <c r="F82" s="22" t="n">
        <f aca="false">C82^2</f>
        <v>0.0109211988806116</v>
      </c>
    </row>
    <row r="83" customFormat="false" ht="15" hidden="false" customHeight="false" outlineLevel="0" collapsed="false">
      <c r="A83" s="2" t="n">
        <v>76</v>
      </c>
      <c r="B83" s="21" t="n">
        <v>-0.02506131</v>
      </c>
      <c r="C83" s="21" t="n">
        <v>0.02892117</v>
      </c>
      <c r="D83" s="22" t="n">
        <f aca="false">B83*C83</f>
        <v>-0.0007248024069327</v>
      </c>
      <c r="E83" s="22" t="n">
        <f aca="false">B83^2</f>
        <v>0.0006280692589161</v>
      </c>
      <c r="F83" s="22" t="n">
        <f aca="false">C83^2</f>
        <v>0.0008364340741689</v>
      </c>
    </row>
    <row r="84" customFormat="false" ht="15" hidden="false" customHeight="false" outlineLevel="0" collapsed="false">
      <c r="A84" s="2" t="n">
        <v>77</v>
      </c>
      <c r="B84" s="21" t="n">
        <v>-0.03534357</v>
      </c>
      <c r="C84" s="21" t="n">
        <v>-0.0246705</v>
      </c>
      <c r="D84" s="22" t="n">
        <f aca="false">B84*C84</f>
        <v>0.000871943543685</v>
      </c>
      <c r="E84" s="22" t="n">
        <f aca="false">B84^2</f>
        <v>0.0012491679403449</v>
      </c>
      <c r="F84" s="22" t="n">
        <f aca="false">C84^2</f>
        <v>0.00060863357025</v>
      </c>
    </row>
    <row r="85" customFormat="false" ht="15" hidden="false" customHeight="false" outlineLevel="0" collapsed="false">
      <c r="A85" s="2" t="n">
        <v>78</v>
      </c>
      <c r="B85" s="21" t="n">
        <v>-0.02913326</v>
      </c>
      <c r="C85" s="21" t="n">
        <v>-0.03098438</v>
      </c>
      <c r="D85" s="22" t="n">
        <f aca="false">B85*C85</f>
        <v>0.0009026759984788</v>
      </c>
      <c r="E85" s="22" t="n">
        <f aca="false">B85^2</f>
        <v>0.0008487468382276</v>
      </c>
      <c r="F85" s="22" t="n">
        <f aca="false">C85^2</f>
        <v>0.0009600318039844</v>
      </c>
    </row>
    <row r="86" customFormat="false" ht="15" hidden="false" customHeight="false" outlineLevel="0" collapsed="false">
      <c r="A86" s="2" t="n">
        <v>79</v>
      </c>
      <c r="B86" s="21" t="n">
        <v>0.07120004</v>
      </c>
      <c r="C86" s="21" t="n">
        <v>0.04959634</v>
      </c>
      <c r="D86" s="22" t="n">
        <f aca="false">B86*C86</f>
        <v>0.0035312613918536</v>
      </c>
      <c r="E86" s="22" t="n">
        <f aca="false">B86^2</f>
        <v>0.0050694456960016</v>
      </c>
      <c r="F86" s="22" t="n">
        <f aca="false">C86^2</f>
        <v>0.0024597969413956</v>
      </c>
    </row>
    <row r="87" customFormat="false" ht="15" hidden="false" customHeight="false" outlineLevel="0" collapsed="false">
      <c r="A87" s="2" t="n">
        <v>80</v>
      </c>
      <c r="B87" s="21" t="n">
        <v>-0.02317463</v>
      </c>
      <c r="C87" s="21" t="n">
        <v>-0.078903</v>
      </c>
      <c r="D87" s="22" t="n">
        <f aca="false">B87*C87</f>
        <v>0.00182854783089</v>
      </c>
      <c r="E87" s="22" t="n">
        <f aca="false">B87^2</f>
        <v>0.0005370634756369</v>
      </c>
      <c r="F87" s="22" t="n">
        <f aca="false">C87^2</f>
        <v>0.006225683409</v>
      </c>
    </row>
    <row r="88" customFormat="false" ht="15" hidden="false" customHeight="false" outlineLevel="0" collapsed="false">
      <c r="A88" s="2" t="n">
        <v>81</v>
      </c>
      <c r="B88" s="21" t="n">
        <v>0.00660073</v>
      </c>
      <c r="C88" s="21" t="n">
        <v>-0.02187865</v>
      </c>
      <c r="D88" s="22" t="n">
        <f aca="false">B88*C88</f>
        <v>-0.0001444150614145</v>
      </c>
      <c r="E88" s="22" t="n">
        <f aca="false">B88^2</f>
        <v>4.35696365329E-005</v>
      </c>
      <c r="F88" s="22" t="n">
        <f aca="false">C88^2</f>
        <v>0.0004786753258225</v>
      </c>
    </row>
    <row r="89" customFormat="false" ht="15" hidden="false" customHeight="false" outlineLevel="0" collapsed="false">
      <c r="A89" s="2" t="n">
        <v>82</v>
      </c>
      <c r="B89" s="21" t="n">
        <v>0.04262847</v>
      </c>
      <c r="C89" s="21" t="n">
        <v>0.07728177</v>
      </c>
      <c r="D89" s="22" t="n">
        <f aca="false">B89*C89</f>
        <v>0.0032944036139919</v>
      </c>
      <c r="E89" s="22" t="n">
        <f aca="false">B89^2</f>
        <v>0.0018171864545409</v>
      </c>
      <c r="F89" s="22" t="n">
        <f aca="false">C89^2</f>
        <v>0.0059724719743329</v>
      </c>
    </row>
    <row r="90" customFormat="false" ht="15" hidden="false" customHeight="false" outlineLevel="0" collapsed="false">
      <c r="A90" s="2" t="n">
        <v>83</v>
      </c>
      <c r="B90" s="21" t="n">
        <v>0.03520032</v>
      </c>
      <c r="C90" s="21" t="n">
        <v>0.09620125</v>
      </c>
      <c r="D90" s="22" t="n">
        <f aca="false">B90*C90</f>
        <v>0.0033863147844</v>
      </c>
      <c r="E90" s="22" t="n">
        <f aca="false">B90^2</f>
        <v>0.0012390625281024</v>
      </c>
      <c r="F90" s="22" t="n">
        <f aca="false">C90^2</f>
        <v>0.0092546805015625</v>
      </c>
    </row>
    <row r="91" customFormat="false" ht="15" hidden="false" customHeight="false" outlineLevel="0" collapsed="false">
      <c r="A91" s="2" t="n">
        <v>84</v>
      </c>
      <c r="B91" s="21" t="n">
        <v>-0.00522266</v>
      </c>
      <c r="C91" s="21" t="n">
        <v>0.00129786</v>
      </c>
      <c r="D91" s="22" t="n">
        <f aca="false">B91*C91</f>
        <v>-6.7782815076E-006</v>
      </c>
      <c r="E91" s="22" t="n">
        <f aca="false">B91^2</f>
        <v>2.72761774756E-005</v>
      </c>
      <c r="F91" s="22" t="n">
        <f aca="false">C91^2</f>
        <v>1.6844405796E-006</v>
      </c>
    </row>
    <row r="92" customFormat="false" ht="15" hidden="false" customHeight="false" outlineLevel="0" collapsed="false">
      <c r="A92" s="2" t="n">
        <v>85</v>
      </c>
      <c r="B92" s="21" t="n">
        <v>0.06889993</v>
      </c>
      <c r="C92" s="21" t="n">
        <v>0.03077272</v>
      </c>
      <c r="D92" s="22" t="n">
        <f aca="false">B92*C92</f>
        <v>0.0021202382539096</v>
      </c>
      <c r="E92" s="22" t="n">
        <f aca="false">B92^2</f>
        <v>0.0047472003540049</v>
      </c>
      <c r="F92" s="22" t="n">
        <f aca="false">C92^2</f>
        <v>0.0009469602961984</v>
      </c>
    </row>
    <row r="93" customFormat="false" ht="15" hidden="false" customHeight="false" outlineLevel="0" collapsed="false">
      <c r="A93" s="2" t="n">
        <v>86</v>
      </c>
      <c r="B93" s="21" t="n">
        <v>-0.00486908</v>
      </c>
      <c r="C93" s="21" t="n">
        <v>-0.01988379</v>
      </c>
      <c r="D93" s="22" t="n">
        <f aca="false">B93*C93</f>
        <v>9.68157642132E-005</v>
      </c>
      <c r="E93" s="22" t="n">
        <f aca="false">B93^2</f>
        <v>2.37079400464E-005</v>
      </c>
      <c r="F93" s="22" t="n">
        <f aca="false">C93^2</f>
        <v>0.0003953651047641</v>
      </c>
    </row>
    <row r="94" customFormat="false" ht="15" hidden="false" customHeight="false" outlineLevel="0" collapsed="false">
      <c r="A94" s="2" t="n">
        <v>87</v>
      </c>
      <c r="B94" s="21" t="n">
        <v>0.03540168</v>
      </c>
      <c r="C94" s="21" t="n">
        <v>0.06347378</v>
      </c>
      <c r="D94" s="22" t="n">
        <f aca="false">B94*C94</f>
        <v>0.0022470784479504</v>
      </c>
      <c r="E94" s="22" t="n">
        <f aca="false">B94^2</f>
        <v>0.0012532789468224</v>
      </c>
      <c r="F94" s="22" t="n">
        <f aca="false">C94^2</f>
        <v>0.0040289207474884</v>
      </c>
    </row>
    <row r="95" customFormat="false" ht="15" hidden="false" customHeight="false" outlineLevel="0" collapsed="false">
      <c r="A95" s="2" t="n">
        <v>88</v>
      </c>
      <c r="B95" s="21" t="n">
        <v>-0.00467471</v>
      </c>
      <c r="C95" s="21" t="n">
        <v>-0.01353356</v>
      </c>
      <c r="D95" s="22" t="n">
        <f aca="false">B95*C95</f>
        <v>6.32654682676E-005</v>
      </c>
      <c r="E95" s="22" t="n">
        <f aca="false">B95^2</f>
        <v>2.18529135841E-005</v>
      </c>
      <c r="F95" s="22" t="n">
        <f aca="false">C95^2</f>
        <v>0.0001831572462736</v>
      </c>
    </row>
    <row r="96" customFormat="false" ht="15" hidden="false" customHeight="false" outlineLevel="0" collapsed="false">
      <c r="A96" s="2" t="n">
        <v>89</v>
      </c>
      <c r="B96" s="21" t="n">
        <v>0.01272761</v>
      </c>
      <c r="C96" s="21" t="n">
        <v>0.05330201</v>
      </c>
      <c r="D96" s="22" t="n">
        <f aca="false">B96*C96</f>
        <v>0.0006784071954961</v>
      </c>
      <c r="E96" s="22" t="n">
        <f aca="false">B96^2</f>
        <v>0.0001619920563121</v>
      </c>
      <c r="F96" s="22" t="n">
        <f aca="false">C96^2</f>
        <v>0.0028411042700401</v>
      </c>
    </row>
    <row r="97" customFormat="false" ht="15" hidden="false" customHeight="false" outlineLevel="0" collapsed="false">
      <c r="A97" s="2" t="n">
        <v>90</v>
      </c>
      <c r="B97" s="21" t="n">
        <v>0.0495054</v>
      </c>
      <c r="C97" s="21" t="n">
        <v>-0.00211485</v>
      </c>
      <c r="D97" s="22" t="n">
        <f aca="false">B97*C97</f>
        <v>-0.00010469649519</v>
      </c>
      <c r="E97" s="22" t="n">
        <f aca="false">B97^2</f>
        <v>0.00245078462916</v>
      </c>
      <c r="F97" s="22" t="n">
        <f aca="false">C97^2</f>
        <v>4.4725905225E-006</v>
      </c>
    </row>
    <row r="98" customFormat="false" ht="15" hidden="false" customHeight="false" outlineLevel="0" collapsed="false">
      <c r="A98" s="2" t="n">
        <v>91</v>
      </c>
      <c r="B98" s="21" t="n">
        <v>0.02694968</v>
      </c>
      <c r="C98" s="21" t="n">
        <v>-0.02585892</v>
      </c>
      <c r="D98" s="22" t="n">
        <f aca="false">B98*C98</f>
        <v>-0.0006968896191456</v>
      </c>
      <c r="E98" s="22" t="n">
        <f aca="false">B98^2</f>
        <v>0.0007262852521024</v>
      </c>
      <c r="F98" s="22" t="n">
        <f aca="false">C98^2</f>
        <v>0.0006686837435664</v>
      </c>
    </row>
    <row r="99" customFormat="false" ht="15" hidden="false" customHeight="false" outlineLevel="0" collapsed="false">
      <c r="A99" s="2" t="n">
        <v>92</v>
      </c>
      <c r="B99" s="21" t="n">
        <v>-0.0290381</v>
      </c>
      <c r="C99" s="21" t="n">
        <v>-0.06297147</v>
      </c>
      <c r="D99" s="22" t="n">
        <f aca="false">B99*C99</f>
        <v>0.001828571843007</v>
      </c>
      <c r="E99" s="22" t="n">
        <f aca="false">B99^2</f>
        <v>0.00084321125161</v>
      </c>
      <c r="F99" s="22" t="n">
        <f aca="false">C99^2</f>
        <v>0.0039654060339609</v>
      </c>
    </row>
    <row r="100" customFormat="false" ht="15" hidden="false" customHeight="false" outlineLevel="0" collapsed="false">
      <c r="A100" s="2" t="n">
        <v>93</v>
      </c>
      <c r="B100" s="21" t="n">
        <v>-0.02564683</v>
      </c>
      <c r="C100" s="21" t="n">
        <v>0.05471694</v>
      </c>
      <c r="D100" s="22" t="n">
        <f aca="false">B100*C100</f>
        <v>-0.0014033160583002</v>
      </c>
      <c r="E100" s="22" t="n">
        <f aca="false">B100^2</f>
        <v>0.0006577598890489</v>
      </c>
      <c r="F100" s="22" t="n">
        <f aca="false">C100^2</f>
        <v>0.0029939435229636</v>
      </c>
    </row>
    <row r="101" customFormat="false" ht="15" hidden="false" customHeight="false" outlineLevel="0" collapsed="false">
      <c r="A101" s="2" t="n">
        <v>94</v>
      </c>
      <c r="B101" s="21" t="n">
        <v>0.06947677</v>
      </c>
      <c r="C101" s="21" t="n">
        <v>0.08226309</v>
      </c>
      <c r="D101" s="22" t="n">
        <f aca="false">B101*C101</f>
        <v>0.0057153737834193</v>
      </c>
      <c r="E101" s="22" t="n">
        <f aca="false">B101^2</f>
        <v>0.0048270215696329</v>
      </c>
      <c r="F101" s="22" t="n">
        <f aca="false">C101^2</f>
        <v>0.0067672159763481</v>
      </c>
    </row>
    <row r="102" customFormat="false" ht="15" hidden="false" customHeight="false" outlineLevel="0" collapsed="false">
      <c r="A102" s="2" t="n">
        <v>95</v>
      </c>
      <c r="B102" s="21" t="n">
        <v>0.1096995</v>
      </c>
      <c r="C102" s="21" t="n">
        <v>0.12827627</v>
      </c>
      <c r="D102" s="22" t="n">
        <f aca="false">B102*C102</f>
        <v>0.014071842680865</v>
      </c>
      <c r="E102" s="22" t="n">
        <f aca="false">B102^2</f>
        <v>0.01203398030025</v>
      </c>
      <c r="F102" s="22" t="n">
        <f aca="false">C102^2</f>
        <v>0.0164548014451129</v>
      </c>
    </row>
    <row r="103" customFormat="false" ht="15" hidden="false" customHeight="false" outlineLevel="0" collapsed="false">
      <c r="A103" s="2" t="n">
        <v>96</v>
      </c>
      <c r="B103" s="21" t="n">
        <v>-0.00524978</v>
      </c>
      <c r="C103" s="21" t="n">
        <v>-0.02351777</v>
      </c>
      <c r="D103" s="22" t="n">
        <f aca="false">B103*C103</f>
        <v>0.0001234631185906</v>
      </c>
      <c r="E103" s="22" t="n">
        <f aca="false">B103^2</f>
        <v>2.75601900484E-005</v>
      </c>
      <c r="F103" s="22" t="n">
        <f aca="false">C103^2</f>
        <v>0.0005530855057729</v>
      </c>
    </row>
    <row r="104" customFormat="false" ht="15" hidden="false" customHeight="false" outlineLevel="0" collapsed="false">
      <c r="A104" s="2" t="n">
        <v>97</v>
      </c>
      <c r="B104" s="21" t="n">
        <v>0.01677169</v>
      </c>
      <c r="C104" s="21" t="n">
        <v>0.00853227</v>
      </c>
      <c r="D104" s="22" t="n">
        <f aca="false">B104*C104</f>
        <v>0.0001431005874363</v>
      </c>
      <c r="E104" s="22" t="n">
        <f aca="false">B104^2</f>
        <v>0.0002812895854561</v>
      </c>
      <c r="F104" s="22" t="n">
        <f aca="false">C104^2</f>
        <v>7.27996313529E-005</v>
      </c>
    </row>
    <row r="105" customFormat="false" ht="15" hidden="false" customHeight="false" outlineLevel="0" collapsed="false">
      <c r="A105" s="2" t="n">
        <v>98</v>
      </c>
      <c r="B105" s="21" t="n">
        <v>-0.1573823</v>
      </c>
      <c r="C105" s="21" t="n">
        <v>-0.09163245</v>
      </c>
      <c r="D105" s="22" t="n">
        <f aca="false">B105*C105</f>
        <v>0.014421325735635</v>
      </c>
      <c r="E105" s="22" t="n">
        <f aca="false">B105^2</f>
        <v>0.02476918835329</v>
      </c>
      <c r="F105" s="22" t="n">
        <f aca="false">C105^2</f>
        <v>0.0083965058930025</v>
      </c>
    </row>
    <row r="106" customFormat="false" ht="15" hidden="false" customHeight="false" outlineLevel="0" collapsed="false">
      <c r="A106" s="2" t="n">
        <v>99</v>
      </c>
      <c r="B106" s="21" t="n">
        <v>0.02502056</v>
      </c>
      <c r="C106" s="21" t="n">
        <v>-0.00347451</v>
      </c>
      <c r="D106" s="22" t="n">
        <f aca="false">B106*C106</f>
        <v>-8.69341859256E-005</v>
      </c>
      <c r="E106" s="22" t="n">
        <f aca="false">B106^2</f>
        <v>0.0006260284227136</v>
      </c>
      <c r="F106" s="22" t="n">
        <f aca="false">C106^2</f>
        <v>1.20722197401E-005</v>
      </c>
    </row>
    <row r="107" customFormat="false" ht="15" hidden="false" customHeight="false" outlineLevel="0" collapsed="false">
      <c r="A107" s="2" t="n">
        <v>100</v>
      </c>
      <c r="B107" s="21" t="n">
        <v>0.00059859</v>
      </c>
      <c r="C107" s="21" t="n">
        <v>0.02700488</v>
      </c>
      <c r="D107" s="22" t="n">
        <f aca="false">B107*C107</f>
        <v>1.61648511192E-005</v>
      </c>
      <c r="E107" s="22" t="n">
        <f aca="false">B107^2</f>
        <v>3.583099881E-007</v>
      </c>
      <c r="F107" s="22" t="n">
        <f aca="false">C107^2</f>
        <v>0.0007292635438144</v>
      </c>
    </row>
    <row r="108" customFormat="false" ht="15" hidden="false" customHeight="false" outlineLevel="0" collapsed="false">
      <c r="A108" s="2" t="n">
        <v>101</v>
      </c>
      <c r="B108" s="21" t="n">
        <v>-0.02391142</v>
      </c>
      <c r="C108" s="21" t="n">
        <v>-0.01613937</v>
      </c>
      <c r="D108" s="22" t="n">
        <f aca="false">B108*C108</f>
        <v>0.0003859152546054</v>
      </c>
      <c r="E108" s="22" t="n">
        <f aca="false">B108^2</f>
        <v>0.0005717560064164</v>
      </c>
      <c r="F108" s="22" t="n">
        <f aca="false">C108^2</f>
        <v>0.0002604792639969</v>
      </c>
    </row>
    <row r="109" customFormat="false" ht="15" hidden="false" customHeight="false" outlineLevel="0" collapsed="false">
      <c r="A109" s="2" t="n">
        <v>102</v>
      </c>
      <c r="B109" s="21" t="n">
        <v>0.10223209</v>
      </c>
      <c r="C109" s="21" t="n">
        <v>0.10419284</v>
      </c>
      <c r="D109" s="22" t="n">
        <f aca="false">B109*C109</f>
        <v>0.0106518517962356</v>
      </c>
      <c r="E109" s="22" t="n">
        <f aca="false">B109^2</f>
        <v>0.0104514002257681</v>
      </c>
      <c r="F109" s="22" t="n">
        <f aca="false">C109^2</f>
        <v>0.0108561479072656</v>
      </c>
    </row>
    <row r="110" customFormat="false" ht="15" hidden="false" customHeight="false" outlineLevel="0" collapsed="false">
      <c r="A110" s="2" t="n">
        <v>103</v>
      </c>
      <c r="B110" s="21" t="n">
        <v>-0.01707127</v>
      </c>
      <c r="C110" s="21" t="n">
        <v>-0.00787881</v>
      </c>
      <c r="D110" s="22" t="n">
        <f aca="false">B110*C110</f>
        <v>0.0001345012927887</v>
      </c>
      <c r="E110" s="22" t="n">
        <f aca="false">B110^2</f>
        <v>0.0002914282594129</v>
      </c>
      <c r="F110" s="22" t="n">
        <f aca="false">C110^2</f>
        <v>6.20756470161E-005</v>
      </c>
    </row>
    <row r="111" customFormat="false" ht="15" hidden="false" customHeight="false" outlineLevel="0" collapsed="false">
      <c r="A111" s="2" t="n">
        <v>104</v>
      </c>
      <c r="B111" s="21" t="n">
        <v>-0.08705591</v>
      </c>
      <c r="C111" s="21" t="n">
        <v>-0.10734725</v>
      </c>
      <c r="D111" s="22" t="n">
        <f aca="false">B111*C111</f>
        <v>0.0093452125347475</v>
      </c>
      <c r="E111" s="22" t="n">
        <f aca="false">B111^2</f>
        <v>0.0075787314659281</v>
      </c>
      <c r="F111" s="22" t="n">
        <f aca="false">C111^2</f>
        <v>0.0115234320825625</v>
      </c>
    </row>
    <row r="112" customFormat="false" ht="15" hidden="false" customHeight="false" outlineLevel="0" collapsed="false">
      <c r="A112" s="2" t="n">
        <v>105</v>
      </c>
      <c r="B112" s="21" t="n">
        <v>-0.06903814</v>
      </c>
      <c r="C112" s="21" t="n">
        <v>-0.05218152</v>
      </c>
      <c r="D112" s="22" t="n">
        <f aca="false">B112*C112</f>
        <v>0.0036025150831728</v>
      </c>
      <c r="E112" s="22" t="n">
        <f aca="false">B112^2</f>
        <v>0.0047662647746596</v>
      </c>
      <c r="F112" s="22" t="n">
        <f aca="false">C112^2</f>
        <v>0.0027229110295104</v>
      </c>
    </row>
    <row r="113" customFormat="false" ht="15" hidden="false" customHeight="false" outlineLevel="0" collapsed="false">
      <c r="A113" s="2" t="n">
        <v>106</v>
      </c>
      <c r="B113" s="21" t="n">
        <v>-0.03838347</v>
      </c>
      <c r="C113" s="21" t="n">
        <v>-0.05416793</v>
      </c>
      <c r="D113" s="22" t="n">
        <f aca="false">B113*C113</f>
        <v>0.0020791531161171</v>
      </c>
      <c r="E113" s="22" t="n">
        <f aca="false">B113^2</f>
        <v>0.0014732907692409</v>
      </c>
      <c r="F113" s="22" t="n">
        <f aca="false">C113^2</f>
        <v>0.0029341646404849</v>
      </c>
    </row>
    <row r="114" customFormat="false" ht="15" hidden="false" customHeight="false" outlineLevel="0" collapsed="false">
      <c r="A114" s="2" t="n">
        <v>107</v>
      </c>
      <c r="B114" s="21" t="n">
        <v>0.08292557</v>
      </c>
      <c r="C114" s="21" t="n">
        <v>0.08131738</v>
      </c>
      <c r="D114" s="22" t="n">
        <f aca="false">B114*C114</f>
        <v>0.0067432900874066</v>
      </c>
      <c r="E114" s="22" t="n">
        <f aca="false">B114^2</f>
        <v>0.0068766501598249</v>
      </c>
      <c r="F114" s="22" t="n">
        <f aca="false">C114^2</f>
        <v>0.0066125162900644</v>
      </c>
    </row>
    <row r="115" customFormat="false" ht="15" hidden="false" customHeight="false" outlineLevel="0" collapsed="false">
      <c r="A115" s="2" t="n">
        <v>108</v>
      </c>
      <c r="B115" s="21" t="n">
        <v>0.01296923</v>
      </c>
      <c r="C115" s="21" t="n">
        <v>-0.04062975</v>
      </c>
      <c r="D115" s="22" t="n">
        <f aca="false">B115*C115</f>
        <v>-0.0005269365725925</v>
      </c>
      <c r="E115" s="22" t="n">
        <f aca="false">B115^2</f>
        <v>0.0001682009267929</v>
      </c>
      <c r="F115" s="22" t="n">
        <f aca="false">C115^2</f>
        <v>0.0016507765850625</v>
      </c>
    </row>
    <row r="116" customFormat="false" ht="15" hidden="false" customHeight="false" outlineLevel="0" collapsed="false">
      <c r="A116" s="2" t="n">
        <v>109</v>
      </c>
      <c r="B116" s="21" t="n">
        <v>0.04318395</v>
      </c>
      <c r="C116" s="21" t="n">
        <v>0.04159812</v>
      </c>
      <c r="D116" s="22" t="n">
        <f aca="false">B116*C116</f>
        <v>0.001796371134174</v>
      </c>
      <c r="E116" s="22" t="n">
        <f aca="false">B116^2</f>
        <v>0.0018648535376025</v>
      </c>
      <c r="F116" s="22" t="n">
        <f aca="false">C116^2</f>
        <v>0.0017304035875344</v>
      </c>
    </row>
    <row r="117" customFormat="false" ht="15" hidden="false" customHeight="false" outlineLevel="0" collapsed="false">
      <c r="A117" s="2" t="n">
        <v>110</v>
      </c>
      <c r="B117" s="21" t="n">
        <v>0.00494641</v>
      </c>
      <c r="C117" s="21" t="n">
        <v>-0.03858033</v>
      </c>
      <c r="D117" s="22" t="n">
        <f aca="false">B117*C117</f>
        <v>-0.0001908341301153</v>
      </c>
      <c r="E117" s="22" t="n">
        <f aca="false">B117^2</f>
        <v>2.44669718881E-005</v>
      </c>
      <c r="F117" s="22" t="n">
        <f aca="false">C117^2</f>
        <v>0.0014884418629089</v>
      </c>
    </row>
    <row r="118" customFormat="false" ht="15" hidden="false" customHeight="false" outlineLevel="0" collapsed="false">
      <c r="A118" s="2" t="n">
        <v>111</v>
      </c>
      <c r="B118" s="21" t="n">
        <v>0.02453065</v>
      </c>
      <c r="C118" s="21" t="n">
        <v>0.01723119</v>
      </c>
      <c r="D118" s="22" t="n">
        <f aca="false">B118*C118</f>
        <v>0.0004226922909735</v>
      </c>
      <c r="E118" s="22" t="n">
        <f aca="false">B118^2</f>
        <v>0.0006017527894225</v>
      </c>
      <c r="F118" s="22" t="n">
        <f aca="false">C118^2</f>
        <v>0.0002969139088161</v>
      </c>
    </row>
    <row r="119" customFormat="false" ht="15" hidden="false" customHeight="false" outlineLevel="0" collapsed="false">
      <c r="A119" s="2" t="n">
        <v>112</v>
      </c>
      <c r="B119" s="21" t="n">
        <v>0.01702125</v>
      </c>
      <c r="C119" s="21" t="n">
        <v>0.03571321</v>
      </c>
      <c r="D119" s="22" t="n">
        <f aca="false">B119*C119</f>
        <v>0.0006078834757125</v>
      </c>
      <c r="E119" s="22" t="n">
        <f aca="false">B119^2</f>
        <v>0.0002897229515625</v>
      </c>
      <c r="F119" s="22" t="n">
        <f aca="false">C119^2</f>
        <v>0.0012754333685041</v>
      </c>
    </row>
    <row r="120" customFormat="false" ht="15" hidden="false" customHeight="false" outlineLevel="0" collapsed="false">
      <c r="A120" s="2" t="n">
        <v>113</v>
      </c>
      <c r="B120" s="21" t="n">
        <v>0.0510411</v>
      </c>
      <c r="C120" s="21" t="n">
        <v>0.04942291</v>
      </c>
      <c r="D120" s="22" t="n">
        <f aca="false">B120*C120</f>
        <v>0.002522599691601</v>
      </c>
      <c r="E120" s="22" t="n">
        <f aca="false">B120^2</f>
        <v>0.00260519388921</v>
      </c>
      <c r="F120" s="22" t="n">
        <f aca="false">C120^2</f>
        <v>0.0024426240328681</v>
      </c>
    </row>
    <row r="121" customFormat="false" ht="15" hidden="false" customHeight="false" outlineLevel="0" collapsed="false">
      <c r="A121" s="2" t="n">
        <v>114</v>
      </c>
      <c r="B121" s="21" t="n">
        <v>-0.03703631</v>
      </c>
      <c r="C121" s="21" t="n">
        <v>-0.03038093</v>
      </c>
      <c r="D121" s="22" t="n">
        <f aca="false">B121*C121</f>
        <v>0.0011251975415683</v>
      </c>
      <c r="E121" s="22" t="n">
        <f aca="false">B121^2</f>
        <v>0.0013716882584161</v>
      </c>
      <c r="F121" s="22" t="n">
        <f aca="false">C121^2</f>
        <v>0.0009230009076649</v>
      </c>
    </row>
    <row r="122" customFormat="false" ht="15" hidden="false" customHeight="false" outlineLevel="0" collapsed="false">
      <c r="A122" s="2" t="n">
        <v>115</v>
      </c>
      <c r="B122" s="21" t="n">
        <v>0.00023817</v>
      </c>
      <c r="C122" s="21" t="n">
        <v>0.03290413</v>
      </c>
      <c r="D122" s="22" t="n">
        <f aca="false">B122*C122</f>
        <v>7.8367766421E-006</v>
      </c>
      <c r="E122" s="22" t="n">
        <f aca="false">B122^2</f>
        <v>5.67249489E-008</v>
      </c>
      <c r="F122" s="22" t="n">
        <f aca="false">C122^2</f>
        <v>0.0010826817710569</v>
      </c>
    </row>
    <row r="123" customFormat="false" ht="15" hidden="false" customHeight="false" outlineLevel="0" collapsed="false">
      <c r="A123" s="2" t="n">
        <v>116</v>
      </c>
      <c r="B123" s="21" t="n">
        <v>0.01435664</v>
      </c>
      <c r="C123" s="21" t="n">
        <v>-0.03266731</v>
      </c>
      <c r="D123" s="22" t="n">
        <f aca="false">B123*C123</f>
        <v>-0.0004689928094384</v>
      </c>
      <c r="E123" s="22" t="n">
        <f aca="false">B123^2</f>
        <v>0.0002061131120896</v>
      </c>
      <c r="F123" s="22" t="n">
        <f aca="false">C123^2</f>
        <v>0.0010671531426361</v>
      </c>
    </row>
    <row r="124" customFormat="false" ht="15" hidden="false" customHeight="false" outlineLevel="0" collapsed="false">
      <c r="A124" s="2" t="n">
        <v>117</v>
      </c>
      <c r="B124" s="21" t="n">
        <v>0.05536324</v>
      </c>
      <c r="C124" s="21" t="n">
        <v>0.04654475</v>
      </c>
      <c r="D124" s="22" t="n">
        <f aca="false">B124*C124</f>
        <v>0.00257686816499</v>
      </c>
      <c r="E124" s="22" t="n">
        <f aca="false">B124^2</f>
        <v>0.0030650883432976</v>
      </c>
      <c r="F124" s="22" t="n">
        <f aca="false">C124^2</f>
        <v>0.0021664137525625</v>
      </c>
    </row>
    <row r="125" customFormat="false" ht="15" hidden="false" customHeight="false" outlineLevel="0" collapsed="false">
      <c r="A125" s="2" t="n">
        <v>118</v>
      </c>
      <c r="B125" s="21" t="n">
        <v>0.1260744</v>
      </c>
      <c r="C125" s="21" t="n">
        <v>0.06750359</v>
      </c>
      <c r="D125" s="22" t="n">
        <f aca="false">B125*C125</f>
        <v>0.008510474607096</v>
      </c>
      <c r="E125" s="22" t="n">
        <f aca="false">B125^2</f>
        <v>0.01589475433536</v>
      </c>
      <c r="F125" s="22" t="n">
        <f aca="false">C125^2</f>
        <v>0.0045567346628881</v>
      </c>
    </row>
    <row r="126" customFormat="false" ht="15" hidden="false" customHeight="false" outlineLevel="0" collapsed="false">
      <c r="A126" s="2" t="n">
        <v>119</v>
      </c>
      <c r="B126" s="21" t="n">
        <v>0.03746848</v>
      </c>
      <c r="C126" s="21" t="n">
        <v>-0.01651315</v>
      </c>
      <c r="D126" s="22" t="n">
        <f aca="false">B126*C126</f>
        <v>-0.000618722630512</v>
      </c>
      <c r="E126" s="22" t="n">
        <f aca="false">B126^2</f>
        <v>0.0014038869935104</v>
      </c>
      <c r="F126" s="22" t="n">
        <f aca="false">C126^2</f>
        <v>0.0002726841229225</v>
      </c>
    </row>
    <row r="127" customFormat="false" ht="15" hidden="false" customHeight="false" outlineLevel="0" collapsed="false">
      <c r="A127" s="2" t="n">
        <v>120</v>
      </c>
      <c r="B127" s="21" t="n">
        <v>-0.03726364</v>
      </c>
      <c r="C127" s="21" t="n">
        <v>0.04727369</v>
      </c>
      <c r="D127" s="22" t="n">
        <f aca="false">B127*C127</f>
        <v>-0.0017615897656316</v>
      </c>
      <c r="E127" s="22" t="n">
        <f aca="false">B127^2</f>
        <v>0.0013885788660496</v>
      </c>
      <c r="F127" s="22" t="n">
        <f aca="false">C127^2</f>
        <v>0.0022348017662161</v>
      </c>
    </row>
    <row r="128" customFormat="false" ht="15" hidden="false" customHeight="false" outlineLevel="0" collapsed="false">
      <c r="A128" s="2" t="n">
        <v>121</v>
      </c>
      <c r="B128" s="21" t="n">
        <v>-0.00897509</v>
      </c>
      <c r="C128" s="21" t="n">
        <v>0.01490901</v>
      </c>
      <c r="D128" s="22" t="n">
        <f aca="false">B128*C128</f>
        <v>-0.0001338097065609</v>
      </c>
      <c r="E128" s="22" t="n">
        <f aca="false">B128^2</f>
        <v>8.05522405081E-005</v>
      </c>
      <c r="F128" s="22" t="n">
        <f aca="false">C128^2</f>
        <v>0.0002222785791801</v>
      </c>
    </row>
    <row r="129" customFormat="false" ht="15" hidden="false" customHeight="false" outlineLevel="0" collapsed="false">
      <c r="A129" s="2" t="n">
        <v>122</v>
      </c>
      <c r="B129" s="21" t="n">
        <v>0.00780431</v>
      </c>
      <c r="C129" s="21" t="n">
        <v>0.00400443</v>
      </c>
      <c r="D129" s="22" t="n">
        <f aca="false">B129*C129</f>
        <v>3.12518130933E-005</v>
      </c>
      <c r="E129" s="22" t="n">
        <f aca="false">B129^2</f>
        <v>6.09072545761E-005</v>
      </c>
      <c r="F129" s="22" t="n">
        <f aca="false">C129^2</f>
        <v>1.60354596249E-005</v>
      </c>
    </row>
    <row r="130" customFormat="false" ht="15" hidden="false" customHeight="false" outlineLevel="0" collapsed="false">
      <c r="A130" s="2" t="n">
        <v>123</v>
      </c>
      <c r="B130" s="21" t="n">
        <v>0.02033555</v>
      </c>
      <c r="C130" s="21" t="n">
        <v>0.00057878</v>
      </c>
      <c r="D130" s="22" t="n">
        <f aca="false">B130*C130</f>
        <v>1.1769809629E-005</v>
      </c>
      <c r="E130" s="22" t="n">
        <f aca="false">B130^2</f>
        <v>0.0004135345938025</v>
      </c>
      <c r="F130" s="22" t="n">
        <f aca="false">C130^2</f>
        <v>3.349862884E-007</v>
      </c>
    </row>
    <row r="131" customFormat="false" ht="15" hidden="false" customHeight="false" outlineLevel="0" collapsed="false">
      <c r="A131" s="2" t="n">
        <v>124</v>
      </c>
      <c r="B131" s="21" t="n">
        <v>-0.04145125</v>
      </c>
      <c r="C131" s="21" t="n">
        <v>-0.0106833</v>
      </c>
      <c r="D131" s="22" t="n">
        <f aca="false">B131*C131</f>
        <v>0.000442836139125</v>
      </c>
      <c r="E131" s="22" t="n">
        <f aca="false">B131^2</f>
        <v>0.0017182061265625</v>
      </c>
      <c r="F131" s="22" t="n">
        <f aca="false">C131^2</f>
        <v>0.00011413289889</v>
      </c>
    </row>
    <row r="132" customFormat="false" ht="15" hidden="false" customHeight="false" outlineLevel="0" collapsed="false">
      <c r="A132" s="2" t="n">
        <v>125</v>
      </c>
      <c r="B132" s="21" t="n">
        <v>0.09166345</v>
      </c>
      <c r="C132" s="21" t="n">
        <v>0.01514704</v>
      </c>
      <c r="D132" s="22" t="n">
        <f aca="false">B132*C132</f>
        <v>0.001388429943688</v>
      </c>
      <c r="E132" s="22" t="n">
        <f aca="false">B132^2</f>
        <v>0.0084021880659025</v>
      </c>
      <c r="F132" s="22" t="n">
        <f aca="false">C132^2</f>
        <v>0.0002294328207616</v>
      </c>
    </row>
    <row r="133" customFormat="false" ht="15" hidden="false" customHeight="false" outlineLevel="0" collapsed="false">
      <c r="A133" s="2" t="n">
        <v>126</v>
      </c>
      <c r="B133" s="21" t="n">
        <v>-0.08561406</v>
      </c>
      <c r="C133" s="21" t="n">
        <v>-0.13549637</v>
      </c>
      <c r="D133" s="22" t="n">
        <f aca="false">B133*C133</f>
        <v>0.0116003943509622</v>
      </c>
      <c r="E133" s="22" t="n">
        <f aca="false">B133^2</f>
        <v>0.0073297672696836</v>
      </c>
      <c r="F133" s="22" t="n">
        <f aca="false">C133^2</f>
        <v>0.0183592662831769</v>
      </c>
    </row>
    <row r="134" customFormat="false" ht="15" hidden="false" customHeight="false" outlineLevel="0" collapsed="false">
      <c r="A134" s="2" t="n">
        <v>127</v>
      </c>
      <c r="B134" s="21" t="n">
        <v>-0.05707155</v>
      </c>
      <c r="C134" s="21" t="n">
        <v>-0.02282917</v>
      </c>
      <c r="D134" s="22" t="n">
        <f aca="false">B134*C134</f>
        <v>0.0013028961171135</v>
      </c>
      <c r="E134" s="22" t="n">
        <f aca="false">B134^2</f>
        <v>0.0032571618194025</v>
      </c>
      <c r="F134" s="22" t="n">
        <f aca="false">C134^2</f>
        <v>0.0005211710028889</v>
      </c>
    </row>
    <row r="135" customFormat="false" ht="15" hidden="false" customHeight="false" outlineLevel="0" collapsed="false">
      <c r="A135" s="2" t="n">
        <v>128</v>
      </c>
      <c r="B135" s="21" t="n">
        <v>0</v>
      </c>
      <c r="C135" s="21" t="n">
        <v>0</v>
      </c>
      <c r="D135" s="22" t="n">
        <f aca="false">B135*C135</f>
        <v>0</v>
      </c>
      <c r="E135" s="22" t="n">
        <f aca="false">B135^2</f>
        <v>0</v>
      </c>
      <c r="F135" s="22" t="n">
        <f aca="false">C135^2</f>
        <v>0</v>
      </c>
    </row>
    <row r="136" customFormat="false" ht="15" hidden="false" customHeight="false" outlineLevel="0" collapsed="false">
      <c r="A136" s="2" t="n">
        <v>129</v>
      </c>
      <c r="B136" s="21" t="n">
        <v>0.01678247</v>
      </c>
      <c r="C136" s="21" t="n">
        <v>0.06871138</v>
      </c>
      <c r="D136" s="22" t="n">
        <f aca="false">B136*C136</f>
        <v>0.0011531466735086</v>
      </c>
      <c r="E136" s="22" t="n">
        <f aca="false">B136^2</f>
        <v>0.0002816512993009</v>
      </c>
      <c r="F136" s="22" t="n">
        <f aca="false">C136^2</f>
        <v>0.0047212537415044</v>
      </c>
    </row>
    <row r="137" customFormat="false" ht="15" hidden="false" customHeight="false" outlineLevel="0" collapsed="false">
      <c r="A137" s="2" t="n">
        <v>130</v>
      </c>
      <c r="B137" s="21" t="n">
        <v>0.06175098</v>
      </c>
      <c r="C137" s="21" t="n">
        <v>0.03964338</v>
      </c>
      <c r="D137" s="22" t="n">
        <f aca="false">B137*C137</f>
        <v>0.0024480175655124</v>
      </c>
      <c r="E137" s="22" t="n">
        <f aca="false">B137^2</f>
        <v>0.0038131835309604</v>
      </c>
      <c r="F137" s="22" t="n">
        <f aca="false">C137^2</f>
        <v>0.0015715975778244</v>
      </c>
    </row>
    <row r="138" customFormat="false" ht="15" hidden="false" customHeight="false" outlineLevel="0" collapsed="false">
      <c r="A138" s="2" t="n">
        <v>131</v>
      </c>
      <c r="B138" s="21" t="n">
        <v>-0.02219289</v>
      </c>
      <c r="C138" s="21" t="n">
        <v>-0.03327992</v>
      </c>
      <c r="D138" s="22" t="n">
        <f aca="false">B138*C138</f>
        <v>0.0007385776037688</v>
      </c>
      <c r="E138" s="22" t="n">
        <f aca="false">B138^2</f>
        <v>0.0004925243665521</v>
      </c>
      <c r="F138" s="22" t="n">
        <f aca="false">C138^2</f>
        <v>0.0011075530752064</v>
      </c>
    </row>
    <row r="139" customFormat="false" ht="15" hidden="false" customHeight="false" outlineLevel="0" collapsed="false">
      <c r="A139" s="2" t="n">
        <v>132</v>
      </c>
      <c r="B139" s="21" t="n">
        <v>0.07188265</v>
      </c>
      <c r="C139" s="21" t="n">
        <v>0.07023513</v>
      </c>
      <c r="D139" s="22" t="n">
        <f aca="false">B139*C139</f>
        <v>0.0050486872674945</v>
      </c>
      <c r="E139" s="22" t="n">
        <f aca="false">B139^2</f>
        <v>0.0051671153710225</v>
      </c>
      <c r="F139" s="22" t="n">
        <f aca="false">C139^2</f>
        <v>0.0049329734861169</v>
      </c>
    </row>
    <row r="140" customFormat="false" ht="15" hidden="false" customHeight="false" outlineLevel="0" collapsed="false">
      <c r="A140" s="2" t="n">
        <v>133</v>
      </c>
      <c r="B140" s="21" t="n">
        <v>-0.02829241</v>
      </c>
      <c r="C140" s="21" t="n">
        <v>0.02535037</v>
      </c>
      <c r="D140" s="22" t="n">
        <f aca="false">B140*C140</f>
        <v>-0.0007172230616917</v>
      </c>
      <c r="E140" s="22" t="n">
        <f aca="false">B140^2</f>
        <v>0.0008004604636081</v>
      </c>
      <c r="F140" s="22" t="n">
        <f aca="false">C140^2</f>
        <v>0.0006426412591369</v>
      </c>
    </row>
    <row r="141" customFormat="false" ht="15" hidden="false" customHeight="false" outlineLevel="0" collapsed="false">
      <c r="A141" s="2" t="n">
        <v>134</v>
      </c>
      <c r="B141" s="21" t="n">
        <v>-0.04901821</v>
      </c>
      <c r="C141" s="21" t="n">
        <v>-0.00493027</v>
      </c>
      <c r="D141" s="22" t="n">
        <f aca="false">B141*C141</f>
        <v>0.0002416730102167</v>
      </c>
      <c r="E141" s="22" t="n">
        <f aca="false">B141^2</f>
        <v>0.0024027849116041</v>
      </c>
      <c r="F141" s="22" t="n">
        <f aca="false">C141^2</f>
        <v>2.43075622729E-005</v>
      </c>
    </row>
    <row r="142" customFormat="false" ht="15" hidden="false" customHeight="false" outlineLevel="0" collapsed="false">
      <c r="A142" s="2" t="n">
        <v>135</v>
      </c>
      <c r="B142" s="21" t="n">
        <v>0.00850999</v>
      </c>
      <c r="C142" s="21" t="n">
        <v>0.01937563</v>
      </c>
      <c r="D142" s="22" t="n">
        <f aca="false">B142*C142</f>
        <v>0.0001648864175437</v>
      </c>
      <c r="E142" s="22" t="n">
        <f aca="false">B142^2</f>
        <v>7.24199298001E-005</v>
      </c>
      <c r="F142" s="22" t="n">
        <f aca="false">C142^2</f>
        <v>0.0003754150378969</v>
      </c>
    </row>
    <row r="143" customFormat="false" ht="15" hidden="false" customHeight="false" outlineLevel="0" collapsed="false">
      <c r="A143" s="2" t="n">
        <v>136</v>
      </c>
      <c r="B143" s="21" t="n">
        <v>0.10752071</v>
      </c>
      <c r="C143" s="21" t="n">
        <v>0.07300159</v>
      </c>
      <c r="D143" s="22" t="n">
        <f aca="false">B143*C143</f>
        <v>0.0078491827879289</v>
      </c>
      <c r="E143" s="22" t="n">
        <f aca="false">B143^2</f>
        <v>0.0115607030789041</v>
      </c>
      <c r="F143" s="22" t="n">
        <f aca="false">C143^2</f>
        <v>0.0053292321425281</v>
      </c>
    </row>
    <row r="144" customFormat="false" ht="15" hidden="false" customHeight="false" outlineLevel="0" collapsed="false">
      <c r="A144" s="2" t="n">
        <v>137</v>
      </c>
      <c r="B144" s="21" t="n">
        <v>-0.02536814</v>
      </c>
      <c r="C144" s="21" t="n">
        <v>0.0014907</v>
      </c>
      <c r="D144" s="22" t="n">
        <f aca="false">B144*C144</f>
        <v>-3.7816286298E-005</v>
      </c>
      <c r="E144" s="22" t="n">
        <f aca="false">B144^2</f>
        <v>0.0006435425270596</v>
      </c>
      <c r="F144" s="22" t="n">
        <f aca="false">C144^2</f>
        <v>2.22218649E-006</v>
      </c>
    </row>
    <row r="145" customFormat="false" ht="15" hidden="false" customHeight="false" outlineLevel="0" collapsed="false">
      <c r="A145" s="2" t="n">
        <v>138</v>
      </c>
      <c r="B145" s="21" t="n">
        <v>-0.02897914</v>
      </c>
      <c r="C145" s="21" t="n">
        <v>-0.07554745</v>
      </c>
      <c r="D145" s="22" t="n">
        <f aca="false">B145*C145</f>
        <v>0.002189300130193</v>
      </c>
      <c r="E145" s="22" t="n">
        <f aca="false">B145^2</f>
        <v>0.0008397905551396</v>
      </c>
      <c r="F145" s="22" t="n">
        <f aca="false">C145^2</f>
        <v>0.0057074172015025</v>
      </c>
    </row>
    <row r="146" customFormat="false" ht="15" hidden="false" customHeight="false" outlineLevel="0" collapsed="false">
      <c r="A146" s="2" t="n">
        <v>139</v>
      </c>
      <c r="B146" s="21" t="n">
        <v>0.01409779</v>
      </c>
      <c r="C146" s="21" t="n">
        <v>0.0030526</v>
      </c>
      <c r="D146" s="22" t="n">
        <f aca="false">B146*C146</f>
        <v>4.3034913754E-005</v>
      </c>
      <c r="E146" s="22" t="n">
        <f aca="false">B146^2</f>
        <v>0.0001987476828841</v>
      </c>
      <c r="F146" s="22" t="n">
        <f aca="false">C146^2</f>
        <v>9.31836676E-006</v>
      </c>
    </row>
    <row r="147" customFormat="false" ht="15" hidden="false" customHeight="false" outlineLevel="0" collapsed="false">
      <c r="A147" s="2" t="n">
        <v>140</v>
      </c>
      <c r="B147" s="21" t="n">
        <v>0.07650055</v>
      </c>
      <c r="C147" s="21" t="n">
        <v>0.04973573</v>
      </c>
      <c r="D147" s="22" t="n">
        <f aca="false">B147*C147</f>
        <v>0.0038048106996515</v>
      </c>
      <c r="E147" s="22" t="n">
        <f aca="false">B147^2</f>
        <v>0.0058523341503025</v>
      </c>
      <c r="F147" s="22" t="n">
        <f aca="false">C147^2</f>
        <v>0.0024736428386329</v>
      </c>
    </row>
    <row r="148" customFormat="false" ht="15" hidden="false" customHeight="false" outlineLevel="0" collapsed="false">
      <c r="A148" s="2" t="n">
        <v>141</v>
      </c>
      <c r="B148" s="21" t="n">
        <v>-0.0241164</v>
      </c>
      <c r="C148" s="21" t="n">
        <v>-0.03838325</v>
      </c>
      <c r="D148" s="22" t="n">
        <f aca="false">B148*C148</f>
        <v>0.0009256658103</v>
      </c>
      <c r="E148" s="22" t="n">
        <f aca="false">B148^2</f>
        <v>0.00058160074896</v>
      </c>
      <c r="F148" s="22" t="n">
        <f aca="false">C148^2</f>
        <v>0.0014732738805625</v>
      </c>
    </row>
    <row r="149" customFormat="false" ht="15" hidden="false" customHeight="false" outlineLevel="0" collapsed="false">
      <c r="A149" s="2" t="n">
        <v>142</v>
      </c>
      <c r="B149" s="21" t="n">
        <v>0.08162194</v>
      </c>
      <c r="C149" s="21" t="n">
        <v>0.1004587</v>
      </c>
      <c r="D149" s="22" t="n">
        <f aca="false">B149*C149</f>
        <v>0.008199633983878</v>
      </c>
      <c r="E149" s="22" t="n">
        <f aca="false">B149^2</f>
        <v>0.0066621410893636</v>
      </c>
      <c r="F149" s="22" t="n">
        <f aca="false">C149^2</f>
        <v>0.01009195040569</v>
      </c>
    </row>
    <row r="150" customFormat="false" ht="15" hidden="false" customHeight="false" outlineLevel="0" collapsed="false">
      <c r="A150" s="2" t="n">
        <v>143</v>
      </c>
      <c r="B150" s="21" t="n">
        <v>0.08940943</v>
      </c>
      <c r="C150" s="21" t="n">
        <v>0.09632109</v>
      </c>
      <c r="D150" s="22" t="n">
        <f aca="false">B150*C150</f>
        <v>0.0086120137538787</v>
      </c>
      <c r="E150" s="22" t="n">
        <f aca="false">B150^2</f>
        <v>0.0079940461729249</v>
      </c>
      <c r="F150" s="22" t="n">
        <f aca="false">C150^2</f>
        <v>0.0092777523787881</v>
      </c>
    </row>
    <row r="151" customFormat="false" ht="15" hidden="false" customHeight="false" outlineLevel="0" collapsed="false">
      <c r="A151" s="2" t="n">
        <v>144</v>
      </c>
      <c r="B151" s="21" t="n">
        <v>-0.0304677</v>
      </c>
      <c r="C151" s="21" t="n">
        <v>0.01827032</v>
      </c>
      <c r="D151" s="22" t="n">
        <f aca="false">B151*C151</f>
        <v>-0.000556654628664</v>
      </c>
      <c r="E151" s="22" t="n">
        <f aca="false">B151^2</f>
        <v>0.00092828074329</v>
      </c>
      <c r="F151" s="22" t="n">
        <f aca="false">C151^2</f>
        <v>0.0003338045929024</v>
      </c>
    </row>
    <row r="152" customFormat="false" ht="15" hidden="false" customHeight="false" outlineLevel="0" collapsed="false">
      <c r="A152" s="2" t="n">
        <v>145</v>
      </c>
      <c r="B152" s="21" t="n">
        <v>-0.02294018</v>
      </c>
      <c r="C152" s="21" t="n">
        <v>-0.06902892</v>
      </c>
      <c r="D152" s="22" t="n">
        <f aca="false">B152*C152</f>
        <v>0.0015835358500056</v>
      </c>
      <c r="E152" s="22" t="n">
        <f aca="false">B152^2</f>
        <v>0.0005262518584324</v>
      </c>
      <c r="F152" s="22" t="n">
        <f aca="false">C152^2</f>
        <v>0.0047649917963664</v>
      </c>
    </row>
    <row r="153" customFormat="false" ht="15" hidden="false" customHeight="false" outlineLevel="0" collapsed="false">
      <c r="A153" s="2" t="n">
        <v>146</v>
      </c>
      <c r="B153" s="21" t="n">
        <v>0.05122406</v>
      </c>
      <c r="C153" s="21" t="n">
        <v>0.07546023</v>
      </c>
      <c r="D153" s="22" t="n">
        <f aca="false">B153*C153</f>
        <v>0.0038653793491338</v>
      </c>
      <c r="E153" s="22" t="n">
        <f aca="false">B153^2</f>
        <v>0.0026239043228836</v>
      </c>
      <c r="F153" s="22" t="n">
        <f aca="false">C153^2</f>
        <v>0.0056942463116529</v>
      </c>
    </row>
    <row r="154" customFormat="false" ht="15" hidden="false" customHeight="false" outlineLevel="0" collapsed="false">
      <c r="A154" s="2" t="n">
        <v>147</v>
      </c>
      <c r="B154" s="21" t="n">
        <v>-0.03509606</v>
      </c>
      <c r="C154" s="21" t="n">
        <v>0.01543589</v>
      </c>
      <c r="D154" s="22" t="n">
        <f aca="false">B154*C154</f>
        <v>-0.0005417389215934</v>
      </c>
      <c r="E154" s="22" t="n">
        <f aca="false">B154^2</f>
        <v>0.0012317334275236</v>
      </c>
      <c r="F154" s="22" t="n">
        <f aca="false">C154^2</f>
        <v>0.0002382667000921</v>
      </c>
    </row>
    <row r="155" customFormat="false" ht="15" hidden="false" customHeight="false" outlineLevel="0" collapsed="false">
      <c r="A155" s="2" t="n">
        <v>148</v>
      </c>
      <c r="B155" s="21" t="n">
        <v>-0.0147011</v>
      </c>
      <c r="C155" s="21" t="n">
        <v>-0.02707828</v>
      </c>
      <c r="D155" s="22" t="n">
        <f aca="false">B155*C155</f>
        <v>0.000398080502108</v>
      </c>
      <c r="E155" s="22" t="n">
        <f aca="false">B155^2</f>
        <v>0.00021612234121</v>
      </c>
      <c r="F155" s="22" t="n">
        <f aca="false">C155^2</f>
        <v>0.0007332332477584</v>
      </c>
    </row>
    <row r="156" customFormat="false" ht="15" hidden="false" customHeight="false" outlineLevel="0" collapsed="false">
      <c r="A156" s="2" t="n">
        <v>149</v>
      </c>
      <c r="B156" s="21" t="n">
        <v>0.04194091</v>
      </c>
      <c r="C156" s="21" t="n">
        <v>0.0374241</v>
      </c>
      <c r="D156" s="22" t="n">
        <f aca="false">B156*C156</f>
        <v>0.001569600809931</v>
      </c>
      <c r="E156" s="22" t="n">
        <f aca="false">B156^2</f>
        <v>0.0017590399316281</v>
      </c>
      <c r="F156" s="22" t="n">
        <f aca="false">C156^2</f>
        <v>0.00140056326081</v>
      </c>
    </row>
    <row r="157" customFormat="false" ht="15" hidden="false" customHeight="false" outlineLevel="0" collapsed="false">
      <c r="A157" s="2" t="n">
        <v>150</v>
      </c>
      <c r="B157" s="21" t="n">
        <v>-0.08421117</v>
      </c>
      <c r="C157" s="21" t="n">
        <v>-0.03767308</v>
      </c>
      <c r="D157" s="22" t="n">
        <f aca="false">B157*C157</f>
        <v>0.0031724941443036</v>
      </c>
      <c r="E157" s="22" t="n">
        <f aca="false">B157^2</f>
        <v>0.0070915211527689</v>
      </c>
      <c r="F157" s="22" t="n">
        <f aca="false">C157^2</f>
        <v>0.0014192609566864</v>
      </c>
    </row>
    <row r="158" customFormat="false" ht="15" hidden="false" customHeight="false" outlineLevel="0" collapsed="false">
      <c r="A158" s="2" t="n">
        <v>151</v>
      </c>
      <c r="B158" s="21" t="n">
        <v>0.03573874</v>
      </c>
      <c r="C158" s="21" t="n">
        <v>0.08600374</v>
      </c>
      <c r="D158" s="22" t="n">
        <f aca="false">B158*C158</f>
        <v>0.0030736653028876</v>
      </c>
      <c r="E158" s="22" t="n">
        <f aca="false">B158^2</f>
        <v>0.0012772575367876</v>
      </c>
      <c r="F158" s="22" t="n">
        <f aca="false">C158^2</f>
        <v>0.0073966432939876</v>
      </c>
    </row>
    <row r="159" customFormat="false" ht="15" hidden="false" customHeight="false" outlineLevel="0" collapsed="false">
      <c r="A159" s="2" t="n">
        <v>152</v>
      </c>
      <c r="B159" s="21" t="n">
        <v>-0.03331039</v>
      </c>
      <c r="C159" s="21" t="n">
        <v>-0.05217738</v>
      </c>
      <c r="D159" s="22" t="n">
        <f aca="false">B159*C159</f>
        <v>0.0017380488769782</v>
      </c>
      <c r="E159" s="22" t="n">
        <f aca="false">B159^2</f>
        <v>0.0011095820819521</v>
      </c>
      <c r="F159" s="22" t="n">
        <f aca="false">C159^2</f>
        <v>0.0027224789836644</v>
      </c>
    </row>
    <row r="160" customFormat="false" ht="15" hidden="false" customHeight="false" outlineLevel="0" collapsed="false">
      <c r="A160" s="2" t="n">
        <v>153</v>
      </c>
      <c r="B160" s="21" t="n">
        <v>-0.04613755</v>
      </c>
      <c r="C160" s="21" t="n">
        <v>-0.05279988</v>
      </c>
      <c r="D160" s="22" t="n">
        <f aca="false">B160*C160</f>
        <v>0.002436057103494</v>
      </c>
      <c r="E160" s="22" t="n">
        <f aca="false">B160^2</f>
        <v>0.0021286735200025</v>
      </c>
      <c r="F160" s="22" t="n">
        <f aca="false">C160^2</f>
        <v>0.0027878273280144</v>
      </c>
    </row>
    <row r="161" customFormat="false" ht="15" hidden="false" customHeight="false" outlineLevel="0" collapsed="false">
      <c r="A161" s="2" t="n">
        <v>154</v>
      </c>
      <c r="B161" s="21" t="n">
        <v>0.02910708</v>
      </c>
      <c r="C161" s="21" t="n">
        <v>0.0095146</v>
      </c>
      <c r="D161" s="22" t="n">
        <f aca="false">B161*C161</f>
        <v>0.000276942223368</v>
      </c>
      <c r="E161" s="22" t="n">
        <f aca="false">B161^2</f>
        <v>0.0008472221061264</v>
      </c>
      <c r="F161" s="22" t="n">
        <f aca="false">C161^2</f>
        <v>9.052761316E-005</v>
      </c>
    </row>
    <row r="162" customFormat="false" ht="15" hidden="false" customHeight="false" outlineLevel="0" collapsed="false">
      <c r="A162" s="2" t="n">
        <v>155</v>
      </c>
      <c r="B162" s="21" t="n">
        <v>0.0119193</v>
      </c>
      <c r="C162" s="21" t="n">
        <v>0.02163239</v>
      </c>
      <c r="D162" s="22" t="n">
        <f aca="false">B162*C162</f>
        <v>0.000257842946127</v>
      </c>
      <c r="E162" s="22" t="n">
        <f aca="false">B162^2</f>
        <v>0.00014206971249</v>
      </c>
      <c r="F162" s="22" t="n">
        <f aca="false">C162^2</f>
        <v>0.0004679602971121</v>
      </c>
    </row>
    <row r="163" customFormat="false" ht="15" hidden="false" customHeight="false" outlineLevel="0" collapsed="false">
      <c r="A163" s="2" t="n">
        <v>156</v>
      </c>
      <c r="B163" s="21" t="n">
        <v>-0.01953475</v>
      </c>
      <c r="C163" s="21" t="n">
        <v>-0.06685618</v>
      </c>
      <c r="D163" s="22" t="n">
        <f aca="false">B163*C163</f>
        <v>0.001306018762255</v>
      </c>
      <c r="E163" s="22" t="n">
        <f aca="false">B163^2</f>
        <v>0.0003816064575625</v>
      </c>
      <c r="F163" s="22" t="n">
        <f aca="false">C163^2</f>
        <v>0.0044697488041924</v>
      </c>
    </row>
    <row r="164" customFormat="false" ht="15" hidden="false" customHeight="false" outlineLevel="0" collapsed="false">
      <c r="A164" s="2" t="n">
        <v>157</v>
      </c>
      <c r="B164" s="21" t="n">
        <v>0.02774234</v>
      </c>
      <c r="C164" s="21" t="n">
        <v>0.02961482</v>
      </c>
      <c r="D164" s="22" t="n">
        <f aca="false">B164*C164</f>
        <v>0.0008215844054788</v>
      </c>
      <c r="E164" s="22" t="n">
        <f aca="false">B164^2</f>
        <v>0.0007696374286756</v>
      </c>
      <c r="F164" s="22" t="n">
        <f aca="false">C164^2</f>
        <v>0.0008770375636324</v>
      </c>
    </row>
    <row r="165" customFormat="false" ht="15" hidden="false" customHeight="false" outlineLevel="0" collapsed="false">
      <c r="A165" s="2" t="n">
        <v>158</v>
      </c>
      <c r="B165" s="21" t="n">
        <v>-0.00980721</v>
      </c>
      <c r="C165" s="21" t="n">
        <v>0.0334709</v>
      </c>
      <c r="D165" s="22" t="n">
        <f aca="false">B165*C165</f>
        <v>-0.000328256145189</v>
      </c>
      <c r="E165" s="22" t="n">
        <f aca="false">B165^2</f>
        <v>9.61813679841E-005</v>
      </c>
      <c r="F165" s="22" t="n">
        <f aca="false">C165^2</f>
        <v>0.00112030114681</v>
      </c>
    </row>
    <row r="166" customFormat="false" ht="15" hidden="false" customHeight="false" outlineLevel="0" collapsed="false">
      <c r="A166" s="2" t="n">
        <v>159</v>
      </c>
      <c r="B166" s="21" t="n">
        <v>-0.0611986</v>
      </c>
      <c r="C166" s="21" t="n">
        <v>-0.03994002</v>
      </c>
      <c r="D166" s="22" t="n">
        <f aca="false">B166*C166</f>
        <v>0.002444273307972</v>
      </c>
      <c r="E166" s="22" t="n">
        <f aca="false">B166^2</f>
        <v>0.00374526864196</v>
      </c>
      <c r="F166" s="22" t="n">
        <f aca="false">C166^2</f>
        <v>0.0015952051976004</v>
      </c>
    </row>
    <row r="167" customFormat="false" ht="15" hidden="false" customHeight="false" outlineLevel="0" collapsed="false">
      <c r="A167" s="2" t="n">
        <v>160</v>
      </c>
      <c r="B167" s="21" t="n">
        <v>-0.00142913</v>
      </c>
      <c r="C167" s="21" t="n">
        <v>-0.07162272</v>
      </c>
      <c r="D167" s="22" t="n">
        <f aca="false">B167*C167</f>
        <v>0.0001023581778336</v>
      </c>
      <c r="E167" s="22" t="n">
        <f aca="false">B167^2</f>
        <v>2.0424125569E-006</v>
      </c>
      <c r="F167" s="22" t="n">
        <f aca="false">C167^2</f>
        <v>0.0051298140201984</v>
      </c>
    </row>
    <row r="168" customFormat="false" ht="15" hidden="false" customHeight="false" outlineLevel="0" collapsed="false">
      <c r="A168" s="2" t="n">
        <v>161</v>
      </c>
      <c r="B168" s="21" t="n">
        <v>-0.08171269</v>
      </c>
      <c r="C168" s="21" t="n">
        <v>-0.04019199</v>
      </c>
      <c r="D168" s="22" t="n">
        <f aca="false">B168*C168</f>
        <v>0.0032841956193531</v>
      </c>
      <c r="E168" s="22" t="n">
        <f aca="false">B168^2</f>
        <v>0.0066769637070361</v>
      </c>
      <c r="F168" s="22" t="n">
        <f aca="false">C168^2</f>
        <v>0.0016153960601601</v>
      </c>
    </row>
    <row r="169" customFormat="false" ht="15" hidden="false" customHeight="false" outlineLevel="0" collapsed="false">
      <c r="A169" s="2" t="n">
        <v>162</v>
      </c>
      <c r="B169" s="21" t="n">
        <v>-0.00471036</v>
      </c>
      <c r="C169" s="21" t="n">
        <v>0.01254128</v>
      </c>
      <c r="D169" s="22" t="n">
        <f aca="false">B169*C169</f>
        <v>-5.90739436608E-005</v>
      </c>
      <c r="E169" s="22" t="n">
        <f aca="false">B169^2</f>
        <v>2.21874913296E-005</v>
      </c>
      <c r="F169" s="22" t="n">
        <f aca="false">C169^2</f>
        <v>0.0001572837040384</v>
      </c>
    </row>
    <row r="170" customFormat="false" ht="15" hidden="false" customHeight="false" outlineLevel="0" collapsed="false">
      <c r="A170" s="2" t="n">
        <v>163</v>
      </c>
      <c r="B170" s="21" t="n">
        <v>0.00853335</v>
      </c>
      <c r="C170" s="21" t="n">
        <v>0.00461561</v>
      </c>
      <c r="D170" s="22" t="n">
        <f aca="false">B170*C170</f>
        <v>3.93866155935E-005</v>
      </c>
      <c r="E170" s="22" t="n">
        <f aca="false">B170^2</f>
        <v>7.28180622225E-005</v>
      </c>
      <c r="F170" s="22" t="n">
        <f aca="false">C170^2</f>
        <v>2.13038556721E-005</v>
      </c>
    </row>
    <row r="171" customFormat="false" ht="15" hidden="false" customHeight="false" outlineLevel="0" collapsed="false">
      <c r="A171" s="2" t="n">
        <v>164</v>
      </c>
      <c r="B171" s="21" t="n">
        <v>0.01276235</v>
      </c>
      <c r="C171" s="21" t="n">
        <v>0.06624911</v>
      </c>
      <c r="D171" s="22" t="n">
        <f aca="false">B171*C171</f>
        <v>0.0008454943290085</v>
      </c>
      <c r="E171" s="22" t="n">
        <f aca="false">B171^2</f>
        <v>0.0001628775775225</v>
      </c>
      <c r="F171" s="22" t="n">
        <f aca="false">C171^2</f>
        <v>0.0043889445757921</v>
      </c>
    </row>
    <row r="172" customFormat="false" ht="15" hidden="false" customHeight="false" outlineLevel="0" collapsed="false">
      <c r="A172" s="2" t="n">
        <v>165</v>
      </c>
      <c r="B172" s="21" t="n">
        <v>0.01741689</v>
      </c>
      <c r="C172" s="21" t="n">
        <v>0.03057822</v>
      </c>
      <c r="D172" s="22" t="n">
        <f aca="false">B172*C172</f>
        <v>0.0005325774941358</v>
      </c>
      <c r="E172" s="22" t="n">
        <f aca="false">B172^2</f>
        <v>0.0003033480572721</v>
      </c>
      <c r="F172" s="22" t="n">
        <f aca="false">C172^2</f>
        <v>0.0009350275383684</v>
      </c>
    </row>
    <row r="173" customFormat="false" ht="15" hidden="false" customHeight="false" outlineLevel="0" collapsed="false">
      <c r="A173" s="2" t="n">
        <v>166</v>
      </c>
      <c r="B173" s="21" t="n">
        <v>0.03611734</v>
      </c>
      <c r="C173" s="21" t="n">
        <v>-0.03852897</v>
      </c>
      <c r="D173" s="22" t="n">
        <f aca="false">B173*C173</f>
        <v>-0.0013915639093398</v>
      </c>
      <c r="E173" s="22" t="n">
        <f aca="false">B173^2</f>
        <v>0.0013044622486756</v>
      </c>
      <c r="F173" s="22" t="n">
        <f aca="false">C173^2</f>
        <v>0.0014844815292609</v>
      </c>
    </row>
    <row r="174" customFormat="false" ht="15" hidden="false" customHeight="false" outlineLevel="0" collapsed="false">
      <c r="A174" s="2" t="n">
        <v>167</v>
      </c>
      <c r="B174" s="21" t="n">
        <v>-0.01502147</v>
      </c>
      <c r="C174" s="21" t="n">
        <v>0.00726252</v>
      </c>
      <c r="D174" s="22" t="n">
        <f aca="false">B174*C174</f>
        <v>-0.0001090937263044</v>
      </c>
      <c r="E174" s="22" t="n">
        <f aca="false">B174^2</f>
        <v>0.0002256445609609</v>
      </c>
      <c r="F174" s="22" t="n">
        <f aca="false">C174^2</f>
        <v>5.27441967504E-005</v>
      </c>
    </row>
    <row r="175" customFormat="false" ht="15" hidden="false" customHeight="false" outlineLevel="0" collapsed="false">
      <c r="A175" s="2" t="n">
        <v>168</v>
      </c>
      <c r="B175" s="21" t="n">
        <v>0.03886452</v>
      </c>
      <c r="C175" s="21" t="n">
        <v>0.03404902</v>
      </c>
      <c r="D175" s="22" t="n">
        <f aca="false">B175*C175</f>
        <v>0.0013232988187704</v>
      </c>
      <c r="E175" s="22" t="n">
        <f aca="false">B175^2</f>
        <v>0.0015104509148304</v>
      </c>
      <c r="F175" s="22" t="n">
        <f aca="false">C175^2</f>
        <v>0.0011593357629604</v>
      </c>
    </row>
    <row r="176" customFormat="false" ht="15" hidden="false" customHeight="false" outlineLevel="0" collapsed="false">
      <c r="A176" s="2" t="n">
        <v>169</v>
      </c>
      <c r="B176" s="21" t="n">
        <v>0.05190988</v>
      </c>
      <c r="C176" s="21" t="n">
        <v>-0.00096267</v>
      </c>
      <c r="D176" s="22" t="n">
        <f aca="false">B176*C176</f>
        <v>-4.99720841796E-005</v>
      </c>
      <c r="E176" s="22" t="n">
        <f aca="false">B176^2</f>
        <v>0.0026946356416144</v>
      </c>
      <c r="F176" s="22" t="n">
        <f aca="false">C176^2</f>
        <v>9.267335289E-007</v>
      </c>
    </row>
    <row r="177" customFormat="false" ht="15" hidden="false" customHeight="false" outlineLevel="0" collapsed="false">
      <c r="A177" s="2" t="n">
        <v>170</v>
      </c>
      <c r="B177" s="21" t="n">
        <v>0.02268027</v>
      </c>
      <c r="C177" s="21" t="n">
        <v>-0.02298104</v>
      </c>
      <c r="D177" s="22" t="n">
        <f aca="false">B177*C177</f>
        <v>-0.0005212161920808</v>
      </c>
      <c r="E177" s="22" t="n">
        <f aca="false">B177^2</f>
        <v>0.0005143946472729</v>
      </c>
      <c r="F177" s="22" t="n">
        <f aca="false">C177^2</f>
        <v>0.0005281281994816</v>
      </c>
    </row>
    <row r="178" customFormat="false" ht="15" hidden="false" customHeight="false" outlineLevel="0" collapsed="false">
      <c r="A178" s="2" t="n">
        <v>171</v>
      </c>
      <c r="B178" s="21" t="n">
        <v>0.07946074</v>
      </c>
      <c r="C178" s="21" t="n">
        <v>0.05670006</v>
      </c>
      <c r="D178" s="22" t="n">
        <f aca="false">B178*C178</f>
        <v>0.0045054287256444</v>
      </c>
      <c r="E178" s="22" t="n">
        <f aca="false">B178^2</f>
        <v>0.0063140092013476</v>
      </c>
      <c r="F178" s="22" t="n">
        <f aca="false">C178^2</f>
        <v>0.0032148968040036</v>
      </c>
    </row>
    <row r="179" customFormat="false" ht="15" hidden="false" customHeight="false" outlineLevel="0" collapsed="false">
      <c r="A179" s="2" t="n">
        <v>172</v>
      </c>
      <c r="B179" s="21" t="n">
        <v>0.02808069</v>
      </c>
      <c r="C179" s="21" t="n">
        <v>0.03272828</v>
      </c>
      <c r="D179" s="22" t="n">
        <f aca="false">B179*C179</f>
        <v>0.0009190326849132</v>
      </c>
      <c r="E179" s="22" t="n">
        <f aca="false">B179^2</f>
        <v>0.0007885251508761</v>
      </c>
      <c r="F179" s="22" t="n">
        <f aca="false">C179^2</f>
        <v>0.0010711403117584</v>
      </c>
    </row>
    <row r="180" customFormat="false" ht="15" hidden="false" customHeight="false" outlineLevel="0" collapsed="false">
      <c r="A180" s="2" t="n">
        <v>173</v>
      </c>
      <c r="B180" s="21" t="n">
        <v>0.00923662</v>
      </c>
      <c r="C180" s="21" t="n">
        <v>-0.01858205</v>
      </c>
      <c r="D180" s="22" t="n">
        <f aca="false">B180*C180</f>
        <v>-0.000171635334671</v>
      </c>
      <c r="E180" s="22" t="n">
        <f aca="false">B180^2</f>
        <v>8.53151490244E-005</v>
      </c>
      <c r="F180" s="22" t="n">
        <f aca="false">C180^2</f>
        <v>0.0003452925822025</v>
      </c>
    </row>
    <row r="181" customFormat="false" ht="15" hidden="false" customHeight="false" outlineLevel="0" collapsed="false">
      <c r="A181" s="2" t="n">
        <v>174</v>
      </c>
      <c r="B181" s="21" t="n">
        <v>-0.01488031</v>
      </c>
      <c r="C181" s="21" t="n">
        <v>-0.01375356</v>
      </c>
      <c r="D181" s="22" t="n">
        <f aca="false">B181*C181</f>
        <v>0.0002046572364036</v>
      </c>
      <c r="E181" s="22" t="n">
        <f aca="false">B181^2</f>
        <v>0.0002214236256961</v>
      </c>
      <c r="F181" s="22" t="n">
        <f aca="false">C181^2</f>
        <v>0.0001891604126736</v>
      </c>
    </row>
    <row r="182" customFormat="false" ht="15" hidden="false" customHeight="false" outlineLevel="0" collapsed="false">
      <c r="A182" s="2" t="n">
        <v>175</v>
      </c>
      <c r="B182" s="21" t="n">
        <v>0.07972961</v>
      </c>
      <c r="C182" s="21" t="n">
        <v>0.04509416</v>
      </c>
      <c r="D182" s="22" t="n">
        <f aca="false">B182*C182</f>
        <v>0.0035953397900776</v>
      </c>
      <c r="E182" s="22" t="n">
        <f aca="false">B182^2</f>
        <v>0.0063568107107521</v>
      </c>
      <c r="F182" s="22" t="n">
        <f aca="false">C182^2</f>
        <v>0.0020334832661056</v>
      </c>
    </row>
    <row r="183" customFormat="false" ht="15" hidden="false" customHeight="false" outlineLevel="0" collapsed="false">
      <c r="A183" s="2" t="n">
        <v>176</v>
      </c>
      <c r="B183" s="21" t="n">
        <v>7.597E-005</v>
      </c>
      <c r="C183" s="21" t="n">
        <v>-0.05159857</v>
      </c>
      <c r="D183" s="22" t="n">
        <f aca="false">B183*C183</f>
        <v>-3.9199433629E-006</v>
      </c>
      <c r="E183" s="22" t="n">
        <f aca="false">B183^2</f>
        <v>5.7714409E-009</v>
      </c>
      <c r="F183" s="22" t="n">
        <f aca="false">C183^2</f>
        <v>0.0026624124260449</v>
      </c>
    </row>
    <row r="184" customFormat="false" ht="15" hidden="false" customHeight="false" outlineLevel="0" collapsed="false">
      <c r="A184" s="2" t="n">
        <v>177</v>
      </c>
      <c r="B184" s="21" t="n">
        <v>0.01606189</v>
      </c>
      <c r="C184" s="21" t="n">
        <v>0.04465529</v>
      </c>
      <c r="D184" s="22" t="n">
        <f aca="false">B184*C184</f>
        <v>0.0007172483558981</v>
      </c>
      <c r="E184" s="22" t="n">
        <f aca="false">B184^2</f>
        <v>0.0002579843103721</v>
      </c>
      <c r="F184" s="22" t="n">
        <f aca="false">C184^2</f>
        <v>0.0019940949249841</v>
      </c>
    </row>
    <row r="185" customFormat="false" ht="15" hidden="false" customHeight="false" outlineLevel="0" collapsed="false">
      <c r="A185" s="2" t="n">
        <v>178</v>
      </c>
      <c r="B185" s="21" t="n">
        <v>-0.01505819</v>
      </c>
      <c r="C185" s="21" t="n">
        <v>0.02555642</v>
      </c>
      <c r="D185" s="22" t="n">
        <f aca="false">B185*C185</f>
        <v>-0.0003848334280798</v>
      </c>
      <c r="E185" s="22" t="n">
        <f aca="false">B185^2</f>
        <v>0.0002267490860761</v>
      </c>
      <c r="F185" s="22" t="n">
        <f aca="false">C185^2</f>
        <v>0.0006531306032164</v>
      </c>
    </row>
    <row r="186" customFormat="false" ht="15" hidden="false" customHeight="false" outlineLevel="0" collapsed="false">
      <c r="A186" s="2" t="n">
        <v>179</v>
      </c>
      <c r="B186" s="21" t="n">
        <v>-0.05451106</v>
      </c>
      <c r="C186" s="21" t="n">
        <v>-0.03417656</v>
      </c>
      <c r="D186" s="22" t="n">
        <f aca="false">B186*C186</f>
        <v>0.0018630005127536</v>
      </c>
      <c r="E186" s="22" t="n">
        <f aca="false">B186^2</f>
        <v>0.0029714556623236</v>
      </c>
      <c r="F186" s="22" t="n">
        <f aca="false">C186^2</f>
        <v>0.0011680372534336</v>
      </c>
    </row>
    <row r="187" customFormat="false" ht="15" hidden="false" customHeight="false" outlineLevel="0" collapsed="false">
      <c r="A187" s="2" t="n">
        <v>180</v>
      </c>
      <c r="B187" s="21" t="n">
        <v>-0.03381187</v>
      </c>
      <c r="C187" s="21" t="n">
        <v>-0.00308664</v>
      </c>
      <c r="D187" s="22" t="n">
        <f aca="false">B187*C187</f>
        <v>0.0001043650704168</v>
      </c>
      <c r="E187" s="22" t="n">
        <f aca="false">B187^2</f>
        <v>0.0011432425528969</v>
      </c>
      <c r="F187" s="22" t="n">
        <f aca="false">C187^2</f>
        <v>9.5273464896E-006</v>
      </c>
    </row>
    <row r="188" customFormat="false" ht="15" hidden="false" customHeight="false" outlineLevel="0" collapsed="false">
      <c r="A188" s="2" t="n">
        <v>181</v>
      </c>
      <c r="B188" s="21" t="n">
        <v>-0.01847396</v>
      </c>
      <c r="C188" s="21" t="n">
        <v>0.0439885</v>
      </c>
      <c r="D188" s="22" t="n">
        <f aca="false">B188*C188</f>
        <v>-0.00081264178946</v>
      </c>
      <c r="E188" s="22" t="n">
        <f aca="false">B188^2</f>
        <v>0.0003412871980816</v>
      </c>
      <c r="F188" s="22" t="n">
        <f aca="false">C188^2</f>
        <v>0.00193498813225</v>
      </c>
    </row>
    <row r="189" customFormat="false" ht="15" hidden="false" customHeight="false" outlineLevel="0" collapsed="false">
      <c r="A189" s="2" t="n">
        <v>182</v>
      </c>
      <c r="B189" s="21" t="n">
        <v>-0.0680148</v>
      </c>
      <c r="C189" s="21" t="n">
        <v>-0.05407834</v>
      </c>
      <c r="D189" s="22" t="n">
        <f aca="false">B189*C189</f>
        <v>0.003678127479432</v>
      </c>
      <c r="E189" s="22" t="n">
        <f aca="false">B189^2</f>
        <v>0.00462601301904</v>
      </c>
      <c r="F189" s="22" t="n">
        <f aca="false">C189^2</f>
        <v>0.0029244668571556</v>
      </c>
    </row>
    <row r="190" customFormat="false" ht="15" hidden="false" customHeight="false" outlineLevel="0" collapsed="false">
      <c r="A190" s="2" t="n">
        <v>183</v>
      </c>
      <c r="B190" s="21" t="n">
        <v>0.04351829</v>
      </c>
      <c r="C190" s="21" t="n">
        <v>-0.02490425</v>
      </c>
      <c r="D190" s="22" t="n">
        <f aca="false">B190*C190</f>
        <v>-0.0010837903737325</v>
      </c>
      <c r="E190" s="22" t="n">
        <f aca="false">B190^2</f>
        <v>0.0018938415645241</v>
      </c>
      <c r="F190" s="22" t="n">
        <f aca="false">C190^2</f>
        <v>0.0006202216680625</v>
      </c>
    </row>
    <row r="191" customFormat="false" ht="15" hidden="false" customHeight="false" outlineLevel="0" collapsed="false">
      <c r="A191" s="2" t="n">
        <v>184</v>
      </c>
      <c r="B191" s="21" t="n">
        <v>-0.00082068</v>
      </c>
      <c r="C191" s="21" t="n">
        <v>-0.01416804</v>
      </c>
      <c r="D191" s="22" t="n">
        <f aca="false">B191*C191</f>
        <v>1.16274270672E-005</v>
      </c>
      <c r="E191" s="22" t="n">
        <f aca="false">B191^2</f>
        <v>6.735156624E-007</v>
      </c>
      <c r="F191" s="22" t="n">
        <f aca="false">C191^2</f>
        <v>0.0002007333574416</v>
      </c>
    </row>
    <row r="192" customFormat="false" ht="15" hidden="false" customHeight="false" outlineLevel="0" collapsed="false">
      <c r="A192" s="2" t="n">
        <v>185</v>
      </c>
      <c r="B192" s="21" t="n">
        <v>-0.02675163</v>
      </c>
      <c r="C192" s="21" t="n">
        <v>-0.04993781</v>
      </c>
      <c r="D192" s="22" t="n">
        <f aca="false">B192*C192</f>
        <v>0.0013359178161303</v>
      </c>
      <c r="E192" s="22" t="n">
        <f aca="false">B192^2</f>
        <v>0.0007156497076569</v>
      </c>
      <c r="F192" s="22" t="n">
        <f aca="false">C192^2</f>
        <v>0.0024937848675961</v>
      </c>
    </row>
    <row r="193" customFormat="false" ht="15" hidden="false" customHeight="false" outlineLevel="0" collapsed="false">
      <c r="A193" s="2" t="n">
        <v>186</v>
      </c>
      <c r="B193" s="21" t="n">
        <v>0.0249502</v>
      </c>
      <c r="C193" s="21" t="n">
        <v>0.00754255</v>
      </c>
      <c r="D193" s="22" t="n">
        <f aca="false">B193*C193</f>
        <v>0.00018818813101</v>
      </c>
      <c r="E193" s="22" t="n">
        <f aca="false">B193^2</f>
        <v>0.00062251248004</v>
      </c>
      <c r="F193" s="22" t="n">
        <f aca="false">C193^2</f>
        <v>5.68900605025E-005</v>
      </c>
    </row>
    <row r="194" customFormat="false" ht="15" hidden="false" customHeight="false" outlineLevel="0" collapsed="false">
      <c r="A194" s="2" t="n">
        <v>187</v>
      </c>
      <c r="B194" s="21" t="n">
        <v>0.01714123</v>
      </c>
      <c r="C194" s="21" t="n">
        <v>0.03968988</v>
      </c>
      <c r="D194" s="22" t="n">
        <f aca="false">B194*C194</f>
        <v>0.0006803333617524</v>
      </c>
      <c r="E194" s="22" t="n">
        <f aca="false">B194^2</f>
        <v>0.0002938217659129</v>
      </c>
      <c r="F194" s="22" t="n">
        <f aca="false">C194^2</f>
        <v>0.0015752865744144</v>
      </c>
    </row>
    <row r="195" customFormat="false" ht="15" hidden="false" customHeight="false" outlineLevel="0" collapsed="false">
      <c r="A195" s="2" t="n">
        <v>188</v>
      </c>
      <c r="B195" s="21" t="n">
        <v>-0.10206678</v>
      </c>
      <c r="C195" s="21" t="n">
        <v>-0.09826894</v>
      </c>
      <c r="D195" s="22" t="n">
        <f aca="false">B195*C195</f>
        <v>0.0100299942798132</v>
      </c>
      <c r="E195" s="22" t="n">
        <f aca="false">B195^2</f>
        <v>0.0104176275795684</v>
      </c>
      <c r="F195" s="22" t="n">
        <f aca="false">C195^2</f>
        <v>0.0096567845687236</v>
      </c>
    </row>
    <row r="196" customFormat="false" ht="15" hidden="false" customHeight="false" outlineLevel="0" collapsed="false">
      <c r="A196" s="2" t="n">
        <v>189</v>
      </c>
      <c r="B196" s="21" t="n">
        <v>0.02664281</v>
      </c>
      <c r="C196" s="21" t="n">
        <v>0.06660443</v>
      </c>
      <c r="D196" s="22" t="n">
        <f aca="false">B196*C196</f>
        <v>0.0017745291736483</v>
      </c>
      <c r="E196" s="22" t="n">
        <f aca="false">B196^2</f>
        <v>0.0007098393246961</v>
      </c>
      <c r="F196" s="22" t="n">
        <f aca="false">C196^2</f>
        <v>0.0044361500956249</v>
      </c>
    </row>
    <row r="197" customFormat="false" ht="15" hidden="false" customHeight="false" outlineLevel="0" collapsed="false">
      <c r="A197" s="2" t="n">
        <v>190</v>
      </c>
      <c r="B197" s="21" t="n">
        <v>0.07335767</v>
      </c>
      <c r="C197" s="21" t="n">
        <v>0.07437764</v>
      </c>
      <c r="D197" s="22" t="n">
        <f aca="false">B197*C197</f>
        <v>0.0054561703704988</v>
      </c>
      <c r="E197" s="22" t="n">
        <f aca="false">B197^2</f>
        <v>0.0053813477478289</v>
      </c>
      <c r="F197" s="22" t="n">
        <f aca="false">C197^2</f>
        <v>0.0055320333319696</v>
      </c>
    </row>
    <row r="198" customFormat="false" ht="15" hidden="false" customHeight="false" outlineLevel="0" collapsed="false">
      <c r="A198" s="2" t="n">
        <v>191</v>
      </c>
      <c r="B198" s="21" t="n">
        <v>-0.08145525</v>
      </c>
      <c r="C198" s="21" t="n">
        <v>-0.06356394</v>
      </c>
      <c r="D198" s="22" t="n">
        <f aca="false">B198*C198</f>
        <v>0.005177616623685</v>
      </c>
      <c r="E198" s="22" t="n">
        <f aca="false">B198^2</f>
        <v>0.0066349577525625</v>
      </c>
      <c r="F198" s="22" t="n">
        <f aca="false">C198^2</f>
        <v>0.0040403744683236</v>
      </c>
    </row>
    <row r="199" customFormat="false" ht="15" hidden="false" customHeight="false" outlineLevel="0" collapsed="false">
      <c r="A199" s="2" t="n">
        <v>192</v>
      </c>
      <c r="B199" s="21" t="n">
        <v>0.05373631</v>
      </c>
      <c r="C199" s="21" t="n">
        <v>0.0480708</v>
      </c>
      <c r="D199" s="22" t="n">
        <f aca="false">B199*C199</f>
        <v>0.002583147410748</v>
      </c>
      <c r="E199" s="22" t="n">
        <f aca="false">B199^2</f>
        <v>0.0028875910124161</v>
      </c>
      <c r="F199" s="22" t="n">
        <f aca="false">C199^2</f>
        <v>0.00231080181264</v>
      </c>
    </row>
    <row r="200" customFormat="false" ht="15" hidden="false" customHeight="false" outlineLevel="0" collapsed="false">
      <c r="A200" s="2" t="n">
        <v>193</v>
      </c>
      <c r="B200" s="21" t="n">
        <v>0.00089263</v>
      </c>
      <c r="C200" s="21" t="n">
        <v>-0.08694716</v>
      </c>
      <c r="D200" s="22" t="n">
        <f aca="false">B200*C200</f>
        <v>-7.76116434308E-005</v>
      </c>
      <c r="E200" s="22" t="n">
        <f aca="false">B200^2</f>
        <v>7.967883169E-007</v>
      </c>
      <c r="F200" s="22" t="n">
        <f aca="false">C200^2</f>
        <v>0.0075598086320656</v>
      </c>
    </row>
    <row r="201" customFormat="false" ht="15" hidden="false" customHeight="false" outlineLevel="0" collapsed="false">
      <c r="A201" s="2" t="n">
        <v>194</v>
      </c>
      <c r="B201" s="21" t="n">
        <v>-0.05861979</v>
      </c>
      <c r="C201" s="21" t="n">
        <v>-0.0540592</v>
      </c>
      <c r="D201" s="22" t="n">
        <f aca="false">B201*C201</f>
        <v>0.003168938951568</v>
      </c>
      <c r="E201" s="22" t="n">
        <f aca="false">B201^2</f>
        <v>0.0034362797796441</v>
      </c>
      <c r="F201" s="22" t="n">
        <f aca="false">C201^2</f>
        <v>0.00292239710464</v>
      </c>
    </row>
    <row r="202" customFormat="false" ht="15" hidden="false" customHeight="false" outlineLevel="0" collapsed="false">
      <c r="A202" s="2" t="n">
        <v>195</v>
      </c>
      <c r="B202" s="21" t="n">
        <v>-0.03174744</v>
      </c>
      <c r="C202" s="21" t="n">
        <v>-0.05768928</v>
      </c>
      <c r="D202" s="22" t="n">
        <f aca="false">B202*C202</f>
        <v>0.0018314869554432</v>
      </c>
      <c r="E202" s="22" t="n">
        <f aca="false">B202^2</f>
        <v>0.0010078999465536</v>
      </c>
      <c r="F202" s="22" t="n">
        <f aca="false">C202^2</f>
        <v>0.0033280530269184</v>
      </c>
    </row>
    <row r="203" customFormat="false" ht="15" hidden="false" customHeight="false" outlineLevel="0" collapsed="false">
      <c r="A203" s="2" t="n">
        <v>196</v>
      </c>
      <c r="B203" s="21" t="n">
        <v>0.05496425</v>
      </c>
      <c r="C203" s="21" t="n">
        <v>-0.02324124</v>
      </c>
      <c r="D203" s="22" t="n">
        <f aca="false">B203*C203</f>
        <v>-0.00127743732567</v>
      </c>
      <c r="E203" s="22" t="n">
        <f aca="false">B203^2</f>
        <v>0.0030210687780625</v>
      </c>
      <c r="F203" s="22" t="n">
        <f aca="false">C203^2</f>
        <v>0.0005401552367376</v>
      </c>
    </row>
    <row r="204" customFormat="false" ht="15" hidden="false" customHeight="false" outlineLevel="0" collapsed="false">
      <c r="A204" s="2" t="n">
        <v>197</v>
      </c>
      <c r="B204" s="21" t="n">
        <v>0.13525814</v>
      </c>
      <c r="C204" s="21" t="n">
        <v>0.0904626</v>
      </c>
      <c r="D204" s="22" t="n">
        <f aca="false">B204*C204</f>
        <v>0.012235803015564</v>
      </c>
      <c r="E204" s="22" t="n">
        <f aca="false">B204^2</f>
        <v>0.0182947644362596</v>
      </c>
      <c r="F204" s="22" t="n">
        <f aca="false">C204^2</f>
        <v>0.00818348199876</v>
      </c>
    </row>
    <row r="205" customFormat="false" ht="15" hidden="false" customHeight="false" outlineLevel="0" collapsed="false">
      <c r="A205" s="2" t="n">
        <v>198</v>
      </c>
      <c r="B205" s="21" t="n">
        <v>-0.03821743</v>
      </c>
      <c r="C205" s="21" t="n">
        <v>-0.00177588</v>
      </c>
      <c r="D205" s="22" t="n">
        <f aca="false">B205*C205</f>
        <v>6.78695695884E-005</v>
      </c>
      <c r="E205" s="22" t="n">
        <f aca="false">B205^2</f>
        <v>0.0014605719558049</v>
      </c>
      <c r="F205" s="22" t="n">
        <f aca="false">C205^2</f>
        <v>3.1537497744E-006</v>
      </c>
    </row>
    <row r="206" customFormat="false" ht="15" hidden="false" customHeight="false" outlineLevel="0" collapsed="false">
      <c r="A206" s="2" t="n">
        <v>199</v>
      </c>
      <c r="B206" s="21" t="n">
        <v>-0.03028209</v>
      </c>
      <c r="C206" s="21" t="n">
        <v>-0.04339465</v>
      </c>
      <c r="D206" s="22" t="n">
        <f aca="false">B206*C206</f>
        <v>0.0013140806968185</v>
      </c>
      <c r="E206" s="22" t="n">
        <f aca="false">B206^2</f>
        <v>0.0009170049747681</v>
      </c>
      <c r="F206" s="22" t="n">
        <f aca="false">C206^2</f>
        <v>0.0018830956486225</v>
      </c>
    </row>
    <row r="207" customFormat="false" ht="15" hidden="false" customHeight="false" outlineLevel="0" collapsed="false">
      <c r="A207" s="2" t="n">
        <v>200</v>
      </c>
      <c r="B207" s="21" t="n">
        <v>-0.00711691</v>
      </c>
      <c r="C207" s="21" t="n">
        <v>-0.05020516</v>
      </c>
      <c r="D207" s="22" t="n">
        <f aca="false">B207*C207</f>
        <v>0.0003573056052556</v>
      </c>
      <c r="E207" s="22" t="n">
        <f aca="false">B207^2</f>
        <v>5.06504079481E-005</v>
      </c>
      <c r="F207" s="22" t="n">
        <f aca="false">C207^2</f>
        <v>0.0025205580906256</v>
      </c>
    </row>
    <row r="208" customFormat="false" ht="15" hidden="false" customHeight="false" outlineLevel="0" collapsed="false">
      <c r="A208" s="2" t="n">
        <v>201</v>
      </c>
      <c r="B208" s="21" t="n">
        <v>-0.05649141</v>
      </c>
      <c r="C208" s="21" t="n">
        <v>-0.13134098</v>
      </c>
      <c r="D208" s="22" t="n">
        <f aca="false">B208*C208</f>
        <v>0.0074196371509818</v>
      </c>
      <c r="E208" s="22" t="n">
        <f aca="false">B208^2</f>
        <v>0.0031912794037881</v>
      </c>
      <c r="F208" s="22" t="n">
        <f aca="false">C208^2</f>
        <v>0.0172504530273604</v>
      </c>
    </row>
    <row r="209" customFormat="false" ht="15" hidden="false" customHeight="false" outlineLevel="0" collapsed="false">
      <c r="A209" s="2" t="n">
        <v>202</v>
      </c>
      <c r="B209" s="21" t="n">
        <v>-0.00817312</v>
      </c>
      <c r="C209" s="21" t="n">
        <v>-0.00280819</v>
      </c>
      <c r="D209" s="22" t="n">
        <f aca="false">B209*C209</f>
        <v>2.29516738528E-005</v>
      </c>
      <c r="E209" s="22" t="n">
        <f aca="false">B209^2</f>
        <v>6.67998905344E-005</v>
      </c>
      <c r="F209" s="22" t="n">
        <f aca="false">C209^2</f>
        <v>7.8859310761E-006</v>
      </c>
    </row>
    <row r="210" customFormat="false" ht="15" hidden="false" customHeight="false" outlineLevel="0" collapsed="false">
      <c r="A210" s="2" t="n">
        <v>203</v>
      </c>
      <c r="B210" s="21" t="n">
        <v>-0.03788829</v>
      </c>
      <c r="C210" s="21" t="n">
        <v>-0.00834501</v>
      </c>
      <c r="D210" s="22" t="n">
        <f aca="false">B210*C210</f>
        <v>0.0003161781589329</v>
      </c>
      <c r="E210" s="22" t="n">
        <f aca="false">B210^2</f>
        <v>0.0014355225191241</v>
      </c>
      <c r="F210" s="22" t="n">
        <f aca="false">C210^2</f>
        <v>6.96391919001E-005</v>
      </c>
    </row>
    <row r="211" customFormat="false" ht="15" hidden="false" customHeight="false" outlineLevel="0" collapsed="false">
      <c r="A211" s="2" t="n">
        <v>204</v>
      </c>
      <c r="B211" s="21" t="n">
        <v>-0.07183091</v>
      </c>
      <c r="C211" s="21" t="n">
        <v>-0.01458457</v>
      </c>
      <c r="D211" s="22" t="n">
        <f aca="false">B211*C211</f>
        <v>0.0010476229350587</v>
      </c>
      <c r="E211" s="22" t="n">
        <f aca="false">B211^2</f>
        <v>0.0051596796314281</v>
      </c>
      <c r="F211" s="22" t="n">
        <f aca="false">C211^2</f>
        <v>0.0002127096820849</v>
      </c>
    </row>
    <row r="212" customFormat="false" ht="15" hidden="false" customHeight="false" outlineLevel="0" collapsed="false">
      <c r="A212" s="2" t="n">
        <v>205</v>
      </c>
      <c r="B212" s="21" t="n">
        <v>-0.08259884</v>
      </c>
      <c r="C212" s="21" t="n">
        <v>-0.03475597</v>
      </c>
      <c r="D212" s="22" t="n">
        <f aca="false">B212*C212</f>
        <v>0.0028708028050748</v>
      </c>
      <c r="E212" s="22" t="n">
        <f aca="false">B212^2</f>
        <v>0.0068225683693456</v>
      </c>
      <c r="F212" s="22" t="n">
        <f aca="false">C212^2</f>
        <v>0.0012079774506409</v>
      </c>
    </row>
    <row r="213" customFormat="false" ht="15" hidden="false" customHeight="false" outlineLevel="0" collapsed="false">
      <c r="A213" s="2" t="n">
        <v>206</v>
      </c>
      <c r="B213" s="21" t="n">
        <v>-0.08734687</v>
      </c>
      <c r="C213" s="21" t="n">
        <v>-0.00668045</v>
      </c>
      <c r="D213" s="22" t="n">
        <f aca="false">B213*C213</f>
        <v>0.0005835163976915</v>
      </c>
      <c r="E213" s="22" t="n">
        <f aca="false">B213^2</f>
        <v>0.0076294756987969</v>
      </c>
      <c r="F213" s="22" t="n">
        <f aca="false">C213^2</f>
        <v>4.46284122025E-005</v>
      </c>
    </row>
    <row r="214" customFormat="false" ht="15" hidden="false" customHeight="false" outlineLevel="0" collapsed="false">
      <c r="A214" s="2" t="n">
        <v>207</v>
      </c>
      <c r="B214" s="21" t="n">
        <v>0.05670115</v>
      </c>
      <c r="C214" s="21" t="n">
        <v>0.11687877</v>
      </c>
      <c r="D214" s="22" t="n">
        <f aca="false">B214*C214</f>
        <v>0.0066271606695855</v>
      </c>
      <c r="E214" s="22" t="n">
        <f aca="false">B214^2</f>
        <v>0.0032150204113225</v>
      </c>
      <c r="F214" s="22" t="n">
        <f aca="false">C214^2</f>
        <v>0.0136606468767129</v>
      </c>
    </row>
    <row r="215" customFormat="false" ht="15" hidden="false" customHeight="false" outlineLevel="0" collapsed="false">
      <c r="A215" s="2" t="n">
        <v>208</v>
      </c>
      <c r="B215" s="21" t="n">
        <v>-0.06541865</v>
      </c>
      <c r="C215" s="21" t="n">
        <v>-0.05408582</v>
      </c>
      <c r="D215" s="22" t="n">
        <f aca="false">B215*C215</f>
        <v>0.003538221328543</v>
      </c>
      <c r="E215" s="22" t="n">
        <f aca="false">B215^2</f>
        <v>0.0042795997678225</v>
      </c>
      <c r="F215" s="22" t="n">
        <f aca="false">C215^2</f>
        <v>0.0029252759250724</v>
      </c>
    </row>
    <row r="216" customFormat="false" ht="15" hidden="false" customHeight="false" outlineLevel="0" collapsed="false">
      <c r="A216" s="2" t="n">
        <v>209</v>
      </c>
      <c r="B216" s="21" t="n">
        <v>0.0399892</v>
      </c>
      <c r="C216" s="21" t="n">
        <v>-0.00198038</v>
      </c>
      <c r="D216" s="22" t="n">
        <f aca="false">B216*C216</f>
        <v>-7.9193811896E-005</v>
      </c>
      <c r="E216" s="22" t="n">
        <f aca="false">B216^2</f>
        <v>0.00159913611664</v>
      </c>
      <c r="F216" s="22" t="n">
        <f aca="false">C216^2</f>
        <v>3.9219049444E-006</v>
      </c>
    </row>
    <row r="217" customFormat="false" ht="15" hidden="false" customHeight="false" outlineLevel="0" collapsed="false">
      <c r="A217" s="2" t="n">
        <v>210</v>
      </c>
      <c r="B217" s="21" t="n">
        <v>0.01729924</v>
      </c>
      <c r="C217" s="21" t="n">
        <v>-0.02674602</v>
      </c>
      <c r="D217" s="22" t="n">
        <f aca="false">B217*C217</f>
        <v>-0.0004626858190248</v>
      </c>
      <c r="E217" s="22" t="n">
        <f aca="false">B217^2</f>
        <v>0.0002992637045776</v>
      </c>
      <c r="F217" s="22" t="n">
        <f aca="false">C217^2</f>
        <v>0.0007153495858404</v>
      </c>
    </row>
    <row r="218" customFormat="false" ht="15" hidden="false" customHeight="false" outlineLevel="0" collapsed="false">
      <c r="A218" s="2" t="n">
        <v>211</v>
      </c>
      <c r="B218" s="21" t="n">
        <v>-0.03426874</v>
      </c>
      <c r="C218" s="21" t="n">
        <v>-0.06511282</v>
      </c>
      <c r="D218" s="22" t="n">
        <f aca="false">B218*C218</f>
        <v>0.0022313342992468</v>
      </c>
      <c r="E218" s="22" t="n">
        <f aca="false">B218^2</f>
        <v>0.0011743465411876</v>
      </c>
      <c r="F218" s="22" t="n">
        <f aca="false">C218^2</f>
        <v>0.0042396793283524</v>
      </c>
    </row>
    <row r="219" customFormat="false" ht="15" hidden="false" customHeight="false" outlineLevel="0" collapsed="false">
      <c r="A219" s="2" t="n">
        <v>212</v>
      </c>
      <c r="B219" s="21" t="n">
        <v>-0.11800905</v>
      </c>
      <c r="C219" s="21" t="n">
        <v>-0.11421362</v>
      </c>
      <c r="D219" s="22" t="n">
        <f aca="false">B219*C219</f>
        <v>0.013478240793261</v>
      </c>
      <c r="E219" s="22" t="n">
        <f aca="false">B219^2</f>
        <v>0.0139261358819025</v>
      </c>
      <c r="F219" s="22" t="n">
        <f aca="false">C219^2</f>
        <v>0.0130447509935044</v>
      </c>
    </row>
    <row r="220" customFormat="false" ht="15" hidden="false" customHeight="false" outlineLevel="0" collapsed="false">
      <c r="A220" s="2" t="n">
        <v>213</v>
      </c>
      <c r="B220" s="21" t="n">
        <v>0.0233095</v>
      </c>
      <c r="C220" s="21" t="n">
        <v>0.02678066</v>
      </c>
      <c r="D220" s="22" t="n">
        <f aca="false">B220*C220</f>
        <v>0.00062424379427</v>
      </c>
      <c r="E220" s="22" t="n">
        <f aca="false">B220^2</f>
        <v>0.00054333279025</v>
      </c>
      <c r="F220" s="22" t="n">
        <f aca="false">C220^2</f>
        <v>0.0007172037500356</v>
      </c>
    </row>
    <row r="221" customFormat="false" ht="15" hidden="false" customHeight="false" outlineLevel="0" collapsed="false">
      <c r="A221" s="2" t="n">
        <v>214</v>
      </c>
      <c r="B221" s="21" t="n">
        <v>-0.01179272</v>
      </c>
      <c r="C221" s="21" t="n">
        <v>-0.04764728</v>
      </c>
      <c r="D221" s="22" t="n">
        <f aca="false">B221*C221</f>
        <v>0.0005618910318016</v>
      </c>
      <c r="E221" s="22" t="n">
        <f aca="false">B221^2</f>
        <v>0.0001390682449984</v>
      </c>
      <c r="F221" s="22" t="n">
        <f aca="false">C221^2</f>
        <v>0.0022702632913984</v>
      </c>
    </row>
    <row r="222" customFormat="false" ht="15" hidden="false" customHeight="false" outlineLevel="0" collapsed="false">
      <c r="A222" s="2" t="n">
        <v>215</v>
      </c>
      <c r="B222" s="21" t="n">
        <v>0.02564149</v>
      </c>
      <c r="C222" s="21" t="n">
        <v>0.02914552</v>
      </c>
      <c r="D222" s="22" t="n">
        <f aca="false">B222*C222</f>
        <v>0.0007473345596248</v>
      </c>
      <c r="E222" s="22" t="n">
        <f aca="false">B222^2</f>
        <v>0.0006574860094201</v>
      </c>
      <c r="F222" s="22" t="n">
        <f aca="false">C222^2</f>
        <v>0.0008494613360704</v>
      </c>
    </row>
    <row r="223" customFormat="false" ht="15" hidden="false" customHeight="false" outlineLevel="0" collapsed="false">
      <c r="A223" s="2" t="n">
        <v>216</v>
      </c>
      <c r="B223" s="21" t="n">
        <v>-0.00142297</v>
      </c>
      <c r="C223" s="21" t="n">
        <v>-0.01675193</v>
      </c>
      <c r="D223" s="22" t="n">
        <f aca="false">B223*C223</f>
        <v>2.38374938321E-005</v>
      </c>
      <c r="E223" s="22" t="n">
        <f aca="false">B223^2</f>
        <v>2.0248436209E-006</v>
      </c>
      <c r="F223" s="22" t="n">
        <f aca="false">C223^2</f>
        <v>0.0002806271587249</v>
      </c>
    </row>
    <row r="224" customFormat="false" ht="15" hidden="false" customHeight="false" outlineLevel="0" collapsed="false">
      <c r="A224" s="2" t="n">
        <v>217</v>
      </c>
      <c r="B224" s="21" t="n">
        <v>0.09301147</v>
      </c>
      <c r="C224" s="21" t="n">
        <v>0.0819124</v>
      </c>
      <c r="D224" s="22" t="n">
        <f aca="false">B224*C224</f>
        <v>0.007618792735228</v>
      </c>
      <c r="E224" s="22" t="n">
        <f aca="false">B224^2</f>
        <v>0.0086511335515609</v>
      </c>
      <c r="F224" s="22" t="n">
        <f aca="false">C224^2</f>
        <v>0.00670964127376</v>
      </c>
    </row>
    <row r="225" customFormat="false" ht="15" hidden="false" customHeight="false" outlineLevel="0" collapsed="false">
      <c r="A225" s="2" t="n">
        <v>218</v>
      </c>
      <c r="B225" s="21" t="n">
        <v>-0.0441017</v>
      </c>
      <c r="C225" s="21" t="n">
        <v>0.0183134</v>
      </c>
      <c r="D225" s="22" t="n">
        <f aca="false">B225*C225</f>
        <v>-0.00080765207278</v>
      </c>
      <c r="E225" s="22" t="n">
        <f aca="false">B225^2</f>
        <v>0.00194495994289</v>
      </c>
      <c r="F225" s="22" t="n">
        <f aca="false">C225^2</f>
        <v>0.00033538061956</v>
      </c>
    </row>
    <row r="226" customFormat="false" ht="15" hidden="false" customHeight="false" outlineLevel="0" collapsed="false">
      <c r="A226" s="2" t="n">
        <v>219</v>
      </c>
      <c r="B226" s="21" t="n">
        <v>-0.04484379</v>
      </c>
      <c r="C226" s="21" t="n">
        <v>-0.0413479</v>
      </c>
      <c r="D226" s="22" t="n">
        <f aca="false">B226*C226</f>
        <v>0.001854196544541</v>
      </c>
      <c r="E226" s="22" t="n">
        <f aca="false">B226^2</f>
        <v>0.0020109655015641</v>
      </c>
      <c r="F226" s="22" t="n">
        <f aca="false">C226^2</f>
        <v>0.00170964883441</v>
      </c>
    </row>
    <row r="227" customFormat="false" ht="15" hidden="false" customHeight="false" outlineLevel="0" collapsed="false">
      <c r="A227" s="2" t="n">
        <v>220</v>
      </c>
      <c r="B227" s="21" t="n">
        <v>-0.02062818</v>
      </c>
      <c r="C227" s="21" t="n">
        <v>-0.04339919</v>
      </c>
      <c r="D227" s="22" t="n">
        <f aca="false">B227*C227</f>
        <v>0.0008952463031742</v>
      </c>
      <c r="E227" s="22" t="n">
        <f aca="false">B227^2</f>
        <v>0.0004255218101124</v>
      </c>
      <c r="F227" s="22" t="n">
        <f aca="false">C227^2</f>
        <v>0.0018834896926561</v>
      </c>
    </row>
    <row r="228" customFormat="false" ht="15" hidden="false" customHeight="false" outlineLevel="0" collapsed="false">
      <c r="A228" s="2" t="n">
        <v>221</v>
      </c>
      <c r="B228" s="21" t="n">
        <v>-0.03893016</v>
      </c>
      <c r="C228" s="21" t="n">
        <v>-0.05222192</v>
      </c>
      <c r="D228" s="22" t="n">
        <f aca="false">B228*C228</f>
        <v>0.0020330077011072</v>
      </c>
      <c r="E228" s="22" t="n">
        <f aca="false">B228^2</f>
        <v>0.0015155573576256</v>
      </c>
      <c r="F228" s="22" t="n">
        <f aca="false">C228^2</f>
        <v>0.0027271289284864</v>
      </c>
    </row>
    <row r="229" customFormat="false" ht="15" hidden="false" customHeight="false" outlineLevel="0" collapsed="false">
      <c r="A229" s="2" t="n">
        <v>222</v>
      </c>
      <c r="B229" s="21" t="n">
        <v>0.0163076</v>
      </c>
      <c r="C229" s="21" t="n">
        <v>0.01192972</v>
      </c>
      <c r="D229" s="22" t="n">
        <f aca="false">B229*C229</f>
        <v>0.000194545101872</v>
      </c>
      <c r="E229" s="22" t="n">
        <f aca="false">B229^2</f>
        <v>0.00026593781776</v>
      </c>
      <c r="F229" s="22" t="n">
        <f aca="false">C229^2</f>
        <v>0.0001423182192784</v>
      </c>
    </row>
    <row r="230" customFormat="false" ht="15" hidden="false" customHeight="false" outlineLevel="0" collapsed="false">
      <c r="A230" s="2" t="n">
        <v>223</v>
      </c>
      <c r="B230" s="21" t="n">
        <v>-0.01455444</v>
      </c>
      <c r="C230" s="21" t="n">
        <v>-0.01264504</v>
      </c>
      <c r="D230" s="22" t="n">
        <f aca="false">B230*C230</f>
        <v>0.0001840414759776</v>
      </c>
      <c r="E230" s="22" t="n">
        <f aca="false">B230^2</f>
        <v>0.0002118317237136</v>
      </c>
      <c r="F230" s="22" t="n">
        <f aca="false">C230^2</f>
        <v>0.0001598970366016</v>
      </c>
    </row>
    <row r="231" customFormat="false" ht="15" hidden="false" customHeight="false" outlineLevel="0" collapsed="false">
      <c r="A231" s="2" t="n">
        <v>224</v>
      </c>
      <c r="B231" s="21" t="n">
        <v>0</v>
      </c>
      <c r="C231" s="21" t="n">
        <v>0</v>
      </c>
      <c r="D231" s="22" t="n">
        <f aca="false">B231*C231</f>
        <v>0</v>
      </c>
      <c r="E231" s="22" t="n">
        <f aca="false">B231^2</f>
        <v>0</v>
      </c>
      <c r="F231" s="22" t="n">
        <f aca="false">C231^2</f>
        <v>0</v>
      </c>
    </row>
    <row r="232" customFormat="false" ht="15" hidden="false" customHeight="false" outlineLevel="0" collapsed="false">
      <c r="A232" s="2" t="n">
        <v>225</v>
      </c>
      <c r="B232" s="21" t="n">
        <v>-0.00168978</v>
      </c>
      <c r="C232" s="21" t="n">
        <v>-0.03737731</v>
      </c>
      <c r="D232" s="22" t="n">
        <f aca="false">B232*C232</f>
        <v>6.31594308918E-005</v>
      </c>
      <c r="E232" s="22" t="n">
        <f aca="false">B232^2</f>
        <v>2.8553564484E-006</v>
      </c>
      <c r="F232" s="22" t="n">
        <f aca="false">C232^2</f>
        <v>0.0013970633028361</v>
      </c>
    </row>
    <row r="233" customFormat="false" ht="15" hidden="false" customHeight="false" outlineLevel="0" collapsed="false">
      <c r="A233" s="2" t="n">
        <v>226</v>
      </c>
      <c r="B233" s="21" t="n">
        <v>0.02135609</v>
      </c>
      <c r="C233" s="21" t="n">
        <v>0.00013061</v>
      </c>
      <c r="D233" s="22" t="n">
        <f aca="false">B233*C233</f>
        <v>2.7893189149E-006</v>
      </c>
      <c r="E233" s="22" t="n">
        <f aca="false">B233^2</f>
        <v>0.0004560825800881</v>
      </c>
      <c r="F233" s="22" t="n">
        <f aca="false">C233^2</f>
        <v>1.70589721E-008</v>
      </c>
    </row>
    <row r="234" customFormat="false" ht="15" hidden="false" customHeight="false" outlineLevel="0" collapsed="false">
      <c r="A234" s="2" t="n">
        <v>227</v>
      </c>
      <c r="B234" s="21" t="n">
        <v>-0.09395153</v>
      </c>
      <c r="C234" s="21" t="n">
        <v>-0.04559898</v>
      </c>
      <c r="D234" s="22" t="n">
        <f aca="false">B234*C234</f>
        <v>0.0042840939374394</v>
      </c>
      <c r="E234" s="22" t="n">
        <f aca="false">B234^2</f>
        <v>0.0088268899893409</v>
      </c>
      <c r="F234" s="22" t="n">
        <f aca="false">C234^2</f>
        <v>0.0020792669770404</v>
      </c>
    </row>
    <row r="235" customFormat="false" ht="15" hidden="false" customHeight="false" outlineLevel="0" collapsed="false">
      <c r="A235" s="2" t="n">
        <v>228</v>
      </c>
      <c r="B235" s="21" t="n">
        <v>0.09279864</v>
      </c>
      <c r="C235" s="21" t="n">
        <v>0.08035181</v>
      </c>
      <c r="D235" s="22" t="n">
        <f aca="false">B235*C235</f>
        <v>0.0074565386895384</v>
      </c>
      <c r="E235" s="22" t="n">
        <f aca="false">B235^2</f>
        <v>0.0086115875858496</v>
      </c>
      <c r="F235" s="22" t="n">
        <f aca="false">C235^2</f>
        <v>0.0064564133702761</v>
      </c>
    </row>
    <row r="236" customFormat="false" ht="15" hidden="false" customHeight="false" outlineLevel="0" collapsed="false">
      <c r="A236" s="2" t="n">
        <v>229</v>
      </c>
      <c r="B236" s="21" t="n">
        <v>0.02875048</v>
      </c>
      <c r="C236" s="21" t="n">
        <v>-0.05776034</v>
      </c>
      <c r="D236" s="22" t="n">
        <f aca="false">B236*C236</f>
        <v>-0.0016606374999632</v>
      </c>
      <c r="E236" s="22" t="n">
        <f aca="false">B236^2</f>
        <v>0.0008265901002304</v>
      </c>
      <c r="F236" s="22" t="n">
        <f aca="false">C236^2</f>
        <v>0.0033362568769156</v>
      </c>
    </row>
    <row r="237" customFormat="false" ht="15" hidden="false" customHeight="false" outlineLevel="0" collapsed="false">
      <c r="A237" s="2" t="n">
        <v>230</v>
      </c>
      <c r="B237" s="21" t="n">
        <v>0.00126158</v>
      </c>
      <c r="C237" s="21" t="n">
        <v>-0.02782123</v>
      </c>
      <c r="D237" s="22" t="n">
        <f aca="false">B237*C237</f>
        <v>-3.50987073434E-005</v>
      </c>
      <c r="E237" s="22" t="n">
        <f aca="false">B237^2</f>
        <v>1.5915840964E-006</v>
      </c>
      <c r="F237" s="22" t="n">
        <f aca="false">C237^2</f>
        <v>0.0007740208387129</v>
      </c>
    </row>
    <row r="238" customFormat="false" ht="15" hidden="false" customHeight="false" outlineLevel="0" collapsed="false">
      <c r="A238" s="2" t="n">
        <v>231</v>
      </c>
      <c r="B238" s="21" t="n">
        <v>0.00815795</v>
      </c>
      <c r="C238" s="21" t="n">
        <v>0.00711777</v>
      </c>
      <c r="D238" s="22" t="n">
        <f aca="false">B238*C238</f>
        <v>5.80664117715E-005</v>
      </c>
      <c r="E238" s="22" t="n">
        <f aca="false">B238^2</f>
        <v>6.65521482025E-005</v>
      </c>
      <c r="F238" s="22" t="n">
        <f aca="false">C238^2</f>
        <v>5.06626497729E-005</v>
      </c>
    </row>
    <row r="239" customFormat="false" ht="15" hidden="false" customHeight="false" outlineLevel="0" collapsed="false">
      <c r="A239" s="2" t="n">
        <v>232</v>
      </c>
      <c r="B239" s="21" t="n">
        <v>0.05184728</v>
      </c>
      <c r="C239" s="21" t="n">
        <v>0.01127873</v>
      </c>
      <c r="D239" s="22" t="n">
        <f aca="false">B239*C239</f>
        <v>0.0005847714723544</v>
      </c>
      <c r="E239" s="22" t="n">
        <f aca="false">B239^2</f>
        <v>0.0026881404433984</v>
      </c>
      <c r="F239" s="22" t="n">
        <f aca="false">C239^2</f>
        <v>0.0001272097504129</v>
      </c>
    </row>
    <row r="240" customFormat="false" ht="15" hidden="false" customHeight="false" outlineLevel="0" collapsed="false">
      <c r="A240" s="2" t="n">
        <v>233</v>
      </c>
      <c r="B240" s="21" t="n">
        <v>0.04033529</v>
      </c>
      <c r="C240" s="21" t="n">
        <v>-0.00774076</v>
      </c>
      <c r="D240" s="22" t="n">
        <f aca="false">B240*C240</f>
        <v>-0.0003122257994204</v>
      </c>
      <c r="E240" s="22" t="n">
        <f aca="false">B240^2</f>
        <v>0.0016269356193841</v>
      </c>
      <c r="F240" s="22" t="n">
        <f aca="false">C240^2</f>
        <v>5.99193653776E-005</v>
      </c>
    </row>
    <row r="241" customFormat="false" ht="15" hidden="false" customHeight="false" outlineLevel="0" collapsed="false">
      <c r="A241" s="2" t="n">
        <v>234</v>
      </c>
      <c r="B241" s="21" t="n">
        <v>-0.12515654</v>
      </c>
      <c r="C241" s="21" t="n">
        <v>-0.05901581</v>
      </c>
      <c r="D241" s="22" t="n">
        <f aca="false">B241*C241</f>
        <v>0.0073862145848974</v>
      </c>
      <c r="E241" s="22" t="n">
        <f aca="false">B241^2</f>
        <v>0.0156641595047716</v>
      </c>
      <c r="F241" s="22" t="n">
        <f aca="false">C241^2</f>
        <v>0.0034828658299561</v>
      </c>
    </row>
    <row r="242" customFormat="false" ht="15" hidden="false" customHeight="false" outlineLevel="0" collapsed="false">
      <c r="A242" s="2" t="n">
        <v>235</v>
      </c>
      <c r="B242" s="21" t="n">
        <v>-0.04493491</v>
      </c>
      <c r="C242" s="21" t="n">
        <v>-0.06126234</v>
      </c>
      <c r="D242" s="22" t="n">
        <f aca="false">B242*C242</f>
        <v>0.0027528177342894</v>
      </c>
      <c r="E242" s="22" t="n">
        <f aca="false">B242^2</f>
        <v>0.0020191461367081</v>
      </c>
      <c r="F242" s="22" t="n">
        <f aca="false">C242^2</f>
        <v>0.0037530743022756</v>
      </c>
    </row>
    <row r="243" customFormat="false" ht="15" hidden="false" customHeight="false" outlineLevel="0" collapsed="false">
      <c r="A243" s="2" t="n">
        <v>236</v>
      </c>
      <c r="B243" s="21" t="n">
        <v>-0.04734865</v>
      </c>
      <c r="C243" s="21" t="n">
        <v>-0.06334543</v>
      </c>
      <c r="D243" s="22" t="n">
        <f aca="false">B243*C243</f>
        <v>0.0029993205941695</v>
      </c>
      <c r="E243" s="22" t="n">
        <f aca="false">B243^2</f>
        <v>0.0022418946568225</v>
      </c>
      <c r="F243" s="22" t="n">
        <f aca="false">C243^2</f>
        <v>0.0040126435018849</v>
      </c>
    </row>
    <row r="244" customFormat="false" ht="15" hidden="false" customHeight="false" outlineLevel="0" collapsed="false">
      <c r="A244" s="2" t="n">
        <v>237</v>
      </c>
      <c r="B244" s="21" t="n">
        <v>-0.04894427</v>
      </c>
      <c r="C244" s="21" t="n">
        <v>-0.00926501</v>
      </c>
      <c r="D244" s="22" t="n">
        <f aca="false">B244*C244</f>
        <v>0.0004534691509927</v>
      </c>
      <c r="E244" s="22" t="n">
        <f aca="false">B244^2</f>
        <v>0.0023955415658329</v>
      </c>
      <c r="F244" s="22" t="n">
        <f aca="false">C244^2</f>
        <v>8.58404103001E-005</v>
      </c>
    </row>
    <row r="245" customFormat="false" ht="15" hidden="false" customHeight="false" outlineLevel="0" collapsed="false">
      <c r="A245" s="2" t="n">
        <v>238</v>
      </c>
      <c r="B245" s="21" t="n">
        <v>0.04730759</v>
      </c>
      <c r="C245" s="21" t="n">
        <v>-0.02806115</v>
      </c>
      <c r="D245" s="22" t="n">
        <f aca="false">B245*C245</f>
        <v>-0.0013275053791285</v>
      </c>
      <c r="E245" s="22" t="n">
        <f aca="false">B245^2</f>
        <v>0.0022380080716081</v>
      </c>
      <c r="F245" s="22" t="n">
        <f aca="false">C245^2</f>
        <v>0.0007874281393225</v>
      </c>
    </row>
    <row r="246" customFormat="false" ht="15" hidden="false" customHeight="false" outlineLevel="0" collapsed="false">
      <c r="A246" s="2" t="n">
        <v>239</v>
      </c>
      <c r="B246" s="21" t="n">
        <v>0.02930835</v>
      </c>
      <c r="C246" s="21" t="n">
        <v>0.0313897</v>
      </c>
      <c r="D246" s="22" t="n">
        <f aca="false">B246*C246</f>
        <v>0.000919980313995</v>
      </c>
      <c r="E246" s="22" t="n">
        <f aca="false">B246^2</f>
        <v>0.0008589793797225</v>
      </c>
      <c r="F246" s="22" t="n">
        <f aca="false">C246^2</f>
        <v>0.00098531326609</v>
      </c>
    </row>
    <row r="247" customFormat="false" ht="15" hidden="false" customHeight="false" outlineLevel="0" collapsed="false">
      <c r="A247" s="2" t="n">
        <v>240</v>
      </c>
      <c r="B247" s="21" t="n">
        <v>-0.03104818</v>
      </c>
      <c r="C247" s="21" t="n">
        <v>-0.05706826</v>
      </c>
      <c r="D247" s="22" t="n">
        <f aca="false">B247*C247</f>
        <v>0.0017718656087668</v>
      </c>
      <c r="E247" s="22" t="n">
        <f aca="false">B247^2</f>
        <v>0.0009639894813124</v>
      </c>
      <c r="F247" s="22" t="n">
        <f aca="false">C247^2</f>
        <v>0.0032567862994276</v>
      </c>
    </row>
    <row r="248" customFormat="false" ht="15" hidden="false" customHeight="false" outlineLevel="0" collapsed="false">
      <c r="A248" s="2" t="n">
        <v>241</v>
      </c>
      <c r="B248" s="21" t="n">
        <v>-0.08694139</v>
      </c>
      <c r="C248" s="21" t="n">
        <v>-0.03932135</v>
      </c>
      <c r="D248" s="22" t="n">
        <f aca="false">B248*C248</f>
        <v>0.0034186528256765</v>
      </c>
      <c r="E248" s="22" t="n">
        <f aca="false">B248^2</f>
        <v>0.0075588052951321</v>
      </c>
      <c r="F248" s="22" t="n">
        <f aca="false">C248^2</f>
        <v>0.0015461685658225</v>
      </c>
    </row>
    <row r="249" customFormat="false" ht="15" hidden="false" customHeight="false" outlineLevel="0" collapsed="false">
      <c r="A249" s="2" t="n">
        <v>242</v>
      </c>
      <c r="B249" s="21" t="n">
        <v>-0.03629634</v>
      </c>
      <c r="C249" s="21" t="n">
        <v>0.00364839</v>
      </c>
      <c r="D249" s="22" t="n">
        <f aca="false">B249*C249</f>
        <v>-0.0001324232038926</v>
      </c>
      <c r="E249" s="22" t="n">
        <f aca="false">B249^2</f>
        <v>0.0013174242973956</v>
      </c>
      <c r="F249" s="22" t="n">
        <f aca="false">C249^2</f>
        <v>1.33107495921E-005</v>
      </c>
    </row>
    <row r="250" customFormat="false" ht="15" hidden="false" customHeight="false" outlineLevel="0" collapsed="false">
      <c r="A250" s="2" t="n">
        <v>243</v>
      </c>
      <c r="B250" s="21" t="n">
        <v>-0.02122588</v>
      </c>
      <c r="C250" s="21" t="n">
        <v>-0.07278481</v>
      </c>
      <c r="D250" s="22" t="n">
        <f aca="false">B250*C250</f>
        <v>0.0015449216428828</v>
      </c>
      <c r="E250" s="22" t="n">
        <f aca="false">B250^2</f>
        <v>0.0004505379817744</v>
      </c>
      <c r="F250" s="22" t="n">
        <f aca="false">C250^2</f>
        <v>0.0052976285667361</v>
      </c>
    </row>
    <row r="251" customFormat="false" ht="15" hidden="false" customHeight="false" outlineLevel="0" collapsed="false">
      <c r="A251" s="2" t="n">
        <v>244</v>
      </c>
      <c r="B251" s="21" t="n">
        <v>-0.02540263</v>
      </c>
      <c r="C251" s="21" t="n">
        <v>0.00667767</v>
      </c>
      <c r="D251" s="22" t="n">
        <f aca="false">B251*C251</f>
        <v>-0.0001696303802721</v>
      </c>
      <c r="E251" s="22" t="n">
        <f aca="false">B251^2</f>
        <v>0.0006452936109169</v>
      </c>
      <c r="F251" s="22" t="n">
        <f aca="false">C251^2</f>
        <v>4.45912766289E-005</v>
      </c>
    </row>
    <row r="252" customFormat="false" ht="15" hidden="false" customHeight="false" outlineLevel="0" collapsed="false">
      <c r="A252" s="2" t="n">
        <v>245</v>
      </c>
      <c r="B252" s="21" t="n">
        <v>0.05198443</v>
      </c>
      <c r="C252" s="21" t="n">
        <v>0.07855529</v>
      </c>
      <c r="D252" s="22" t="n">
        <f aca="false">B252*C252</f>
        <v>0.0040836519741347</v>
      </c>
      <c r="E252" s="22" t="n">
        <f aca="false">B252^2</f>
        <v>0.0027023809624249</v>
      </c>
      <c r="F252" s="22" t="n">
        <f aca="false">C252^2</f>
        <v>0.0061709335869841</v>
      </c>
    </row>
    <row r="253" customFormat="false" ht="15" hidden="false" customHeight="false" outlineLevel="0" collapsed="false">
      <c r="A253" s="2" t="n">
        <v>246</v>
      </c>
      <c r="B253" s="21" t="n">
        <v>0.10755478</v>
      </c>
      <c r="C253" s="21" t="n">
        <v>0.08629292</v>
      </c>
      <c r="D253" s="22" t="n">
        <f aca="false">B253*C253</f>
        <v>0.0092812160261576</v>
      </c>
      <c r="E253" s="22" t="n">
        <f aca="false">B253^2</f>
        <v>0.0115680307008484</v>
      </c>
      <c r="F253" s="22" t="n">
        <f aca="false">C253^2</f>
        <v>0.0074464680421264</v>
      </c>
    </row>
    <row r="254" customFormat="false" ht="15" hidden="false" customHeight="false" outlineLevel="0" collapsed="false">
      <c r="A254" s="2" t="n">
        <v>247</v>
      </c>
      <c r="B254" s="21" t="n">
        <v>-0.08883315</v>
      </c>
      <c r="C254" s="21" t="n">
        <v>-0.08038825</v>
      </c>
      <c r="D254" s="22" t="n">
        <f aca="false">B254*C254</f>
        <v>0.0071411414704875</v>
      </c>
      <c r="E254" s="22" t="n">
        <f aca="false">B254^2</f>
        <v>0.0078913285389225</v>
      </c>
      <c r="F254" s="22" t="n">
        <f aca="false">C254^2</f>
        <v>0.0064622707380625</v>
      </c>
    </row>
    <row r="255" customFormat="false" ht="15" hidden="false" customHeight="false" outlineLevel="0" collapsed="false">
      <c r="A255" s="2" t="n">
        <v>248</v>
      </c>
      <c r="B255" s="21" t="n">
        <v>0.00581285</v>
      </c>
      <c r="C255" s="21" t="n">
        <v>-0.00620951</v>
      </c>
      <c r="D255" s="22" t="n">
        <f aca="false">B255*C255</f>
        <v>-3.60949502035E-005</v>
      </c>
      <c r="E255" s="22" t="n">
        <f aca="false">B255^2</f>
        <v>3.37892251225E-005</v>
      </c>
      <c r="F255" s="22" t="n">
        <f aca="false">C255^2</f>
        <v>3.85580144401E-005</v>
      </c>
    </row>
    <row r="256" customFormat="false" ht="15" hidden="false" customHeight="false" outlineLevel="0" collapsed="false">
      <c r="A256" s="2" t="n">
        <v>249</v>
      </c>
      <c r="B256" s="21" t="n">
        <v>-0.06360923</v>
      </c>
      <c r="C256" s="21" t="n">
        <v>-0.06712882</v>
      </c>
      <c r="D256" s="22" t="n">
        <f aca="false">B256*C256</f>
        <v>0.0042700125510086</v>
      </c>
      <c r="E256" s="22" t="n">
        <f aca="false">B256^2</f>
        <v>0.0040461341411929</v>
      </c>
      <c r="F256" s="22" t="n">
        <f aca="false">C256^2</f>
        <v>0.0045062784745924</v>
      </c>
    </row>
    <row r="257" customFormat="false" ht="15" hidden="false" customHeight="false" outlineLevel="0" collapsed="false">
      <c r="A257" s="2" t="n">
        <v>250</v>
      </c>
      <c r="B257" s="21" t="n">
        <v>0.020999</v>
      </c>
      <c r="C257" s="21" t="n">
        <v>0.03425854</v>
      </c>
      <c r="D257" s="22" t="n">
        <f aca="false">B257*C257</f>
        <v>0.00071939508146</v>
      </c>
      <c r="E257" s="22" t="n">
        <f aca="false">B257^2</f>
        <v>0.000440958001</v>
      </c>
      <c r="F257" s="22" t="n">
        <f aca="false">C257^2</f>
        <v>0.0011736475629316</v>
      </c>
    </row>
    <row r="258" customFormat="false" ht="15" hidden="false" customHeight="false" outlineLevel="0" collapsed="false">
      <c r="A258" s="2" t="n">
        <v>251</v>
      </c>
      <c r="B258" s="21" t="n">
        <v>-0.01882354</v>
      </c>
      <c r="C258" s="21" t="n">
        <v>-0.01442326</v>
      </c>
      <c r="D258" s="22" t="n">
        <f aca="false">B258*C258</f>
        <v>0.0002714968115404</v>
      </c>
      <c r="E258" s="22" t="n">
        <f aca="false">B258^2</f>
        <v>0.0003543256581316</v>
      </c>
      <c r="F258" s="22" t="n">
        <f aca="false">C258^2</f>
        <v>0.0002080304290276</v>
      </c>
    </row>
    <row r="259" customFormat="false" ht="15" hidden="false" customHeight="false" outlineLevel="0" collapsed="false">
      <c r="A259" s="2" t="n">
        <v>252</v>
      </c>
      <c r="B259" s="21" t="n">
        <v>0.01478634</v>
      </c>
      <c r="C259" s="21" t="n">
        <v>0.00772244</v>
      </c>
      <c r="D259" s="22" t="n">
        <f aca="false">B259*C259</f>
        <v>0.0001141866234696</v>
      </c>
      <c r="E259" s="22" t="n">
        <f aca="false">B259^2</f>
        <v>0.0002186358505956</v>
      </c>
      <c r="F259" s="22" t="n">
        <f aca="false">C259^2</f>
        <v>5.96360795536E-005</v>
      </c>
    </row>
    <row r="260" customFormat="false" ht="15" hidden="false" customHeight="false" outlineLevel="0" collapsed="false">
      <c r="A260" s="2" t="n">
        <v>253</v>
      </c>
      <c r="B260" s="21" t="n">
        <v>0.07435225</v>
      </c>
      <c r="C260" s="21" t="n">
        <v>0.08108962</v>
      </c>
      <c r="D260" s="22" t="n">
        <f aca="false">B260*C260</f>
        <v>0.006029195698645</v>
      </c>
      <c r="E260" s="22" t="n">
        <f aca="false">B260^2</f>
        <v>0.0055282570800625</v>
      </c>
      <c r="F260" s="22" t="n">
        <f aca="false">C260^2</f>
        <v>0.0065755264717444</v>
      </c>
    </row>
    <row r="261" customFormat="false" ht="15" hidden="false" customHeight="false" outlineLevel="0" collapsed="false">
      <c r="A261" s="2" t="n">
        <v>254</v>
      </c>
      <c r="B261" s="21" t="n">
        <v>0.10734801</v>
      </c>
      <c r="C261" s="21" t="n">
        <v>0.04528423</v>
      </c>
      <c r="D261" s="22" t="n">
        <f aca="false">B261*C261</f>
        <v>0.0048611719748823</v>
      </c>
      <c r="E261" s="22" t="n">
        <f aca="false">B261^2</f>
        <v>0.0115235952509601</v>
      </c>
      <c r="F261" s="22" t="n">
        <f aca="false">C261^2</f>
        <v>0.0020506614866929</v>
      </c>
    </row>
    <row r="262" customFormat="false" ht="15" hidden="false" customHeight="false" outlineLevel="0" collapsed="false">
      <c r="A262" s="2" t="n">
        <v>255</v>
      </c>
      <c r="B262" s="21" t="n">
        <v>0.09391155</v>
      </c>
      <c r="C262" s="21" t="n">
        <v>0.06943535</v>
      </c>
      <c r="D262" s="22" t="n">
        <f aca="false">B262*C262</f>
        <v>0.0065207813432925</v>
      </c>
      <c r="E262" s="22" t="n">
        <f aca="false">B262^2</f>
        <v>0.0088193792234025</v>
      </c>
      <c r="F262" s="22" t="n">
        <f aca="false">C262^2</f>
        <v>0.0048212678296225</v>
      </c>
    </row>
    <row r="263" customFormat="false" ht="15" hidden="false" customHeight="false" outlineLevel="0" collapsed="false">
      <c r="A263" s="2" t="n">
        <v>256</v>
      </c>
      <c r="B263" s="21" t="n">
        <v>-0.08009577</v>
      </c>
      <c r="C263" s="21" t="n">
        <v>-0.01195332</v>
      </c>
      <c r="D263" s="22" t="n">
        <f aca="false">B263*C263</f>
        <v>0.0009574103694564</v>
      </c>
      <c r="E263" s="22" t="n">
        <f aca="false">B263^2</f>
        <v>0.0064153323718929</v>
      </c>
      <c r="F263" s="22" t="n">
        <f aca="false">C263^2</f>
        <v>0.0001428818590224</v>
      </c>
    </row>
    <row r="264" customFormat="false" ht="15" hidden="false" customHeight="false" outlineLevel="0" collapsed="false">
      <c r="A264" s="2" t="n">
        <v>257</v>
      </c>
      <c r="B264" s="21" t="n">
        <v>-0.01119831</v>
      </c>
      <c r="C264" s="21" t="n">
        <v>-0.05131656</v>
      </c>
      <c r="D264" s="22" t="n">
        <f aca="false">B264*C264</f>
        <v>0.0005746587470136</v>
      </c>
      <c r="E264" s="22" t="n">
        <f aca="false">B264^2</f>
        <v>0.0001254021468561</v>
      </c>
      <c r="F264" s="22" t="n">
        <f aca="false">C264^2</f>
        <v>0.0026333893302336</v>
      </c>
    </row>
    <row r="265" customFormat="false" ht="15" hidden="false" customHeight="false" outlineLevel="0" collapsed="false">
      <c r="A265" s="2" t="n">
        <v>258</v>
      </c>
      <c r="B265" s="21" t="n">
        <v>0.11328986</v>
      </c>
      <c r="C265" s="21" t="n">
        <v>0.0783018</v>
      </c>
      <c r="D265" s="22" t="n">
        <f aca="false">B265*C265</f>
        <v>0.008870799959748</v>
      </c>
      <c r="E265" s="22" t="n">
        <f aca="false">B265^2</f>
        <v>0.0128345923788196</v>
      </c>
      <c r="F265" s="22" t="n">
        <f aca="false">C265^2</f>
        <v>0.00613117188324</v>
      </c>
    </row>
    <row r="266" customFormat="false" ht="15" hidden="false" customHeight="false" outlineLevel="0" collapsed="false">
      <c r="A266" s="2" t="n">
        <v>259</v>
      </c>
      <c r="B266" s="21" t="n">
        <v>-0.01055351</v>
      </c>
      <c r="C266" s="21" t="n">
        <v>-0.0450764</v>
      </c>
      <c r="D266" s="22" t="n">
        <f aca="false">B266*C266</f>
        <v>0.000475714238164</v>
      </c>
      <c r="E266" s="22" t="n">
        <f aca="false">B266^2</f>
        <v>0.0001113765733201</v>
      </c>
      <c r="F266" s="22" t="n">
        <f aca="false">C266^2</f>
        <v>0.00203188183696</v>
      </c>
    </row>
    <row r="267" customFormat="false" ht="15" hidden="false" customHeight="false" outlineLevel="0" collapsed="false">
      <c r="A267" s="2" t="n">
        <v>260</v>
      </c>
      <c r="B267" s="21" t="n">
        <v>-0.01962245</v>
      </c>
      <c r="C267" s="21" t="n">
        <v>0.07892665</v>
      </c>
      <c r="D267" s="22" t="n">
        <f aca="false">B267*C267</f>
        <v>-0.0015487342432925</v>
      </c>
      <c r="E267" s="22" t="n">
        <f aca="false">B267^2</f>
        <v>0.0003850405440025</v>
      </c>
      <c r="F267" s="22" t="n">
        <f aca="false">C267^2</f>
        <v>0.0062294160802225</v>
      </c>
    </row>
    <row r="268" customFormat="false" ht="15" hidden="false" customHeight="false" outlineLevel="0" collapsed="false">
      <c r="A268" s="2" t="n">
        <v>261</v>
      </c>
      <c r="B268" s="21" t="n">
        <v>0.0732883</v>
      </c>
      <c r="C268" s="21" t="n">
        <v>0.10668889</v>
      </c>
      <c r="D268" s="22" t="n">
        <f aca="false">B268*C268</f>
        <v>0.007819047376987</v>
      </c>
      <c r="E268" s="22" t="n">
        <f aca="false">B268^2</f>
        <v>0.00537117491689</v>
      </c>
      <c r="F268" s="22" t="n">
        <f aca="false">C268^2</f>
        <v>0.0113825192494321</v>
      </c>
    </row>
    <row r="269" customFormat="false" ht="15" hidden="false" customHeight="false" outlineLevel="0" collapsed="false">
      <c r="A269" s="2" t="n">
        <v>262</v>
      </c>
      <c r="B269" s="21" t="n">
        <v>-0.05198442</v>
      </c>
      <c r="C269" s="21" t="n">
        <v>-0.0089962</v>
      </c>
      <c r="D269" s="22" t="n">
        <f aca="false">B269*C269</f>
        <v>0.000467662239204</v>
      </c>
      <c r="E269" s="22" t="n">
        <f aca="false">B269^2</f>
        <v>0.0027023799227364</v>
      </c>
      <c r="F269" s="22" t="n">
        <f aca="false">C269^2</f>
        <v>8.093161444E-005</v>
      </c>
    </row>
    <row r="270" customFormat="false" ht="15" hidden="false" customHeight="false" outlineLevel="0" collapsed="false">
      <c r="A270" s="2" t="n">
        <v>263</v>
      </c>
      <c r="B270" s="21" t="n">
        <v>-0.02728889</v>
      </c>
      <c r="C270" s="21" t="n">
        <v>-0.07475242</v>
      </c>
      <c r="D270" s="22" t="n">
        <f aca="false">B270*C270</f>
        <v>0.0020399105666138</v>
      </c>
      <c r="E270" s="22" t="n">
        <f aca="false">B270^2</f>
        <v>0.0007446835174321</v>
      </c>
      <c r="F270" s="22" t="n">
        <f aca="false">C270^2</f>
        <v>0.0055879242958564</v>
      </c>
    </row>
    <row r="271" customFormat="false" ht="15" hidden="false" customHeight="false" outlineLevel="0" collapsed="false">
      <c r="A271" s="2" t="n">
        <v>264</v>
      </c>
      <c r="B271" s="21" t="n">
        <v>0.10405528</v>
      </c>
      <c r="C271" s="21" t="n">
        <v>0.12189266</v>
      </c>
      <c r="D271" s="22" t="n">
        <f aca="false">B271*C271</f>
        <v>0.0126835748662448</v>
      </c>
      <c r="E271" s="22" t="n">
        <f aca="false">B271^2</f>
        <v>0.0108275012958784</v>
      </c>
      <c r="F271" s="22" t="n">
        <f aca="false">C271^2</f>
        <v>0.0148578205618756</v>
      </c>
    </row>
    <row r="272" customFormat="false" ht="15" hidden="false" customHeight="false" outlineLevel="0" collapsed="false">
      <c r="A272" s="2" t="n">
        <v>265</v>
      </c>
      <c r="B272" s="21" t="n">
        <v>0.03573872</v>
      </c>
      <c r="C272" s="21" t="n">
        <v>0.03705712</v>
      </c>
      <c r="D272" s="22" t="n">
        <f aca="false">B272*C272</f>
        <v>0.0013243740356864</v>
      </c>
      <c r="E272" s="22" t="n">
        <f aca="false">B272^2</f>
        <v>0.0012772561072384</v>
      </c>
      <c r="F272" s="22" t="n">
        <f aca="false">C272^2</f>
        <v>0.0013732301426944</v>
      </c>
    </row>
    <row r="273" customFormat="false" ht="15" hidden="false" customHeight="false" outlineLevel="0" collapsed="false">
      <c r="A273" s="2" t="n">
        <v>266</v>
      </c>
      <c r="B273" s="21" t="n">
        <v>-0.03638438</v>
      </c>
      <c r="C273" s="21" t="n">
        <v>-0.04426257</v>
      </c>
      <c r="D273" s="22" t="n">
        <f aca="false">B273*C273</f>
        <v>0.0016104661666566</v>
      </c>
      <c r="E273" s="22" t="n">
        <f aca="false">B273^2</f>
        <v>0.0013238231079844</v>
      </c>
      <c r="F273" s="22" t="n">
        <f aca="false">C273^2</f>
        <v>0.0019591751030049</v>
      </c>
    </row>
    <row r="274" customFormat="false" ht="15" hidden="false" customHeight="false" outlineLevel="0" collapsed="false">
      <c r="A274" s="2" t="n">
        <v>267</v>
      </c>
      <c r="B274" s="21" t="n">
        <v>-0.03988264</v>
      </c>
      <c r="C274" s="21" t="n">
        <v>-0.1134876</v>
      </c>
      <c r="D274" s="22" t="n">
        <f aca="false">B274*C274</f>
        <v>0.004526185095264</v>
      </c>
      <c r="E274" s="22" t="n">
        <f aca="false">B274^2</f>
        <v>0.0015906249733696</v>
      </c>
      <c r="F274" s="22" t="n">
        <f aca="false">C274^2</f>
        <v>0.01287943535376</v>
      </c>
    </row>
    <row r="275" customFormat="false" ht="15" hidden="false" customHeight="false" outlineLevel="0" collapsed="false">
      <c r="A275" s="2" t="n">
        <v>268</v>
      </c>
      <c r="B275" s="21" t="n">
        <v>-0.05497506</v>
      </c>
      <c r="C275" s="21" t="n">
        <v>-0.01424309</v>
      </c>
      <c r="D275" s="22" t="n">
        <f aca="false">B275*C275</f>
        <v>0.0007830147273354</v>
      </c>
      <c r="E275" s="22" t="n">
        <f aca="false">B275^2</f>
        <v>0.0030222572220036</v>
      </c>
      <c r="F275" s="22" t="n">
        <f aca="false">C275^2</f>
        <v>0.0002028656127481</v>
      </c>
    </row>
    <row r="276" customFormat="false" ht="15" hidden="false" customHeight="false" outlineLevel="0" collapsed="false">
      <c r="A276" s="2" t="n">
        <v>269</v>
      </c>
      <c r="B276" s="21" t="n">
        <v>0.02234045</v>
      </c>
      <c r="C276" s="21" t="n">
        <v>-0.01174094</v>
      </c>
      <c r="D276" s="22" t="n">
        <f aca="false">B276*C276</f>
        <v>-0.000262297883023</v>
      </c>
      <c r="E276" s="22" t="n">
        <f aca="false">B276^2</f>
        <v>0.0004990957062025</v>
      </c>
      <c r="F276" s="22" t="n">
        <f aca="false">C276^2</f>
        <v>0.0001378496720836</v>
      </c>
    </row>
    <row r="277" customFormat="false" ht="15" hidden="false" customHeight="false" outlineLevel="0" collapsed="false">
      <c r="A277" s="2" t="n">
        <v>270</v>
      </c>
      <c r="B277" s="21" t="n">
        <v>0.05233351</v>
      </c>
      <c r="C277" s="21" t="n">
        <v>-0.02554188</v>
      </c>
      <c r="D277" s="22" t="n">
        <f aca="false">B277*C277</f>
        <v>-0.0013366962323988</v>
      </c>
      <c r="E277" s="22" t="n">
        <f aca="false">B277^2</f>
        <v>0.0027387962689201</v>
      </c>
      <c r="F277" s="22" t="n">
        <f aca="false">C277^2</f>
        <v>0.0006523876339344</v>
      </c>
    </row>
    <row r="278" customFormat="false" ht="15" hidden="false" customHeight="false" outlineLevel="0" collapsed="false">
      <c r="A278" s="2" t="n">
        <v>271</v>
      </c>
      <c r="B278" s="21" t="n">
        <v>0.05756468</v>
      </c>
      <c r="C278" s="21" t="n">
        <v>-0.03906166</v>
      </c>
      <c r="D278" s="22" t="n">
        <f aca="false">B278*C278</f>
        <v>-0.0022485719581688</v>
      </c>
      <c r="E278" s="22" t="n">
        <f aca="false">B278^2</f>
        <v>0.0033136923835024</v>
      </c>
      <c r="F278" s="22" t="n">
        <f aca="false">C278^2</f>
        <v>0.0015258132819556</v>
      </c>
    </row>
    <row r="279" customFormat="false" ht="15" hidden="false" customHeight="false" outlineLevel="0" collapsed="false">
      <c r="A279" s="2" t="n">
        <v>272</v>
      </c>
      <c r="B279" s="21" t="n">
        <v>0.05300942</v>
      </c>
      <c r="C279" s="21" t="n">
        <v>0.01969264</v>
      </c>
      <c r="D279" s="22" t="n">
        <f aca="false">B279*C279</f>
        <v>0.0010438954246688</v>
      </c>
      <c r="E279" s="22" t="n">
        <f aca="false">B279^2</f>
        <v>0.0028099986087364</v>
      </c>
      <c r="F279" s="22" t="n">
        <f aca="false">C279^2</f>
        <v>0.0003878000701696</v>
      </c>
    </row>
    <row r="280" customFormat="false" ht="15" hidden="false" customHeight="false" outlineLevel="0" collapsed="false">
      <c r="A280" s="2" t="n">
        <v>273</v>
      </c>
      <c r="B280" s="21" t="n">
        <v>-0.0123198</v>
      </c>
      <c r="C280" s="21" t="n">
        <v>0.02683694</v>
      </c>
      <c r="D280" s="22" t="n">
        <f aca="false">B280*C280</f>
        <v>-0.000330625733412</v>
      </c>
      <c r="E280" s="22" t="n">
        <f aca="false">B280^2</f>
        <v>0.00015177747204</v>
      </c>
      <c r="F280" s="22" t="n">
        <f aca="false">C280^2</f>
        <v>0.0007202213485636</v>
      </c>
    </row>
    <row r="281" customFormat="false" ht="15" hidden="false" customHeight="false" outlineLevel="0" collapsed="false">
      <c r="A281" s="2" t="n">
        <v>274</v>
      </c>
      <c r="B281" s="21" t="n">
        <v>0.02072634</v>
      </c>
      <c r="C281" s="21" t="n">
        <v>0.01022498</v>
      </c>
      <c r="D281" s="22" t="n">
        <f aca="false">B281*C281</f>
        <v>0.0002119264119732</v>
      </c>
      <c r="E281" s="22" t="n">
        <f aca="false">B281^2</f>
        <v>0.0004295811697956</v>
      </c>
      <c r="F281" s="22" t="n">
        <f aca="false">C281^2</f>
        <v>0.0001045502160004</v>
      </c>
    </row>
    <row r="282" customFormat="false" ht="15" hidden="false" customHeight="false" outlineLevel="0" collapsed="false">
      <c r="A282" s="2" t="n">
        <v>275</v>
      </c>
      <c r="B282" s="21" t="n">
        <v>-0.01312403</v>
      </c>
      <c r="C282" s="21" t="n">
        <v>0.05628664</v>
      </c>
      <c r="D282" s="22" t="n">
        <f aca="false">B282*C282</f>
        <v>-0.0007387075519592</v>
      </c>
      <c r="E282" s="22" t="n">
        <f aca="false">B282^2</f>
        <v>0.0001722401634409</v>
      </c>
      <c r="F282" s="22" t="n">
        <f aca="false">C282^2</f>
        <v>0.0031681858424896</v>
      </c>
    </row>
    <row r="283" customFormat="false" ht="15" hidden="false" customHeight="false" outlineLevel="0" collapsed="false">
      <c r="A283" s="2" t="n">
        <v>276</v>
      </c>
      <c r="B283" s="21" t="n">
        <v>-0.0324818</v>
      </c>
      <c r="C283" s="21" t="n">
        <v>-0.01697836</v>
      </c>
      <c r="D283" s="22" t="n">
        <f aca="false">B283*C283</f>
        <v>0.000551487693848</v>
      </c>
      <c r="E283" s="22" t="n">
        <f aca="false">B283^2</f>
        <v>0.00105506733124</v>
      </c>
      <c r="F283" s="22" t="n">
        <f aca="false">C283^2</f>
        <v>0.0002882647082896</v>
      </c>
    </row>
    <row r="284" customFormat="false" ht="15" hidden="false" customHeight="false" outlineLevel="0" collapsed="false">
      <c r="A284" s="2" t="n">
        <v>277</v>
      </c>
      <c r="B284" s="21" t="n">
        <v>-0.09489914</v>
      </c>
      <c r="C284" s="21" t="n">
        <v>-0.0102786</v>
      </c>
      <c r="D284" s="22" t="n">
        <f aca="false">B284*C284</f>
        <v>0.000975430300404</v>
      </c>
      <c r="E284" s="22" t="n">
        <f aca="false">B284^2</f>
        <v>0.0090058467727396</v>
      </c>
      <c r="F284" s="22" t="n">
        <f aca="false">C284^2</f>
        <v>0.00010564961796</v>
      </c>
    </row>
    <row r="285" customFormat="false" ht="15" hidden="false" customHeight="false" outlineLevel="0" collapsed="false">
      <c r="A285" s="2" t="n">
        <v>278</v>
      </c>
      <c r="B285" s="21" t="n">
        <v>-0.05142929</v>
      </c>
      <c r="C285" s="21" t="n">
        <v>-0.08005358</v>
      </c>
      <c r="D285" s="22" t="n">
        <f aca="false">B285*C285</f>
        <v>0.0041170987813582</v>
      </c>
      <c r="E285" s="22" t="n">
        <f aca="false">B285^2</f>
        <v>0.0026449718699041</v>
      </c>
      <c r="F285" s="22" t="n">
        <f aca="false">C285^2</f>
        <v>0.0064085756708164</v>
      </c>
    </row>
    <row r="286" customFormat="false" ht="15" hidden="false" customHeight="false" outlineLevel="0" collapsed="false">
      <c r="A286" s="2" t="n">
        <v>279</v>
      </c>
      <c r="B286" s="21" t="n">
        <v>0.020853</v>
      </c>
      <c r="C286" s="21" t="n">
        <v>-0.0111177</v>
      </c>
      <c r="D286" s="22" t="n">
        <f aca="false">B286*C286</f>
        <v>-0.0002318373981</v>
      </c>
      <c r="E286" s="22" t="n">
        <f aca="false">B286^2</f>
        <v>0.000434847609</v>
      </c>
      <c r="F286" s="22" t="n">
        <f aca="false">C286^2</f>
        <v>0.00012360325329</v>
      </c>
    </row>
    <row r="287" customFormat="false" ht="15" hidden="false" customHeight="false" outlineLevel="0" collapsed="false">
      <c r="A287" s="2" t="n">
        <v>280</v>
      </c>
      <c r="B287" s="21" t="n">
        <v>-0.0323102</v>
      </c>
      <c r="C287" s="21" t="n">
        <v>-0.06002636</v>
      </c>
      <c r="D287" s="22" t="n">
        <f aca="false">B287*C287</f>
        <v>0.001939463696872</v>
      </c>
      <c r="E287" s="22" t="n">
        <f aca="false">B287^2</f>
        <v>0.00104394902404</v>
      </c>
      <c r="F287" s="22" t="n">
        <f aca="false">C287^2</f>
        <v>0.0036031638948496</v>
      </c>
    </row>
    <row r="288" customFormat="false" ht="15" hidden="false" customHeight="false" outlineLevel="0" collapsed="false">
      <c r="A288" s="2" t="n">
        <v>281</v>
      </c>
      <c r="B288" s="21" t="n">
        <v>0.09908176</v>
      </c>
      <c r="C288" s="21" t="n">
        <v>0.01616138</v>
      </c>
      <c r="D288" s="22" t="n">
        <f aca="false">B288*C288</f>
        <v>0.0016012979744288</v>
      </c>
      <c r="E288" s="22" t="n">
        <f aca="false">B288^2</f>
        <v>0.0098171951646976</v>
      </c>
      <c r="F288" s="22" t="n">
        <f aca="false">C288^2</f>
        <v>0.0002611902035044</v>
      </c>
    </row>
    <row r="289" customFormat="false" ht="15" hidden="false" customHeight="false" outlineLevel="0" collapsed="false">
      <c r="A289" s="2" t="n">
        <v>282</v>
      </c>
      <c r="B289" s="21" t="n">
        <v>-0.07572052</v>
      </c>
      <c r="C289" s="21" t="n">
        <v>-0.01737955</v>
      </c>
      <c r="D289" s="22" t="n">
        <f aca="false">B289*C289</f>
        <v>0.001315988563366</v>
      </c>
      <c r="E289" s="22" t="n">
        <f aca="false">B289^2</f>
        <v>0.0057335971490704</v>
      </c>
      <c r="F289" s="22" t="n">
        <f aca="false">C289^2</f>
        <v>0.0003020487582025</v>
      </c>
    </row>
    <row r="290" customFormat="false" ht="15" hidden="false" customHeight="false" outlineLevel="0" collapsed="false">
      <c r="A290" s="2" t="n">
        <v>283</v>
      </c>
      <c r="B290" s="21" t="n">
        <v>0.03465793</v>
      </c>
      <c r="C290" s="21" t="n">
        <v>0.00215498</v>
      </c>
      <c r="D290" s="22" t="n">
        <f aca="false">B290*C290</f>
        <v>7.46871459914E-005</v>
      </c>
      <c r="E290" s="22" t="n">
        <f aca="false">B290^2</f>
        <v>0.0012011721118849</v>
      </c>
      <c r="F290" s="22" t="n">
        <f aca="false">C290^2</f>
        <v>4.6439388004E-006</v>
      </c>
    </row>
    <row r="291" customFormat="false" ht="15" hidden="false" customHeight="false" outlineLevel="0" collapsed="false">
      <c r="A291" s="2" t="n">
        <v>284</v>
      </c>
      <c r="B291" s="21" t="n">
        <v>0.04499839</v>
      </c>
      <c r="C291" s="21" t="n">
        <v>0.06820558</v>
      </c>
      <c r="D291" s="22" t="n">
        <f aca="false">B291*C291</f>
        <v>0.0030691412890162</v>
      </c>
      <c r="E291" s="22" t="n">
        <f aca="false">B291^2</f>
        <v>0.0020248551025921</v>
      </c>
      <c r="F291" s="22" t="n">
        <f aca="false">C291^2</f>
        <v>0.0046520011431364</v>
      </c>
    </row>
    <row r="292" customFormat="false" ht="15" hidden="false" customHeight="false" outlineLevel="0" collapsed="false">
      <c r="A292" s="2" t="n">
        <v>285</v>
      </c>
      <c r="B292" s="21" t="n">
        <v>0.05525704</v>
      </c>
      <c r="C292" s="21" t="n">
        <v>0.0271377</v>
      </c>
      <c r="D292" s="22" t="n">
        <f aca="false">B292*C292</f>
        <v>0.001499548974408</v>
      </c>
      <c r="E292" s="22" t="n">
        <f aca="false">B292^2</f>
        <v>0.0030533404695616</v>
      </c>
      <c r="F292" s="22" t="n">
        <f aca="false">C292^2</f>
        <v>0.00073645476129</v>
      </c>
    </row>
    <row r="293" customFormat="false" ht="15" hidden="false" customHeight="false" outlineLevel="0" collapsed="false">
      <c r="A293" s="2" t="n">
        <v>286</v>
      </c>
      <c r="B293" s="21" t="n">
        <v>0.00961851</v>
      </c>
      <c r="C293" s="21" t="n">
        <v>-0.03283842</v>
      </c>
      <c r="D293" s="22" t="n">
        <f aca="false">B293*C293</f>
        <v>-0.0003158566711542</v>
      </c>
      <c r="E293" s="22" t="n">
        <f aca="false">B293^2</f>
        <v>9.25157346201E-005</v>
      </c>
      <c r="F293" s="22" t="n">
        <f aca="false">C293^2</f>
        <v>0.0010783618280964</v>
      </c>
    </row>
    <row r="294" customFormat="false" ht="15" hidden="false" customHeight="false" outlineLevel="0" collapsed="false">
      <c r="A294" s="2" t="n">
        <v>287</v>
      </c>
      <c r="B294" s="21" t="n">
        <v>0.05629994</v>
      </c>
      <c r="C294" s="21" t="n">
        <v>0.05464088</v>
      </c>
      <c r="D294" s="22" t="n">
        <f aca="false">B294*C294</f>
        <v>0.0030762782655472</v>
      </c>
      <c r="E294" s="22" t="n">
        <f aca="false">B294^2</f>
        <v>0.0031696832440036</v>
      </c>
      <c r="F294" s="22" t="n">
        <f aca="false">C294^2</f>
        <v>0.0029856257671744</v>
      </c>
    </row>
    <row r="295" customFormat="false" ht="15" hidden="false" customHeight="false" outlineLevel="0" collapsed="false">
      <c r="A295" s="2" t="n">
        <v>288</v>
      </c>
      <c r="B295" s="21" t="n">
        <v>-0.01244054</v>
      </c>
      <c r="C295" s="21" t="n">
        <v>-0.0330644</v>
      </c>
      <c r="D295" s="22" t="n">
        <f aca="false">B295*C295</f>
        <v>0.000411338990776</v>
      </c>
      <c r="E295" s="22" t="n">
        <f aca="false">B295^2</f>
        <v>0.0001547670354916</v>
      </c>
      <c r="F295" s="22" t="n">
        <f aca="false">C295^2</f>
        <v>0.00109325454736</v>
      </c>
    </row>
    <row r="296" customFormat="false" ht="15" hidden="false" customHeight="false" outlineLevel="0" collapsed="false">
      <c r="A296" s="2" t="n">
        <v>289</v>
      </c>
      <c r="B296" s="21" t="n">
        <v>-0.07620555</v>
      </c>
      <c r="C296" s="21" t="n">
        <v>-0.05039069</v>
      </c>
      <c r="D296" s="22" t="n">
        <f aca="false">B296*C296</f>
        <v>0.0038400502463295</v>
      </c>
      <c r="E296" s="22" t="n">
        <f aca="false">B296^2</f>
        <v>0.0058072858508025</v>
      </c>
      <c r="F296" s="22" t="n">
        <f aca="false">C296^2</f>
        <v>0.0025392216386761</v>
      </c>
    </row>
    <row r="297" customFormat="false" ht="15" hidden="false" customHeight="false" outlineLevel="0" collapsed="false">
      <c r="A297" s="2" t="n">
        <v>290</v>
      </c>
      <c r="B297" s="21" t="n">
        <v>-0.00130404</v>
      </c>
      <c r="C297" s="21" t="n">
        <v>-0.05589861</v>
      </c>
      <c r="D297" s="22" t="n">
        <f aca="false">B297*C297</f>
        <v>7.28940233844E-005</v>
      </c>
      <c r="E297" s="22" t="n">
        <f aca="false">B297^2</f>
        <v>1.7005203216E-006</v>
      </c>
      <c r="F297" s="22" t="n">
        <f aca="false">C297^2</f>
        <v>0.0031246545999321</v>
      </c>
    </row>
    <row r="298" customFormat="false" ht="15" hidden="false" customHeight="false" outlineLevel="0" collapsed="false">
      <c r="A298" s="2" t="n">
        <v>291</v>
      </c>
      <c r="B298" s="21" t="n">
        <v>0.04845661</v>
      </c>
      <c r="C298" s="21" t="n">
        <v>-0.01111688</v>
      </c>
      <c r="D298" s="22" t="n">
        <f aca="false">B298*C298</f>
        <v>-0.0005386863185768</v>
      </c>
      <c r="E298" s="22" t="n">
        <f aca="false">B298^2</f>
        <v>0.0023480430526921</v>
      </c>
      <c r="F298" s="22" t="n">
        <f aca="false">C298^2</f>
        <v>0.0001235850209344</v>
      </c>
    </row>
    <row r="299" customFormat="false" ht="15" hidden="false" customHeight="false" outlineLevel="0" collapsed="false">
      <c r="A299" s="2" t="n">
        <v>292</v>
      </c>
      <c r="B299" s="21" t="n">
        <v>0.07549728</v>
      </c>
      <c r="C299" s="21" t="n">
        <v>0.07648222</v>
      </c>
      <c r="D299" s="22" t="n">
        <f aca="false">B299*C299</f>
        <v>0.0057741995783616</v>
      </c>
      <c r="E299" s="22" t="n">
        <f aca="false">B299^2</f>
        <v>0.0056998392873984</v>
      </c>
      <c r="F299" s="22" t="n">
        <f aca="false">C299^2</f>
        <v>0.0058495299761284</v>
      </c>
    </row>
    <row r="300" customFormat="false" ht="15" hidden="false" customHeight="false" outlineLevel="0" collapsed="false">
      <c r="A300" s="2" t="n">
        <v>293</v>
      </c>
      <c r="B300" s="21" t="n">
        <v>-0.02368381</v>
      </c>
      <c r="C300" s="21" t="n">
        <v>-0.01600783</v>
      </c>
      <c r="D300" s="22" t="n">
        <f aca="false">B300*C300</f>
        <v>0.0003791264042323</v>
      </c>
      <c r="E300" s="22" t="n">
        <f aca="false">B300^2</f>
        <v>0.0005609228561161</v>
      </c>
      <c r="F300" s="22" t="n">
        <f aca="false">C300^2</f>
        <v>0.0002562506213089</v>
      </c>
    </row>
    <row r="301" customFormat="false" ht="15" hidden="false" customHeight="false" outlineLevel="0" collapsed="false">
      <c r="A301" s="2" t="n">
        <v>294</v>
      </c>
      <c r="B301" s="21" t="n">
        <v>0.04647494</v>
      </c>
      <c r="C301" s="21" t="n">
        <v>0.02840795</v>
      </c>
      <c r="D301" s="22" t="n">
        <f aca="false">B301*C301</f>
        <v>0.001320257771773</v>
      </c>
      <c r="E301" s="22" t="n">
        <f aca="false">B301^2</f>
        <v>0.0021599200480036</v>
      </c>
      <c r="F301" s="22" t="n">
        <f aca="false">C301^2</f>
        <v>0.0008070116232025</v>
      </c>
    </row>
    <row r="302" customFormat="false" ht="15" hidden="false" customHeight="false" outlineLevel="0" collapsed="false">
      <c r="A302" s="2" t="n">
        <v>295</v>
      </c>
      <c r="B302" s="21" t="n">
        <v>0.00946887</v>
      </c>
      <c r="C302" s="21" t="n">
        <v>0.01926004</v>
      </c>
      <c r="D302" s="22" t="n">
        <f aca="false">B302*C302</f>
        <v>0.0001823708149548</v>
      </c>
      <c r="E302" s="22" t="n">
        <f aca="false">B302^2</f>
        <v>8.96594990769E-005</v>
      </c>
      <c r="F302" s="22" t="n">
        <f aca="false">C302^2</f>
        <v>0.0003709491408016</v>
      </c>
    </row>
    <row r="303" customFormat="false" ht="15" hidden="false" customHeight="false" outlineLevel="0" collapsed="false">
      <c r="A303" s="2" t="n">
        <v>296</v>
      </c>
      <c r="B303" s="21" t="n">
        <v>-0.03462872</v>
      </c>
      <c r="C303" s="21" t="n">
        <v>-0.02359431</v>
      </c>
      <c r="D303" s="22" t="n">
        <f aca="false">B303*C303</f>
        <v>0.0008170407545832</v>
      </c>
      <c r="E303" s="22" t="n">
        <f aca="false">B303^2</f>
        <v>0.0011991482488384</v>
      </c>
      <c r="F303" s="22" t="n">
        <f aca="false">C303^2</f>
        <v>0.0005566914643761</v>
      </c>
    </row>
    <row r="304" customFormat="false" ht="15" hidden="false" customHeight="false" outlineLevel="0" collapsed="false">
      <c r="A304" s="2" t="n">
        <v>297</v>
      </c>
      <c r="B304" s="21" t="n">
        <v>0.00667898</v>
      </c>
      <c r="C304" s="21" t="n">
        <v>-0.00396224</v>
      </c>
      <c r="D304" s="22" t="n">
        <f aca="false">B304*C304</f>
        <v>-2.64637217152E-005</v>
      </c>
      <c r="E304" s="22" t="n">
        <f aca="false">B304^2</f>
        <v>4.46087738404E-005</v>
      </c>
      <c r="F304" s="22" t="n">
        <f aca="false">C304^2</f>
        <v>1.56993458176E-005</v>
      </c>
    </row>
    <row r="305" customFormat="false" ht="15" hidden="false" customHeight="false" outlineLevel="0" collapsed="false">
      <c r="A305" s="2" t="n">
        <v>298</v>
      </c>
      <c r="B305" s="21" t="n">
        <v>-0.06608206</v>
      </c>
      <c r="C305" s="21" t="n">
        <v>-0.03080182</v>
      </c>
      <c r="D305" s="22" t="n">
        <f aca="false">B305*C305</f>
        <v>0.0020354477173492</v>
      </c>
      <c r="E305" s="22" t="n">
        <f aca="false">B305^2</f>
        <v>0.0043668386538436</v>
      </c>
      <c r="F305" s="22" t="n">
        <f aca="false">C305^2</f>
        <v>0.0009487521153124</v>
      </c>
    </row>
    <row r="306" customFormat="false" ht="15" hidden="false" customHeight="false" outlineLevel="0" collapsed="false">
      <c r="A306" s="2" t="n">
        <v>299</v>
      </c>
      <c r="B306" s="21" t="n">
        <v>0.0372764</v>
      </c>
      <c r="C306" s="21" t="n">
        <v>0.03802585</v>
      </c>
      <c r="D306" s="22" t="n">
        <f aca="false">B306*C306</f>
        <v>0.00141746679494</v>
      </c>
      <c r="E306" s="22" t="n">
        <f aca="false">B306^2</f>
        <v>0.00138952999696</v>
      </c>
      <c r="F306" s="22" t="n">
        <f aca="false">C306^2</f>
        <v>0.0014459652682225</v>
      </c>
    </row>
    <row r="307" customFormat="false" ht="15" hidden="false" customHeight="false" outlineLevel="0" collapsed="false">
      <c r="A307" s="2" t="n">
        <v>300</v>
      </c>
      <c r="B307" s="21" t="n">
        <v>0.01480381</v>
      </c>
      <c r="C307" s="21" t="n">
        <v>0.0072881</v>
      </c>
      <c r="D307" s="22" t="n">
        <f aca="false">B307*C307</f>
        <v>0.000107891647661</v>
      </c>
      <c r="E307" s="22" t="n">
        <f aca="false">B307^2</f>
        <v>0.0002191527905161</v>
      </c>
      <c r="F307" s="22" t="n">
        <f aca="false">C307^2</f>
        <v>5.311640161E-005</v>
      </c>
    </row>
    <row r="308" customFormat="false" ht="15" hidden="false" customHeight="false" outlineLevel="0" collapsed="false">
      <c r="A308" s="2" t="n">
        <v>301</v>
      </c>
      <c r="B308" s="21" t="n">
        <v>0.00687216</v>
      </c>
      <c r="C308" s="21" t="n">
        <v>0.0377776</v>
      </c>
      <c r="D308" s="22" t="n">
        <f aca="false">B308*C308</f>
        <v>0.000259613711616</v>
      </c>
      <c r="E308" s="22" t="n">
        <f aca="false">B308^2</f>
        <v>4.72265830656E-005</v>
      </c>
      <c r="F308" s="22" t="n">
        <f aca="false">C308^2</f>
        <v>0.00142714706176</v>
      </c>
    </row>
    <row r="309" customFormat="false" ht="15" hidden="false" customHeight="false" outlineLevel="0" collapsed="false">
      <c r="A309" s="2" t="n">
        <v>302</v>
      </c>
      <c r="B309" s="21" t="n">
        <v>0.02851208</v>
      </c>
      <c r="C309" s="21" t="n">
        <v>0.03907877</v>
      </c>
      <c r="D309" s="22" t="n">
        <f aca="false">B309*C309</f>
        <v>0.0011142170165416</v>
      </c>
      <c r="E309" s="22" t="n">
        <f aca="false">B309^2</f>
        <v>0.0008129387059264</v>
      </c>
      <c r="F309" s="22" t="n">
        <f aca="false">C309^2</f>
        <v>0.0015271502647129</v>
      </c>
    </row>
    <row r="310" customFormat="false" ht="15" hidden="false" customHeight="false" outlineLevel="0" collapsed="false">
      <c r="A310" s="2" t="n">
        <v>303</v>
      </c>
      <c r="B310" s="21" t="n">
        <v>-0.03561094</v>
      </c>
      <c r="C310" s="21" t="n">
        <v>-0.04566096</v>
      </c>
      <c r="D310" s="22" t="n">
        <f aca="false">B310*C310</f>
        <v>0.0016260297069024</v>
      </c>
      <c r="E310" s="22" t="n">
        <f aca="false">B310^2</f>
        <v>0.0012681390476836</v>
      </c>
      <c r="F310" s="22" t="n">
        <f aca="false">C310^2</f>
        <v>0.0020849232681216</v>
      </c>
    </row>
    <row r="311" customFormat="false" ht="15" hidden="false" customHeight="false" outlineLevel="0" collapsed="false">
      <c r="A311" s="2" t="n">
        <v>304</v>
      </c>
      <c r="B311" s="21" t="n">
        <v>-0.04220008</v>
      </c>
      <c r="C311" s="21" t="n">
        <v>-0.0866545</v>
      </c>
      <c r="D311" s="22" t="n">
        <f aca="false">B311*C311</f>
        <v>0.00365682683236</v>
      </c>
      <c r="E311" s="22" t="n">
        <f aca="false">B311^2</f>
        <v>0.0017808467520064</v>
      </c>
      <c r="F311" s="22" t="n">
        <f aca="false">C311^2</f>
        <v>0.00750900237025</v>
      </c>
    </row>
    <row r="312" customFormat="false" ht="15" hidden="false" customHeight="false" outlineLevel="0" collapsed="false">
      <c r="A312" s="2" t="n">
        <v>305</v>
      </c>
      <c r="B312" s="21" t="n">
        <v>0.0434824</v>
      </c>
      <c r="C312" s="21" t="n">
        <v>0.07116936</v>
      </c>
      <c r="D312" s="22" t="n">
        <f aca="false">B312*C312</f>
        <v>0.003094614579264</v>
      </c>
      <c r="E312" s="22" t="n">
        <f aca="false">B312^2</f>
        <v>0.00189071910976</v>
      </c>
      <c r="F312" s="22" t="n">
        <f aca="false">C312^2</f>
        <v>0.0050650778028096</v>
      </c>
    </row>
    <row r="313" customFormat="false" ht="15" hidden="false" customHeight="false" outlineLevel="0" collapsed="false">
      <c r="A313" s="2" t="n">
        <v>306</v>
      </c>
      <c r="B313" s="21" t="n">
        <v>-0.11262903</v>
      </c>
      <c r="C313" s="21" t="n">
        <v>-0.10178181</v>
      </c>
      <c r="D313" s="22" t="n">
        <f aca="false">B313*C313</f>
        <v>0.0114635865319443</v>
      </c>
      <c r="E313" s="22" t="n">
        <f aca="false">B313^2</f>
        <v>0.0126852983987409</v>
      </c>
      <c r="F313" s="22" t="n">
        <f aca="false">C313^2</f>
        <v>0.0103595368468761</v>
      </c>
    </row>
    <row r="314" customFormat="false" ht="15" hidden="false" customHeight="false" outlineLevel="0" collapsed="false">
      <c r="A314" s="2" t="n">
        <v>307</v>
      </c>
      <c r="B314" s="21" t="n">
        <v>-0.00118244</v>
      </c>
      <c r="C314" s="21" t="n">
        <v>0.02843927</v>
      </c>
      <c r="D314" s="22" t="n">
        <f aca="false">B314*C314</f>
        <v>-3.36277304188E-005</v>
      </c>
      <c r="E314" s="22" t="n">
        <f aca="false">B314^2</f>
        <v>1.3981643536E-006</v>
      </c>
      <c r="F314" s="22" t="n">
        <f aca="false">C314^2</f>
        <v>0.0008087920781329</v>
      </c>
    </row>
    <row r="315" customFormat="false" ht="15" hidden="false" customHeight="false" outlineLevel="0" collapsed="false">
      <c r="A315" s="2" t="n">
        <v>308</v>
      </c>
      <c r="B315" s="21" t="n">
        <v>-0.00221101</v>
      </c>
      <c r="C315" s="21" t="n">
        <v>0.03797811</v>
      </c>
      <c r="D315" s="22" t="n">
        <f aca="false">B315*C315</f>
        <v>-8.39699809911E-005</v>
      </c>
      <c r="E315" s="22" t="n">
        <f aca="false">B315^2</f>
        <v>4.8885652201E-006</v>
      </c>
      <c r="F315" s="22" t="n">
        <f aca="false">C315^2</f>
        <v>0.0014423368391721</v>
      </c>
    </row>
    <row r="316" customFormat="false" ht="15" hidden="false" customHeight="false" outlineLevel="0" collapsed="false">
      <c r="A316" s="2" t="n">
        <v>309</v>
      </c>
      <c r="B316" s="21" t="n">
        <v>0.04182224</v>
      </c>
      <c r="C316" s="21" t="n">
        <v>0.05207909</v>
      </c>
      <c r="D316" s="22" t="n">
        <f aca="false">B316*C316</f>
        <v>0.0021780642009616</v>
      </c>
      <c r="E316" s="22" t="n">
        <f aca="false">B316^2</f>
        <v>0.0017490997586176</v>
      </c>
      <c r="F316" s="22" t="n">
        <f aca="false">C316^2</f>
        <v>0.0027122316152281</v>
      </c>
    </row>
    <row r="317" customFormat="false" ht="15" hidden="false" customHeight="false" outlineLevel="0" collapsed="false">
      <c r="A317" s="2" t="n">
        <v>310</v>
      </c>
      <c r="B317" s="21" t="n">
        <v>-0.01575051</v>
      </c>
      <c r="C317" s="21" t="n">
        <v>-0.01975208</v>
      </c>
      <c r="D317" s="22" t="n">
        <f aca="false">B317*C317</f>
        <v>0.0003111053335608</v>
      </c>
      <c r="E317" s="22" t="n">
        <f aca="false">B317^2</f>
        <v>0.0002480785652601</v>
      </c>
      <c r="F317" s="22" t="n">
        <f aca="false">C317^2</f>
        <v>0.0003901446643264</v>
      </c>
    </row>
    <row r="318" customFormat="false" ht="15" hidden="false" customHeight="false" outlineLevel="0" collapsed="false">
      <c r="A318" s="2" t="n">
        <v>311</v>
      </c>
      <c r="B318" s="21" t="n">
        <v>0.04423107</v>
      </c>
      <c r="C318" s="21" t="n">
        <v>0.06146225</v>
      </c>
      <c r="D318" s="22" t="n">
        <f aca="false">B318*C318</f>
        <v>0.0027185410821075</v>
      </c>
      <c r="E318" s="22" t="n">
        <f aca="false">B318^2</f>
        <v>0.0019563875533449</v>
      </c>
      <c r="F318" s="22" t="n">
        <f aca="false">C318^2</f>
        <v>0.0037776081750625</v>
      </c>
    </row>
    <row r="319" customFormat="false" ht="15" hidden="false" customHeight="false" outlineLevel="0" collapsed="false">
      <c r="A319" s="2" t="n">
        <v>312</v>
      </c>
      <c r="B319" s="21" t="n">
        <v>-0.03768974</v>
      </c>
      <c r="C319" s="21" t="n">
        <v>0.02368795</v>
      </c>
      <c r="D319" s="22" t="n">
        <f aca="false">B319*C319</f>
        <v>-0.000892792676633</v>
      </c>
      <c r="E319" s="22" t="n">
        <f aca="false">B319^2</f>
        <v>0.0014205165012676</v>
      </c>
      <c r="F319" s="22" t="n">
        <f aca="false">C319^2</f>
        <v>0.0005611189752025</v>
      </c>
    </row>
    <row r="320" customFormat="false" ht="15" hidden="false" customHeight="false" outlineLevel="0" collapsed="false">
      <c r="A320" s="2" t="n">
        <v>313</v>
      </c>
      <c r="B320" s="21" t="n">
        <v>-0.01055864</v>
      </c>
      <c r="C320" s="21" t="n">
        <v>-0.01858269</v>
      </c>
      <c r="D320" s="22" t="n">
        <f aca="false">B320*C320</f>
        <v>0.0001962079339416</v>
      </c>
      <c r="E320" s="22" t="n">
        <f aca="false">B320^2</f>
        <v>0.0001114848786496</v>
      </c>
      <c r="F320" s="22" t="n">
        <f aca="false">C320^2</f>
        <v>0.0003453163676361</v>
      </c>
    </row>
    <row r="321" customFormat="false" ht="15" hidden="false" customHeight="false" outlineLevel="0" collapsed="false">
      <c r="A321" s="2" t="n">
        <v>314</v>
      </c>
      <c r="B321" s="21" t="n">
        <v>0.00500397</v>
      </c>
      <c r="C321" s="21" t="n">
        <v>0.04911806</v>
      </c>
      <c r="D321" s="22" t="n">
        <f aca="false">B321*C321</f>
        <v>0.0002457852986982</v>
      </c>
      <c r="E321" s="22" t="n">
        <f aca="false">B321^2</f>
        <v>2.50397157609E-005</v>
      </c>
      <c r="F321" s="22" t="n">
        <f aca="false">C321^2</f>
        <v>0.0024125838181636</v>
      </c>
    </row>
    <row r="322" customFormat="false" ht="15" hidden="false" customHeight="false" outlineLevel="0" collapsed="false">
      <c r="A322" s="2" t="n">
        <v>315</v>
      </c>
      <c r="B322" s="21" t="n">
        <v>-0.06141897</v>
      </c>
      <c r="C322" s="21" t="n">
        <v>-0.00450869</v>
      </c>
      <c r="D322" s="22" t="n">
        <f aca="false">B322*C322</f>
        <v>0.0002769190958493</v>
      </c>
      <c r="E322" s="22" t="n">
        <f aca="false">B322^2</f>
        <v>0.0037722898758609</v>
      </c>
      <c r="F322" s="22" t="n">
        <f aca="false">C322^2</f>
        <v>2.03282855161E-005</v>
      </c>
    </row>
    <row r="323" customFormat="false" ht="15" hidden="false" customHeight="false" outlineLevel="0" collapsed="false">
      <c r="A323" s="2" t="n">
        <v>316</v>
      </c>
      <c r="B323" s="21" t="n">
        <v>0.02696282</v>
      </c>
      <c r="C323" s="21" t="n">
        <v>-0.0101677</v>
      </c>
      <c r="D323" s="22" t="n">
        <f aca="false">B323*C323</f>
        <v>-0.000274149864914</v>
      </c>
      <c r="E323" s="22" t="n">
        <f aca="false">B323^2</f>
        <v>0.0007269936623524</v>
      </c>
      <c r="F323" s="22" t="n">
        <f aca="false">C323^2</f>
        <v>0.00010338212329</v>
      </c>
    </row>
    <row r="324" customFormat="false" ht="15" hidden="false" customHeight="false" outlineLevel="0" collapsed="false">
      <c r="A324" s="2" t="n">
        <v>317</v>
      </c>
      <c r="B324" s="21" t="n">
        <v>-0.00145667</v>
      </c>
      <c r="C324" s="21" t="n">
        <v>-0.02612483</v>
      </c>
      <c r="D324" s="22" t="n">
        <f aca="false">B324*C324</f>
        <v>3.80552561161E-005</v>
      </c>
      <c r="E324" s="22" t="n">
        <f aca="false">B324^2</f>
        <v>2.1218874889E-006</v>
      </c>
      <c r="F324" s="22" t="n">
        <f aca="false">C324^2</f>
        <v>0.0006825067425289</v>
      </c>
    </row>
    <row r="325" customFormat="false" ht="15" hidden="false" customHeight="false" outlineLevel="0" collapsed="false">
      <c r="A325" s="2" t="n">
        <v>318</v>
      </c>
      <c r="B325" s="21" t="n">
        <v>-0.03607933</v>
      </c>
      <c r="C325" s="21" t="n">
        <v>0.02606315</v>
      </c>
      <c r="D325" s="22" t="n">
        <f aca="false">B325*C325</f>
        <v>-0.0009403409896895</v>
      </c>
      <c r="E325" s="22" t="n">
        <f aca="false">B325^2</f>
        <v>0.0013017180532489</v>
      </c>
      <c r="F325" s="22" t="n">
        <f aca="false">C325^2</f>
        <v>0.0006792877879225</v>
      </c>
    </row>
    <row r="326" customFormat="false" ht="15" hidden="false" customHeight="false" outlineLevel="0" collapsed="false">
      <c r="A326" s="2" t="n">
        <v>319</v>
      </c>
      <c r="B326" s="21" t="n">
        <v>-0.07851423</v>
      </c>
      <c r="C326" s="21" t="n">
        <v>-0.01936673</v>
      </c>
      <c r="D326" s="22" t="n">
        <f aca="false">B326*C326</f>
        <v>0.0015205638935679</v>
      </c>
      <c r="E326" s="22" t="n">
        <f aca="false">B326^2</f>
        <v>0.0061644843124929</v>
      </c>
      <c r="F326" s="22" t="n">
        <f aca="false">C326^2</f>
        <v>0.0003750702308929</v>
      </c>
    </row>
    <row r="327" customFormat="false" ht="15" hidden="false" customHeight="false" outlineLevel="0" collapsed="false">
      <c r="A327" s="2" t="n">
        <v>320</v>
      </c>
      <c r="B327" s="21" t="n">
        <v>-5E-008</v>
      </c>
      <c r="C327" s="21" t="n">
        <v>-4E-008</v>
      </c>
      <c r="D327" s="22" t="n">
        <f aca="false">B327*C327</f>
        <v>2E-015</v>
      </c>
      <c r="E327" s="22" t="n">
        <f aca="false">B327^2</f>
        <v>2.5E-015</v>
      </c>
      <c r="F327" s="22" t="n">
        <f aca="false">C327^2</f>
        <v>1.6E-015</v>
      </c>
    </row>
    <row r="328" customFormat="false" ht="15" hidden="false" customHeight="false" outlineLevel="0" collapsed="false">
      <c r="A328" s="2" t="n">
        <v>321</v>
      </c>
      <c r="B328" s="21" t="n">
        <v>0.04855892</v>
      </c>
      <c r="C328" s="21" t="n">
        <v>-0.00876711</v>
      </c>
      <c r="D328" s="22" t="n">
        <f aca="false">B328*C328</f>
        <v>-0.0004257213931212</v>
      </c>
      <c r="E328" s="22" t="n">
        <f aca="false">B328^2</f>
        <v>0.0023579687115664</v>
      </c>
      <c r="F328" s="22" t="n">
        <f aca="false">C328^2</f>
        <v>7.68622177521E-005</v>
      </c>
    </row>
    <row r="329" customFormat="false" ht="15" hidden="false" customHeight="false" outlineLevel="0" collapsed="false">
      <c r="A329" s="2" t="n">
        <v>322</v>
      </c>
      <c r="B329" s="21" t="n">
        <v>-0.01000276</v>
      </c>
      <c r="C329" s="21" t="n">
        <v>-0.0145153</v>
      </c>
      <c r="D329" s="22" t="n">
        <f aca="false">B329*C329</f>
        <v>0.000145193062228</v>
      </c>
      <c r="E329" s="22" t="n">
        <f aca="false">B329^2</f>
        <v>0.0001000552076176</v>
      </c>
      <c r="F329" s="22" t="n">
        <f aca="false">C329^2</f>
        <v>0.00021069393409</v>
      </c>
    </row>
    <row r="330" customFormat="false" ht="15" hidden="false" customHeight="false" outlineLevel="0" collapsed="false">
      <c r="A330" s="2" t="n">
        <v>323</v>
      </c>
      <c r="B330" s="21" t="n">
        <v>-0.00789605</v>
      </c>
      <c r="C330" s="21" t="n">
        <v>0.01349454</v>
      </c>
      <c r="D330" s="22" t="n">
        <f aca="false">B330*C330</f>
        <v>-0.000106553562567</v>
      </c>
      <c r="E330" s="22" t="n">
        <f aca="false">B330^2</f>
        <v>6.23476056025E-005</v>
      </c>
      <c r="F330" s="22" t="n">
        <f aca="false">C330^2</f>
        <v>0.0001821026098116</v>
      </c>
    </row>
    <row r="331" customFormat="false" ht="15" hidden="false" customHeight="false" outlineLevel="0" collapsed="false">
      <c r="A331" s="2" t="n">
        <v>324</v>
      </c>
      <c r="B331" s="21" t="n">
        <v>0.09465856</v>
      </c>
      <c r="C331" s="21" t="n">
        <v>0.12944517</v>
      </c>
      <c r="D331" s="22" t="n">
        <f aca="false">B331*C331</f>
        <v>0.0122530933911552</v>
      </c>
      <c r="E331" s="22" t="n">
        <f aca="false">B331^2</f>
        <v>0.0089602429812736</v>
      </c>
      <c r="F331" s="22" t="n">
        <f aca="false">C331^2</f>
        <v>0.0167560520363289</v>
      </c>
    </row>
    <row r="332" customFormat="false" ht="15" hidden="false" customHeight="false" outlineLevel="0" collapsed="false">
      <c r="A332" s="2" t="n">
        <v>325</v>
      </c>
      <c r="B332" s="21" t="n">
        <v>0.00804189</v>
      </c>
      <c r="C332" s="21" t="n">
        <v>-0.00726172</v>
      </c>
      <c r="D332" s="22" t="n">
        <f aca="false">B332*C332</f>
        <v>-5.83979534508E-005</v>
      </c>
      <c r="E332" s="22" t="n">
        <f aca="false">B332^2</f>
        <v>6.46719947721E-005</v>
      </c>
      <c r="F332" s="22" t="n">
        <f aca="false">C332^2</f>
        <v>5.27325773584E-005</v>
      </c>
    </row>
    <row r="333" customFormat="false" ht="15" hidden="false" customHeight="false" outlineLevel="0" collapsed="false">
      <c r="A333" s="2" t="n">
        <v>326</v>
      </c>
      <c r="B333" s="21" t="n">
        <v>-0.03133175</v>
      </c>
      <c r="C333" s="21" t="n">
        <v>-0.0401076</v>
      </c>
      <c r="D333" s="22" t="n">
        <f aca="false">B333*C333</f>
        <v>0.0012566412963</v>
      </c>
      <c r="E333" s="22" t="n">
        <f aca="false">B333^2</f>
        <v>0.0009816785580625</v>
      </c>
      <c r="F333" s="22" t="n">
        <f aca="false">C333^2</f>
        <v>0.00160861957776</v>
      </c>
    </row>
    <row r="334" customFormat="false" ht="15" hidden="false" customHeight="false" outlineLevel="0" collapsed="false">
      <c r="A334" s="2" t="n">
        <v>327</v>
      </c>
      <c r="B334" s="21" t="n">
        <v>-0.0381793</v>
      </c>
      <c r="C334" s="21" t="n">
        <v>-0.06326237</v>
      </c>
      <c r="D334" s="22" t="n">
        <f aca="false">B334*C334</f>
        <v>0.002415313002941</v>
      </c>
      <c r="E334" s="22" t="n">
        <f aca="false">B334^2</f>
        <v>0.00145765894849</v>
      </c>
      <c r="F334" s="22" t="n">
        <f aca="false">C334^2</f>
        <v>0.0040021274580169</v>
      </c>
    </row>
    <row r="335" customFormat="false" ht="15" hidden="false" customHeight="false" outlineLevel="0" collapsed="false">
      <c r="A335" s="2" t="n">
        <v>328</v>
      </c>
      <c r="B335" s="21" t="n">
        <v>-0.00013267</v>
      </c>
      <c r="C335" s="21" t="n">
        <v>0.01130614</v>
      </c>
      <c r="D335" s="22" t="n">
        <f aca="false">B335*C335</f>
        <v>-1.4999855938E-006</v>
      </c>
      <c r="E335" s="22" t="n">
        <f aca="false">B335^2</f>
        <v>1.76013289E-008</v>
      </c>
      <c r="F335" s="22" t="n">
        <f aca="false">C335^2</f>
        <v>0.0001278288016996</v>
      </c>
    </row>
    <row r="336" customFormat="false" ht="15" hidden="false" customHeight="false" outlineLevel="0" collapsed="false">
      <c r="A336" s="2" t="n">
        <v>329</v>
      </c>
      <c r="B336" s="21" t="n">
        <v>-0.02815223</v>
      </c>
      <c r="C336" s="21" t="n">
        <v>-0.03432734</v>
      </c>
      <c r="D336" s="22" t="n">
        <f aca="false">B336*C336</f>
        <v>0.0009663911709682</v>
      </c>
      <c r="E336" s="22" t="n">
        <f aca="false">B336^2</f>
        <v>0.0007925480539729</v>
      </c>
      <c r="F336" s="22" t="n">
        <f aca="false">C336^2</f>
        <v>0.0011783662714756</v>
      </c>
    </row>
    <row r="337" customFormat="false" ht="15" hidden="false" customHeight="false" outlineLevel="0" collapsed="false">
      <c r="A337" s="2" t="n">
        <v>330</v>
      </c>
      <c r="B337" s="21" t="n">
        <v>-0.01666934</v>
      </c>
      <c r="C337" s="21" t="n">
        <v>-0.04210351</v>
      </c>
      <c r="D337" s="22" t="n">
        <f aca="false">B337*C337</f>
        <v>0.0007018377233834</v>
      </c>
      <c r="E337" s="22" t="n">
        <f aca="false">B337^2</f>
        <v>0.0002778668960356</v>
      </c>
      <c r="F337" s="22" t="n">
        <f aca="false">C337^2</f>
        <v>0.0017727055543201</v>
      </c>
    </row>
    <row r="338" customFormat="false" ht="15" hidden="false" customHeight="false" outlineLevel="0" collapsed="false">
      <c r="A338" s="2" t="n">
        <v>331</v>
      </c>
      <c r="B338" s="21" t="n">
        <v>0.03456354</v>
      </c>
      <c r="C338" s="21" t="n">
        <v>0.04630385</v>
      </c>
      <c r="D338" s="22" t="n">
        <f aca="false">B338*C338</f>
        <v>0.001600424971629</v>
      </c>
      <c r="E338" s="22" t="n">
        <f aca="false">B338^2</f>
        <v>0.0011946382973316</v>
      </c>
      <c r="F338" s="22" t="n">
        <f aca="false">C338^2</f>
        <v>0.0021440465248225</v>
      </c>
    </row>
    <row r="339" customFormat="false" ht="15" hidden="false" customHeight="false" outlineLevel="0" collapsed="false">
      <c r="A339" s="2" t="n">
        <v>332</v>
      </c>
      <c r="B339" s="21" t="n">
        <v>-0.08390795</v>
      </c>
      <c r="C339" s="21" t="n">
        <v>-0.0417112</v>
      </c>
      <c r="D339" s="22" t="n">
        <f aca="false">B339*C339</f>
        <v>0.00349990128404</v>
      </c>
      <c r="E339" s="22" t="n">
        <f aca="false">B339^2</f>
        <v>0.0070405440732025</v>
      </c>
      <c r="F339" s="22" t="n">
        <f aca="false">C339^2</f>
        <v>0.00173982420544</v>
      </c>
    </row>
    <row r="340" customFormat="false" ht="15" hidden="false" customHeight="false" outlineLevel="0" collapsed="false">
      <c r="A340" s="2" t="n">
        <v>333</v>
      </c>
      <c r="B340" s="21" t="n">
        <v>-0.0087743</v>
      </c>
      <c r="C340" s="21" t="n">
        <v>0.00839061</v>
      </c>
      <c r="D340" s="22" t="n">
        <f aca="false">B340*C340</f>
        <v>-7.3621729323E-005</v>
      </c>
      <c r="E340" s="22" t="n">
        <f aca="false">B340^2</f>
        <v>7.698834049E-005</v>
      </c>
      <c r="F340" s="22" t="n">
        <f aca="false">C340^2</f>
        <v>7.04023361721E-005</v>
      </c>
    </row>
    <row r="341" customFormat="false" ht="15" hidden="false" customHeight="false" outlineLevel="0" collapsed="false">
      <c r="A341" s="2" t="n">
        <v>334</v>
      </c>
      <c r="B341" s="21" t="n">
        <v>-0.05702343</v>
      </c>
      <c r="C341" s="21" t="n">
        <v>-0.10493666</v>
      </c>
      <c r="D341" s="22" t="n">
        <f aca="false">B341*C341</f>
        <v>0.0059838482859438</v>
      </c>
      <c r="E341" s="22" t="n">
        <f aca="false">B341^2</f>
        <v>0.0032516715689649</v>
      </c>
      <c r="F341" s="22" t="n">
        <f aca="false">C341^2</f>
        <v>0.0110117026119556</v>
      </c>
    </row>
    <row r="342" customFormat="false" ht="15" hidden="false" customHeight="false" outlineLevel="0" collapsed="false">
      <c r="A342" s="2" t="n">
        <v>335</v>
      </c>
      <c r="B342" s="21" t="n">
        <v>0.15052111</v>
      </c>
      <c r="C342" s="21" t="n">
        <v>0.11555403</v>
      </c>
      <c r="D342" s="22" t="n">
        <f aca="false">B342*C342</f>
        <v>0.0173933208605733</v>
      </c>
      <c r="E342" s="22" t="n">
        <f aca="false">B342^2</f>
        <v>0.0226566045556321</v>
      </c>
      <c r="F342" s="22" t="n">
        <f aca="false">C342^2</f>
        <v>0.0133527338492409</v>
      </c>
    </row>
    <row r="343" customFormat="false" ht="15" hidden="false" customHeight="false" outlineLevel="0" collapsed="false">
      <c r="A343" s="2" t="n">
        <v>336</v>
      </c>
      <c r="B343" s="21" t="n">
        <v>-0.0020021</v>
      </c>
      <c r="C343" s="21" t="n">
        <v>0.03305318</v>
      </c>
      <c r="D343" s="22" t="n">
        <f aca="false">B343*C343</f>
        <v>-6.6175771678E-005</v>
      </c>
      <c r="E343" s="22" t="n">
        <f aca="false">B343^2</f>
        <v>4.00840441E-006</v>
      </c>
      <c r="F343" s="22" t="n">
        <f aca="false">C343^2</f>
        <v>0.0010925127081124</v>
      </c>
    </row>
    <row r="344" customFormat="false" ht="15" hidden="false" customHeight="false" outlineLevel="0" collapsed="false">
      <c r="A344" s="2" t="n">
        <v>337</v>
      </c>
      <c r="B344" s="21" t="n">
        <v>0.02515305</v>
      </c>
      <c r="C344" s="21" t="n">
        <v>-0.00606745</v>
      </c>
      <c r="D344" s="22" t="n">
        <f aca="false">B344*C344</f>
        <v>-0.0001526148732225</v>
      </c>
      <c r="E344" s="22" t="n">
        <f aca="false">B344^2</f>
        <v>0.0006326759243025</v>
      </c>
      <c r="F344" s="22" t="n">
        <f aca="false">C344^2</f>
        <v>3.68139495025E-005</v>
      </c>
    </row>
    <row r="345" customFormat="false" ht="15" hidden="false" customHeight="false" outlineLevel="0" collapsed="false">
      <c r="A345" s="2" t="n">
        <v>338</v>
      </c>
      <c r="B345" s="21" t="n">
        <v>0.04715522</v>
      </c>
      <c r="C345" s="21" t="n">
        <v>-0.00449651</v>
      </c>
      <c r="D345" s="22" t="n">
        <f aca="false">B345*C345</f>
        <v>-0.0002120339182822</v>
      </c>
      <c r="E345" s="22" t="n">
        <f aca="false">B345^2</f>
        <v>0.0022236147732484</v>
      </c>
      <c r="F345" s="22" t="n">
        <f aca="false">C345^2</f>
        <v>2.02186021801E-005</v>
      </c>
    </row>
    <row r="346" customFormat="false" ht="15" hidden="false" customHeight="false" outlineLevel="0" collapsed="false">
      <c r="A346" s="2" t="n">
        <v>339</v>
      </c>
      <c r="B346" s="21" t="n">
        <v>-0.02175936</v>
      </c>
      <c r="C346" s="21" t="n">
        <v>-0.02772312</v>
      </c>
      <c r="D346" s="22" t="n">
        <f aca="false">B346*C346</f>
        <v>0.0006032373484032</v>
      </c>
      <c r="E346" s="22" t="n">
        <f aca="false">B346^2</f>
        <v>0.0004734697476096</v>
      </c>
      <c r="F346" s="22" t="n">
        <f aca="false">C346^2</f>
        <v>0.0007685713825344</v>
      </c>
    </row>
    <row r="347" customFormat="false" ht="15" hidden="false" customHeight="false" outlineLevel="0" collapsed="false">
      <c r="A347" s="2" t="n">
        <v>340</v>
      </c>
      <c r="B347" s="21" t="n">
        <v>-0.0314536</v>
      </c>
      <c r="C347" s="21" t="n">
        <v>-0.01665024</v>
      </c>
      <c r="D347" s="22" t="n">
        <f aca="false">B347*C347</f>
        <v>0.000523709988864</v>
      </c>
      <c r="E347" s="22" t="n">
        <f aca="false">B347^2</f>
        <v>0.00098932895296</v>
      </c>
      <c r="F347" s="22" t="n">
        <f aca="false">C347^2</f>
        <v>0.0002772304920576</v>
      </c>
    </row>
    <row r="348" customFormat="false" ht="15" hidden="false" customHeight="false" outlineLevel="0" collapsed="false">
      <c r="A348" s="2" t="n">
        <v>341</v>
      </c>
      <c r="B348" s="21" t="n">
        <v>0.0915866</v>
      </c>
      <c r="C348" s="21" t="n">
        <v>0.09773587</v>
      </c>
      <c r="D348" s="22" t="n">
        <f aca="false">B348*C348</f>
        <v>0.008951296031342</v>
      </c>
      <c r="E348" s="22" t="n">
        <f aca="false">B348^2</f>
        <v>0.00838810529956</v>
      </c>
      <c r="F348" s="22" t="n">
        <f aca="false">C348^2</f>
        <v>0.0095523002846569</v>
      </c>
    </row>
    <row r="349" customFormat="false" ht="15" hidden="false" customHeight="false" outlineLevel="0" collapsed="false">
      <c r="A349" s="2" t="n">
        <v>342</v>
      </c>
      <c r="B349" s="21" t="n">
        <v>-0.02457509</v>
      </c>
      <c r="C349" s="21" t="n">
        <v>-0.02344856</v>
      </c>
      <c r="D349" s="22" t="n">
        <f aca="false">B349*C349</f>
        <v>0.0005762504723704</v>
      </c>
      <c r="E349" s="22" t="n">
        <f aca="false">B349^2</f>
        <v>0.0006039350485081</v>
      </c>
      <c r="F349" s="22" t="n">
        <f aca="false">C349^2</f>
        <v>0.0005498349660736</v>
      </c>
    </row>
    <row r="350" customFormat="false" ht="15" hidden="false" customHeight="false" outlineLevel="0" collapsed="false">
      <c r="A350" s="2" t="n">
        <v>343</v>
      </c>
      <c r="B350" s="21" t="n">
        <v>-0.10140358</v>
      </c>
      <c r="C350" s="21" t="n">
        <v>-0.09835959</v>
      </c>
      <c r="D350" s="22" t="n">
        <f aca="false">B350*C350</f>
        <v>0.0099740145533322</v>
      </c>
      <c r="E350" s="22" t="n">
        <f aca="false">B350^2</f>
        <v>0.0102826860368164</v>
      </c>
      <c r="F350" s="22" t="n">
        <f aca="false">C350^2</f>
        <v>0.0096746089449681</v>
      </c>
    </row>
    <row r="351" customFormat="false" ht="15" hidden="false" customHeight="false" outlineLevel="0" collapsed="false">
      <c r="A351" s="2" t="n">
        <v>344</v>
      </c>
      <c r="B351" s="21" t="n">
        <v>-0.03517245</v>
      </c>
      <c r="C351" s="21" t="n">
        <v>0.01296254</v>
      </c>
      <c r="D351" s="22" t="n">
        <f aca="false">B351*C351</f>
        <v>-0.000455924290023</v>
      </c>
      <c r="E351" s="22" t="n">
        <f aca="false">B351^2</f>
        <v>0.0012371012390025</v>
      </c>
      <c r="F351" s="22" t="n">
        <f aca="false">C351^2</f>
        <v>0.0001680274432516</v>
      </c>
    </row>
    <row r="352" customFormat="false" ht="15" hidden="false" customHeight="false" outlineLevel="0" collapsed="false">
      <c r="A352" s="2" t="n">
        <v>345</v>
      </c>
      <c r="B352" s="21" t="n">
        <v>-0.03420767</v>
      </c>
      <c r="C352" s="21" t="n">
        <v>-0.02348599</v>
      </c>
      <c r="D352" s="22" t="n">
        <f aca="false">B352*C352</f>
        <v>0.0008034009955433</v>
      </c>
      <c r="E352" s="22" t="n">
        <f aca="false">B352^2</f>
        <v>0.0011701646868289</v>
      </c>
      <c r="F352" s="22" t="n">
        <f aca="false">C352^2</f>
        <v>0.0005515917262801</v>
      </c>
    </row>
    <row r="353" customFormat="false" ht="15" hidden="false" customHeight="false" outlineLevel="0" collapsed="false">
      <c r="A353" s="2" t="n">
        <v>346</v>
      </c>
      <c r="B353" s="21" t="n">
        <v>-0.00085098</v>
      </c>
      <c r="C353" s="21" t="n">
        <v>-0.00384821</v>
      </c>
      <c r="D353" s="22" t="n">
        <f aca="false">B353*C353</f>
        <v>3.2747497458E-006</v>
      </c>
      <c r="E353" s="22" t="n">
        <f aca="false">B353^2</f>
        <v>7.241669604E-007</v>
      </c>
      <c r="F353" s="22" t="n">
        <f aca="false">C353^2</f>
        <v>1.48087202041E-005</v>
      </c>
    </row>
    <row r="354" customFormat="false" ht="15" hidden="false" customHeight="false" outlineLevel="0" collapsed="false">
      <c r="A354" s="2" t="n">
        <v>347</v>
      </c>
      <c r="B354" s="21" t="n">
        <v>0.00691119</v>
      </c>
      <c r="C354" s="21" t="n">
        <v>0.00428371</v>
      </c>
      <c r="D354" s="22" t="n">
        <f aca="false">B354*C354</f>
        <v>2.96055337149E-005</v>
      </c>
      <c r="E354" s="22" t="n">
        <f aca="false">B354^2</f>
        <v>4.77645472161E-005</v>
      </c>
      <c r="F354" s="22" t="n">
        <f aca="false">C354^2</f>
        <v>1.83501713641E-005</v>
      </c>
    </row>
    <row r="355" customFormat="false" ht="15" hidden="false" customHeight="false" outlineLevel="0" collapsed="false">
      <c r="A355" s="2" t="n">
        <v>348</v>
      </c>
      <c r="B355" s="21" t="n">
        <v>-0.03810451</v>
      </c>
      <c r="C355" s="21" t="n">
        <v>-0.03053808</v>
      </c>
      <c r="D355" s="22" t="n">
        <f aca="false">B355*C355</f>
        <v>0.0011636385747408</v>
      </c>
      <c r="E355" s="22" t="n">
        <f aca="false">B355^2</f>
        <v>0.0014519536823401</v>
      </c>
      <c r="F355" s="22" t="n">
        <f aca="false">C355^2</f>
        <v>0.0009325743300864</v>
      </c>
    </row>
    <row r="356" customFormat="false" ht="15" hidden="false" customHeight="false" outlineLevel="0" collapsed="false">
      <c r="A356" s="2" t="n">
        <v>349</v>
      </c>
      <c r="B356" s="21" t="n">
        <v>-0.05408052</v>
      </c>
      <c r="C356" s="21" t="n">
        <v>-0.12980606</v>
      </c>
      <c r="D356" s="22" t="n">
        <f aca="false">B356*C356</f>
        <v>0.0070199792239512</v>
      </c>
      <c r="E356" s="22" t="n">
        <f aca="false">B356^2</f>
        <v>0.0029247026434704</v>
      </c>
      <c r="F356" s="22" t="n">
        <f aca="false">C356^2</f>
        <v>0.0168496132127236</v>
      </c>
    </row>
    <row r="357" customFormat="false" ht="15" hidden="false" customHeight="false" outlineLevel="0" collapsed="false">
      <c r="A357" s="2" t="n">
        <v>350</v>
      </c>
      <c r="B357" s="21" t="n">
        <v>0.01378669</v>
      </c>
      <c r="C357" s="21" t="n">
        <v>0.04211257</v>
      </c>
      <c r="D357" s="22" t="n">
        <f aca="false">B357*C357</f>
        <v>0.0005805929476933</v>
      </c>
      <c r="E357" s="22" t="n">
        <f aca="false">B357^2</f>
        <v>0.0001900728211561</v>
      </c>
      <c r="F357" s="22" t="n">
        <f aca="false">C357^2</f>
        <v>0.0017734685520049</v>
      </c>
    </row>
    <row r="358" customFormat="false" ht="15" hidden="false" customHeight="false" outlineLevel="0" collapsed="false">
      <c r="A358" s="2" t="n">
        <v>351</v>
      </c>
      <c r="B358" s="21" t="n">
        <v>0.00615362</v>
      </c>
      <c r="C358" s="21" t="n">
        <v>0.0072631</v>
      </c>
      <c r="D358" s="22" t="n">
        <f aca="false">B358*C358</f>
        <v>4.4694357422E-005</v>
      </c>
      <c r="E358" s="22" t="n">
        <f aca="false">B358^2</f>
        <v>3.78670391044E-005</v>
      </c>
      <c r="F358" s="22" t="n">
        <f aca="false">C358^2</f>
        <v>5.275262161E-005</v>
      </c>
    </row>
    <row r="359" customFormat="false" ht="15" hidden="false" customHeight="false" outlineLevel="0" collapsed="false">
      <c r="A359" s="2" t="n">
        <v>352</v>
      </c>
      <c r="B359" s="21" t="n">
        <v>0.04871236</v>
      </c>
      <c r="C359" s="21" t="n">
        <v>0.06981849</v>
      </c>
      <c r="D359" s="22" t="n">
        <f aca="false">B359*C359</f>
        <v>0.0034010234195364</v>
      </c>
      <c r="E359" s="22" t="n">
        <f aca="false">B359^2</f>
        <v>0.0023728940167696</v>
      </c>
      <c r="F359" s="22" t="n">
        <f aca="false">C359^2</f>
        <v>0.0048746215458801</v>
      </c>
    </row>
    <row r="360" customFormat="false" ht="15" hidden="false" customHeight="false" outlineLevel="0" collapsed="false">
      <c r="A360" s="2" t="n">
        <v>353</v>
      </c>
      <c r="B360" s="21" t="n">
        <v>0.07362414</v>
      </c>
      <c r="C360" s="21" t="n">
        <v>0.01310034</v>
      </c>
      <c r="D360" s="22" t="n">
        <f aca="false">B360*C360</f>
        <v>0.0009645012662076</v>
      </c>
      <c r="E360" s="22" t="n">
        <f aca="false">B360^2</f>
        <v>0.0054205139907396</v>
      </c>
      <c r="F360" s="22" t="n">
        <f aca="false">C360^2</f>
        <v>0.0001716189081156</v>
      </c>
    </row>
    <row r="361" customFormat="false" ht="15" hidden="false" customHeight="false" outlineLevel="0" collapsed="false">
      <c r="A361" s="2" t="n">
        <v>354</v>
      </c>
      <c r="B361" s="21" t="n">
        <v>-0.05194652</v>
      </c>
      <c r="C361" s="21" t="n">
        <v>-0.01749105</v>
      </c>
      <c r="D361" s="22" t="n">
        <f aca="false">B361*C361</f>
        <v>0.000908599178646</v>
      </c>
      <c r="E361" s="22" t="n">
        <f aca="false">B361^2</f>
        <v>0.0026984409401104</v>
      </c>
      <c r="F361" s="22" t="n">
        <f aca="false">C361^2</f>
        <v>0.0003059368301025</v>
      </c>
    </row>
    <row r="362" customFormat="false" ht="15" hidden="false" customHeight="false" outlineLevel="0" collapsed="false">
      <c r="A362" s="2" t="n">
        <v>355</v>
      </c>
      <c r="B362" s="21" t="n">
        <v>0.04680873</v>
      </c>
      <c r="C362" s="21" t="n">
        <v>0.03209539</v>
      </c>
      <c r="D362" s="22" t="n">
        <f aca="false">B362*C362</f>
        <v>0.0015023444447547</v>
      </c>
      <c r="E362" s="22" t="n">
        <f aca="false">B362^2</f>
        <v>0.0021910572042129</v>
      </c>
      <c r="F362" s="22" t="n">
        <f aca="false">C362^2</f>
        <v>0.0010301140592521</v>
      </c>
    </row>
    <row r="363" customFormat="false" ht="15" hidden="false" customHeight="false" outlineLevel="0" collapsed="false">
      <c r="A363" s="2" t="n">
        <v>356</v>
      </c>
      <c r="B363" s="21" t="n">
        <v>0.05706762</v>
      </c>
      <c r="C363" s="21" t="n">
        <v>0.044338</v>
      </c>
      <c r="D363" s="22" t="n">
        <f aca="false">B363*C363</f>
        <v>0.00253026413556</v>
      </c>
      <c r="E363" s="22" t="n">
        <f aca="false">B363^2</f>
        <v>0.0032567132524644</v>
      </c>
      <c r="F363" s="22" t="n">
        <f aca="false">C363^2</f>
        <v>0.001965858244</v>
      </c>
    </row>
    <row r="364" customFormat="false" ht="15" hidden="false" customHeight="false" outlineLevel="0" collapsed="false">
      <c r="A364" s="2" t="n">
        <v>357</v>
      </c>
      <c r="B364" s="21" t="n">
        <v>0.07397151</v>
      </c>
      <c r="C364" s="21" t="n">
        <v>0.02989824</v>
      </c>
      <c r="D364" s="22" t="n">
        <f aca="false">B364*C364</f>
        <v>0.0022116179591424</v>
      </c>
      <c r="E364" s="22" t="n">
        <f aca="false">B364^2</f>
        <v>0.0054717842916801</v>
      </c>
      <c r="F364" s="22" t="n">
        <f aca="false">C364^2</f>
        <v>0.0008939047550976</v>
      </c>
    </row>
    <row r="365" customFormat="false" ht="15" hidden="false" customHeight="false" outlineLevel="0" collapsed="false">
      <c r="A365" s="2" t="n">
        <v>358</v>
      </c>
      <c r="B365" s="21" t="n">
        <v>0.00903139</v>
      </c>
      <c r="C365" s="21" t="n">
        <v>-0.00605105</v>
      </c>
      <c r="D365" s="22" t="n">
        <f aca="false">B365*C365</f>
        <v>-5.46493924595E-005</v>
      </c>
      <c r="E365" s="22" t="n">
        <f aca="false">B365^2</f>
        <v>8.15660053321E-005</v>
      </c>
      <c r="F365" s="22" t="n">
        <f aca="false">C365^2</f>
        <v>3.66152061025E-005</v>
      </c>
    </row>
    <row r="366" customFormat="false" ht="15" hidden="false" customHeight="false" outlineLevel="0" collapsed="false">
      <c r="A366" s="2" t="n">
        <v>359</v>
      </c>
      <c r="B366" s="21" t="n">
        <v>0.09021598</v>
      </c>
      <c r="C366" s="21" t="n">
        <v>0.03403657</v>
      </c>
      <c r="D366" s="22" t="n">
        <f aca="false">B366*C366</f>
        <v>0.0030706425183886</v>
      </c>
      <c r="E366" s="22" t="n">
        <f aca="false">B366^2</f>
        <v>0.0081389230473604</v>
      </c>
      <c r="F366" s="22" t="n">
        <f aca="false">C366^2</f>
        <v>0.0011584880973649</v>
      </c>
    </row>
    <row r="367" customFormat="false" ht="15" hidden="false" customHeight="false" outlineLevel="0" collapsed="false">
      <c r="A367" s="2" t="n">
        <v>360</v>
      </c>
      <c r="B367" s="21" t="n">
        <v>0.04524015</v>
      </c>
      <c r="C367" s="21" t="n">
        <v>0.00724859</v>
      </c>
      <c r="D367" s="22" t="n">
        <f aca="false">B367*C367</f>
        <v>0.0003279272988885</v>
      </c>
      <c r="E367" s="22" t="n">
        <f aca="false">B367^2</f>
        <v>0.0020466711720225</v>
      </c>
      <c r="F367" s="22" t="n">
        <f aca="false">C367^2</f>
        <v>5.25420569881E-005</v>
      </c>
    </row>
    <row r="368" customFormat="false" ht="15" hidden="false" customHeight="false" outlineLevel="0" collapsed="false">
      <c r="A368" s="2" t="n">
        <v>361</v>
      </c>
      <c r="B368" s="21" t="n">
        <v>-0.03259372</v>
      </c>
      <c r="C368" s="21" t="n">
        <v>-0.027212</v>
      </c>
      <c r="D368" s="22" t="n">
        <f aca="false">B368*C368</f>
        <v>0.00088694030864</v>
      </c>
      <c r="E368" s="22" t="n">
        <f aca="false">B368^2</f>
        <v>0.0010623505834384</v>
      </c>
      <c r="F368" s="22" t="n">
        <f aca="false">C368^2</f>
        <v>0.000740492944</v>
      </c>
    </row>
    <row r="369" customFormat="false" ht="15" hidden="false" customHeight="false" outlineLevel="0" collapsed="false">
      <c r="A369" s="2" t="n">
        <v>362</v>
      </c>
      <c r="B369" s="21" t="n">
        <v>-0.00864419</v>
      </c>
      <c r="C369" s="21" t="n">
        <v>-0.0040207</v>
      </c>
      <c r="D369" s="22" t="n">
        <f aca="false">B369*C369</f>
        <v>3.4755694733E-005</v>
      </c>
      <c r="E369" s="22" t="n">
        <f aca="false">B369^2</f>
        <v>7.47220207561E-005</v>
      </c>
      <c r="F369" s="22" t="n">
        <f aca="false">C369^2</f>
        <v>1.616602849E-005</v>
      </c>
    </row>
    <row r="370" customFormat="false" ht="15" hidden="false" customHeight="false" outlineLevel="0" collapsed="false">
      <c r="A370" s="2" t="n">
        <v>363</v>
      </c>
      <c r="B370" s="21" t="n">
        <v>-0.03431813</v>
      </c>
      <c r="C370" s="21" t="n">
        <v>-0.04344075</v>
      </c>
      <c r="D370" s="22" t="n">
        <f aca="false">B370*C370</f>
        <v>0.0014908053057975</v>
      </c>
      <c r="E370" s="22" t="n">
        <f aca="false">B370^2</f>
        <v>0.0011777340466969</v>
      </c>
      <c r="F370" s="22" t="n">
        <f aca="false">C370^2</f>
        <v>0.0018870987605625</v>
      </c>
    </row>
    <row r="371" customFormat="false" ht="15" hidden="false" customHeight="false" outlineLevel="0" collapsed="false">
      <c r="A371" s="2" t="n">
        <v>364</v>
      </c>
      <c r="B371" s="21" t="n">
        <v>0.01057726</v>
      </c>
      <c r="C371" s="21" t="n">
        <v>-0.00272347</v>
      </c>
      <c r="D371" s="22" t="n">
        <f aca="false">B371*C371</f>
        <v>-2.88068502922E-005</v>
      </c>
      <c r="E371" s="22" t="n">
        <f aca="false">B371^2</f>
        <v>0.0001118784291076</v>
      </c>
      <c r="F371" s="22" t="n">
        <f aca="false">C371^2</f>
        <v>7.4172888409E-006</v>
      </c>
    </row>
    <row r="372" customFormat="false" ht="15" hidden="false" customHeight="false" outlineLevel="0" collapsed="false">
      <c r="A372" s="2" t="n">
        <v>365</v>
      </c>
      <c r="B372" s="21" t="n">
        <v>0.01026277</v>
      </c>
      <c r="C372" s="21" t="n">
        <v>0.03575226</v>
      </c>
      <c r="D372" s="22" t="n">
        <f aca="false">B372*C372</f>
        <v>0.0003669172213602</v>
      </c>
      <c r="E372" s="22" t="n">
        <f aca="false">B372^2</f>
        <v>0.0001053244480729</v>
      </c>
      <c r="F372" s="22" t="n">
        <f aca="false">C372^2</f>
        <v>0.0012782240951076</v>
      </c>
    </row>
    <row r="373" customFormat="false" ht="15" hidden="false" customHeight="false" outlineLevel="0" collapsed="false">
      <c r="A373" s="2" t="n">
        <v>366</v>
      </c>
      <c r="B373" s="21" t="n">
        <v>-0.03233997</v>
      </c>
      <c r="C373" s="21" t="n">
        <v>-0.05197236</v>
      </c>
      <c r="D373" s="22" t="n">
        <f aca="false">B373*C373</f>
        <v>0.0016807845632292</v>
      </c>
      <c r="E373" s="22" t="n">
        <f aca="false">B373^2</f>
        <v>0.0010458736596009</v>
      </c>
      <c r="F373" s="22" t="n">
        <f aca="false">C373^2</f>
        <v>0.0027011262039696</v>
      </c>
    </row>
    <row r="374" customFormat="false" ht="15" hidden="false" customHeight="false" outlineLevel="0" collapsed="false">
      <c r="A374" s="2" t="n">
        <v>367</v>
      </c>
      <c r="B374" s="21" t="n">
        <v>-0.06461599</v>
      </c>
      <c r="C374" s="21" t="n">
        <v>-0.08767154</v>
      </c>
      <c r="D374" s="22" t="n">
        <f aca="false">B374*C374</f>
        <v>0.0056649833519246</v>
      </c>
      <c r="E374" s="22" t="n">
        <f aca="false">B374^2</f>
        <v>0.0041752261636801</v>
      </c>
      <c r="F374" s="22" t="n">
        <f aca="false">C374^2</f>
        <v>0.0076862989259716</v>
      </c>
    </row>
    <row r="375" customFormat="false" ht="15" hidden="false" customHeight="false" outlineLevel="0" collapsed="false">
      <c r="A375" s="2" t="n">
        <v>368</v>
      </c>
      <c r="B375" s="21" t="n">
        <v>-0.04194813</v>
      </c>
      <c r="C375" s="21" t="n">
        <v>-0.03383357</v>
      </c>
      <c r="D375" s="22" t="n">
        <f aca="false">B375*C375</f>
        <v>0.0014192549927241</v>
      </c>
      <c r="E375" s="22" t="n">
        <f aca="false">B375^2</f>
        <v>0.0017596456104969</v>
      </c>
      <c r="F375" s="22" t="n">
        <f aca="false">C375^2</f>
        <v>0.0011447104589449</v>
      </c>
    </row>
    <row r="376" customFormat="false" ht="15" hidden="false" customHeight="false" outlineLevel="0" collapsed="false">
      <c r="A376" s="2" t="n">
        <v>369</v>
      </c>
      <c r="B376" s="21" t="n">
        <v>0.00873414</v>
      </c>
      <c r="C376" s="21" t="n">
        <v>0.00230198</v>
      </c>
      <c r="D376" s="22" t="n">
        <f aca="false">B376*C376</f>
        <v>2.01058155972E-005</v>
      </c>
      <c r="E376" s="22" t="n">
        <f aca="false">B376^2</f>
        <v>7.62852015396E-005</v>
      </c>
      <c r="F376" s="22" t="n">
        <f aca="false">C376^2</f>
        <v>5.2991119204E-006</v>
      </c>
    </row>
    <row r="377" customFormat="false" ht="15" hidden="false" customHeight="false" outlineLevel="0" collapsed="false">
      <c r="A377" s="2" t="n">
        <v>370</v>
      </c>
      <c r="B377" s="21" t="n">
        <v>0.05529883</v>
      </c>
      <c r="C377" s="21" t="n">
        <v>0.0051657</v>
      </c>
      <c r="D377" s="22" t="n">
        <f aca="false">B377*C377</f>
        <v>0.000285657166131</v>
      </c>
      <c r="E377" s="22" t="n">
        <f aca="false">B377^2</f>
        <v>0.0030579605993689</v>
      </c>
      <c r="F377" s="22" t="n">
        <f aca="false">C377^2</f>
        <v>2.668445649E-005</v>
      </c>
    </row>
    <row r="378" customFormat="false" ht="15" hidden="false" customHeight="false" outlineLevel="0" collapsed="false">
      <c r="A378" s="2" t="n">
        <v>371</v>
      </c>
      <c r="B378" s="21" t="n">
        <v>-0.00959505</v>
      </c>
      <c r="C378" s="21" t="n">
        <v>-0.00508617</v>
      </c>
      <c r="D378" s="22" t="n">
        <f aca="false">B378*C378</f>
        <v>4.88020554585E-005</v>
      </c>
      <c r="E378" s="22" t="n">
        <f aca="false">B378^2</f>
        <v>9.20649845025E-005</v>
      </c>
      <c r="F378" s="22" t="n">
        <f aca="false">C378^2</f>
        <v>2.58691252689E-005</v>
      </c>
    </row>
    <row r="379" customFormat="false" ht="15" hidden="false" customHeight="false" outlineLevel="0" collapsed="false">
      <c r="A379" s="2" t="n">
        <v>372</v>
      </c>
      <c r="B379" s="21" t="n">
        <v>-0.02474191</v>
      </c>
      <c r="C379" s="21" t="n">
        <v>-0.01902405</v>
      </c>
      <c r="D379" s="22" t="n">
        <f aca="false">B379*C379</f>
        <v>0.0004706913329355</v>
      </c>
      <c r="E379" s="22" t="n">
        <f aca="false">B379^2</f>
        <v>0.0006121621104481</v>
      </c>
      <c r="F379" s="22" t="n">
        <f aca="false">C379^2</f>
        <v>0.0003619144784025</v>
      </c>
    </row>
    <row r="380" customFormat="false" ht="15" hidden="false" customHeight="false" outlineLevel="0" collapsed="false">
      <c r="A380" s="2" t="n">
        <v>373</v>
      </c>
      <c r="B380" s="21" t="n">
        <v>0.03214455</v>
      </c>
      <c r="C380" s="21" t="n">
        <v>0.03002969</v>
      </c>
      <c r="D380" s="22" t="n">
        <f aca="false">B380*C380</f>
        <v>0.0009652908716895</v>
      </c>
      <c r="E380" s="22" t="n">
        <f aca="false">B380^2</f>
        <v>0.0010332720947025</v>
      </c>
      <c r="F380" s="22" t="n">
        <f aca="false">C380^2</f>
        <v>0.0009017822814961</v>
      </c>
    </row>
    <row r="381" customFormat="false" ht="15" hidden="false" customHeight="false" outlineLevel="0" collapsed="false">
      <c r="A381" s="2" t="n">
        <v>374</v>
      </c>
      <c r="B381" s="21" t="n">
        <v>0.03141052</v>
      </c>
      <c r="C381" s="21" t="n">
        <v>0.01390712</v>
      </c>
      <c r="D381" s="22" t="n">
        <f aca="false">B381*C381</f>
        <v>0.0004368298709024</v>
      </c>
      <c r="E381" s="22" t="n">
        <f aca="false">B381^2</f>
        <v>0.0009866207666704</v>
      </c>
      <c r="F381" s="22" t="n">
        <f aca="false">C381^2</f>
        <v>0.0001934079866944</v>
      </c>
    </row>
    <row r="382" customFormat="false" ht="15" hidden="false" customHeight="false" outlineLevel="0" collapsed="false">
      <c r="A382" s="2" t="n">
        <v>375</v>
      </c>
      <c r="B382" s="21" t="n">
        <v>0.03585405</v>
      </c>
      <c r="C382" s="21" t="n">
        <v>0.07104917</v>
      </c>
      <c r="D382" s="22" t="n">
        <f aca="false">B382*C382</f>
        <v>0.0025474004936385</v>
      </c>
      <c r="E382" s="22" t="n">
        <f aca="false">B382^2</f>
        <v>0.0012855129014025</v>
      </c>
      <c r="F382" s="22" t="n">
        <f aca="false">C382^2</f>
        <v>0.0050479845576889</v>
      </c>
    </row>
    <row r="383" customFormat="false" ht="15" hidden="false" customHeight="false" outlineLevel="0" collapsed="false">
      <c r="A383" s="2" t="n">
        <v>376</v>
      </c>
      <c r="B383" s="21" t="n">
        <v>-0.00938302</v>
      </c>
      <c r="C383" s="21" t="n">
        <v>-0.00110818</v>
      </c>
      <c r="D383" s="22" t="n">
        <f aca="false">B383*C383</f>
        <v>1.03980751036E-005</v>
      </c>
      <c r="E383" s="22" t="n">
        <f aca="false">B383^2</f>
        <v>8.80410643204E-005</v>
      </c>
      <c r="F383" s="22" t="n">
        <f aca="false">C383^2</f>
        <v>1.2280629124E-006</v>
      </c>
    </row>
    <row r="384" customFormat="false" ht="15" hidden="false" customHeight="false" outlineLevel="0" collapsed="false">
      <c r="A384" s="2" t="n">
        <v>377</v>
      </c>
      <c r="B384" s="21" t="n">
        <v>0.00465996</v>
      </c>
      <c r="C384" s="21" t="n">
        <v>0.02063254</v>
      </c>
      <c r="D384" s="22" t="n">
        <f aca="false">B384*C384</f>
        <v>9.61468110984E-005</v>
      </c>
      <c r="E384" s="22" t="n">
        <f aca="false">B384^2</f>
        <v>2.17152272016E-005</v>
      </c>
      <c r="F384" s="22" t="n">
        <f aca="false">C384^2</f>
        <v>0.0004257017068516</v>
      </c>
    </row>
    <row r="385" customFormat="false" ht="15" hidden="false" customHeight="false" outlineLevel="0" collapsed="false">
      <c r="A385" s="2" t="n">
        <v>378</v>
      </c>
      <c r="B385" s="21" t="n">
        <v>-0.08187681</v>
      </c>
      <c r="C385" s="21" t="n">
        <v>-0.00815622</v>
      </c>
      <c r="D385" s="22" t="n">
        <f aca="false">B385*C385</f>
        <v>0.0006678052752582</v>
      </c>
      <c r="E385" s="22" t="n">
        <f aca="false">B385^2</f>
        <v>0.0067038120157761</v>
      </c>
      <c r="F385" s="22" t="n">
        <f aca="false">C385^2</f>
        <v>6.65239246884E-005</v>
      </c>
    </row>
    <row r="386" customFormat="false" ht="15" hidden="false" customHeight="false" outlineLevel="0" collapsed="false">
      <c r="A386" s="2" t="n">
        <v>379</v>
      </c>
      <c r="B386" s="21" t="n">
        <v>-0.08569363</v>
      </c>
      <c r="C386" s="21" t="n">
        <v>-0.05016718</v>
      </c>
      <c r="D386" s="22" t="n">
        <f aca="false">B386*C386</f>
        <v>0.0042990077610634</v>
      </c>
      <c r="E386" s="22" t="n">
        <f aca="false">B386^2</f>
        <v>0.0073433982225769</v>
      </c>
      <c r="F386" s="22" t="n">
        <f aca="false">C386^2</f>
        <v>0.0025167459491524</v>
      </c>
    </row>
    <row r="387" customFormat="false" ht="15" hidden="false" customHeight="false" outlineLevel="0" collapsed="false">
      <c r="A387" s="2" t="n">
        <v>380</v>
      </c>
      <c r="B387" s="21" t="n">
        <v>0.05705811</v>
      </c>
      <c r="C387" s="21" t="n">
        <v>0.06339474</v>
      </c>
      <c r="D387" s="22" t="n">
        <f aca="false">B387*C387</f>
        <v>0.0036171840483414</v>
      </c>
      <c r="E387" s="22" t="n">
        <f aca="false">B387^2</f>
        <v>0.0032556279167721</v>
      </c>
      <c r="F387" s="22" t="n">
        <f aca="false">C387^2</f>
        <v>0.0040188930596676</v>
      </c>
    </row>
    <row r="388" customFormat="false" ht="15" hidden="false" customHeight="false" outlineLevel="0" collapsed="false">
      <c r="A388" s="2" t="n">
        <v>381</v>
      </c>
      <c r="B388" s="21" t="n">
        <v>0.11333413</v>
      </c>
      <c r="C388" s="21" t="n">
        <v>0.15864661</v>
      </c>
      <c r="D388" s="22" t="n">
        <f aca="false">B388*C388</f>
        <v>0.0179800755217993</v>
      </c>
      <c r="E388" s="22" t="n">
        <f aca="false">B388^2</f>
        <v>0.0128446250228569</v>
      </c>
      <c r="F388" s="22" t="n">
        <f aca="false">C388^2</f>
        <v>0.0251687468644921</v>
      </c>
    </row>
    <row r="389" customFormat="false" ht="15" hidden="false" customHeight="false" outlineLevel="0" collapsed="false">
      <c r="A389" s="2" t="n">
        <v>382</v>
      </c>
      <c r="B389" s="21" t="n">
        <v>0.00608076</v>
      </c>
      <c r="C389" s="21" t="n">
        <v>0.04521775</v>
      </c>
      <c r="D389" s="22" t="n">
        <f aca="false">B389*C389</f>
        <v>0.00027495828549</v>
      </c>
      <c r="E389" s="22" t="n">
        <f aca="false">B389^2</f>
        <v>3.69756421776E-005</v>
      </c>
      <c r="F389" s="22" t="n">
        <f aca="false">C389^2</f>
        <v>0.0020446449150625</v>
      </c>
    </row>
    <row r="390" customFormat="false" ht="15" hidden="false" customHeight="false" outlineLevel="0" collapsed="false">
      <c r="A390" s="2" t="n">
        <v>383</v>
      </c>
      <c r="B390" s="21" t="n">
        <v>-0.03480301</v>
      </c>
      <c r="C390" s="21" t="n">
        <v>0.0328022</v>
      </c>
      <c r="D390" s="22" t="n">
        <f aca="false">B390*C390</f>
        <v>-0.001141615294622</v>
      </c>
      <c r="E390" s="22" t="n">
        <f aca="false">B390^2</f>
        <v>0.0012112495050601</v>
      </c>
      <c r="F390" s="22" t="n">
        <f aca="false">C390^2</f>
        <v>0.00107598432484</v>
      </c>
    </row>
    <row r="391" customFormat="false" ht="15" hidden="false" customHeight="false" outlineLevel="0" collapsed="false">
      <c r="A391" s="2" t="n">
        <v>384</v>
      </c>
      <c r="B391" s="21" t="n">
        <v>-0.00286426</v>
      </c>
      <c r="C391" s="21" t="n">
        <v>-0.02728487</v>
      </c>
      <c r="D391" s="22" t="n">
        <f aca="false">B391*C391</f>
        <v>7.81509617462E-005</v>
      </c>
      <c r="E391" s="22" t="n">
        <f aca="false">B391^2</f>
        <v>8.2039853476E-006</v>
      </c>
      <c r="F391" s="22" t="n">
        <f aca="false">C391^2</f>
        <v>0.0007444641309169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9" t="s">
        <v>378</v>
      </c>
    </row>
    <row r="2" customFormat="false" ht="15" hidden="false" customHeight="false" outlineLevel="0" collapsed="false">
      <c r="A2" s="10" t="s">
        <v>379</v>
      </c>
    </row>
    <row r="4" customFormat="false" ht="15" hidden="false" customHeight="false" outlineLevel="0" collapsed="false">
      <c r="A4" s="7" t="s">
        <v>380</v>
      </c>
      <c r="B4" s="7" t="s">
        <v>381</v>
      </c>
      <c r="C4" s="7" t="s">
        <v>382</v>
      </c>
      <c r="D4" s="7" t="s">
        <v>69</v>
      </c>
      <c r="E4" s="7" t="s">
        <v>383</v>
      </c>
    </row>
    <row r="5" customFormat="false" ht="15" hidden="false" customHeight="false" outlineLevel="0" collapsed="false">
      <c r="A5" s="2" t="s">
        <v>384</v>
      </c>
      <c r="B5" s="2" t="s">
        <v>385</v>
      </c>
      <c r="C5" s="23" t="n">
        <f aca="false">'1.1 Levenshtein'!D18</f>
        <v>0.0526315789473685</v>
      </c>
      <c r="D5" s="15" t="n">
        <v>0.0526</v>
      </c>
      <c r="E5" s="18" t="n">
        <f aca="false">ROUND(C5,4)-D5</f>
        <v>0</v>
      </c>
    </row>
    <row r="6" customFormat="false" ht="15" hidden="false" customHeight="false" outlineLevel="0" collapsed="false">
      <c r="A6" s="2" t="s">
        <v>386</v>
      </c>
      <c r="B6" s="2" t="s">
        <v>385</v>
      </c>
      <c r="C6" s="23" t="n">
        <f aca="false">8/116</f>
        <v>0.0689655172413793</v>
      </c>
      <c r="D6" s="15" t="n">
        <v>0.069</v>
      </c>
      <c r="E6" s="18" t="n">
        <f aca="false">ROUND(C6,4)-D6</f>
        <v>0</v>
      </c>
    </row>
    <row r="7" customFormat="false" ht="15" hidden="false" customHeight="false" outlineLevel="0" collapsed="false">
      <c r="A7" s="2" t="s">
        <v>387</v>
      </c>
      <c r="B7" s="2" t="s">
        <v>388</v>
      </c>
      <c r="C7" s="23" t="n">
        <f aca="false">'1.3 TF-IDF coseno'!P7</f>
        <v>0.100129169304929</v>
      </c>
      <c r="D7" s="15" t="n">
        <v>0.1001</v>
      </c>
      <c r="E7" s="18" t="n">
        <f aca="false">ROUND(C7,4)-D7</f>
        <v>0</v>
      </c>
    </row>
    <row r="8" customFormat="false" ht="15" hidden="false" customHeight="false" outlineLevel="0" collapsed="false">
      <c r="A8" s="2" t="s">
        <v>389</v>
      </c>
      <c r="B8" s="2" t="s">
        <v>390</v>
      </c>
      <c r="C8" s="23" t="n">
        <f aca="false">'1.4 Jaccard'!G8</f>
        <v>0.0869565217391304</v>
      </c>
      <c r="D8" s="15" t="n">
        <v>0.087</v>
      </c>
      <c r="E8" s="18" t="n">
        <f aca="false">ROUND(C8,4)-D8</f>
        <v>0</v>
      </c>
    </row>
    <row r="9" customFormat="false" ht="15" hidden="false" customHeight="false" outlineLevel="0" collapsed="false">
      <c r="A9" s="2" t="s">
        <v>391</v>
      </c>
      <c r="B9" s="2" t="s">
        <v>392</v>
      </c>
      <c r="C9" s="23" t="n">
        <f aca="false">'1.5 GloVe'!I7</f>
        <v>0.934459199425818</v>
      </c>
      <c r="D9" s="15" t="n">
        <v>0.9345</v>
      </c>
      <c r="E9" s="18" t="n">
        <f aca="false">ROUND(C9,4)-D9</f>
        <v>0</v>
      </c>
    </row>
    <row r="10" customFormat="false" ht="15" hidden="false" customHeight="false" outlineLevel="0" collapsed="false">
      <c r="A10" s="2" t="s">
        <v>393</v>
      </c>
      <c r="B10" s="2" t="s">
        <v>394</v>
      </c>
      <c r="C10" s="23" t="n">
        <f aca="false">'1.6 Sentence-BERT'!I7</f>
        <v>0.735490319703036</v>
      </c>
      <c r="D10" s="15" t="n">
        <v>0.7355</v>
      </c>
      <c r="E10" s="18" t="n">
        <f aca="false">ROUND(C10,4)-D10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7.5"/>
  </cols>
  <sheetData>
    <row r="1" customFormat="false" ht="16.15" hidden="false" customHeight="false" outlineLevel="0" collapsed="false">
      <c r="A1" s="9" t="s">
        <v>395</v>
      </c>
    </row>
    <row r="2" customFormat="false" ht="15" hidden="false" customHeight="false" outlineLevel="0" collapsed="false">
      <c r="A2" s="10" t="s">
        <v>396</v>
      </c>
    </row>
    <row r="4" customFormat="false" ht="15" hidden="false" customHeight="false" outlineLevel="0" collapsed="false"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3" t="n">
        <v>17</v>
      </c>
      <c r="S4" s="3" t="n">
        <v>18</v>
      </c>
      <c r="T4" s="3" t="n">
        <v>19</v>
      </c>
      <c r="U4" s="3" t="n">
        <v>20</v>
      </c>
    </row>
    <row r="5" customFormat="false" ht="15" hidden="false" customHeight="false" outlineLevel="0" collapsed="false">
      <c r="A5" s="3" t="n">
        <v>1</v>
      </c>
      <c r="B5" s="15" t="n">
        <v>0</v>
      </c>
      <c r="C5" s="15" t="n">
        <v>0.956442</v>
      </c>
      <c r="D5" s="15" t="n">
        <v>0.976135</v>
      </c>
      <c r="E5" s="15" t="n">
        <v>0.984207</v>
      </c>
      <c r="F5" s="15" t="n">
        <v>0.974116</v>
      </c>
      <c r="G5" s="15" t="n">
        <v>0.974083</v>
      </c>
      <c r="H5" s="15" t="n">
        <v>0.989653</v>
      </c>
      <c r="I5" s="15" t="n">
        <v>0.967967</v>
      </c>
      <c r="J5" s="15" t="n">
        <v>0.960251</v>
      </c>
      <c r="K5" s="15" t="n">
        <v>0.980093</v>
      </c>
      <c r="L5" s="15" t="n">
        <v>0.916241</v>
      </c>
      <c r="M5" s="15" t="n">
        <v>0.962494</v>
      </c>
      <c r="N5" s="15" t="n">
        <v>0.954613</v>
      </c>
      <c r="O5" s="15" t="n">
        <v>0.971148</v>
      </c>
      <c r="P5" s="15" t="n">
        <v>0.959724</v>
      </c>
      <c r="Q5" s="15" t="n">
        <v>0.99899</v>
      </c>
      <c r="R5" s="15" t="n">
        <v>0.984631</v>
      </c>
      <c r="S5" s="15" t="n">
        <v>0.991236</v>
      </c>
      <c r="T5" s="15" t="n">
        <v>0.982973</v>
      </c>
      <c r="U5" s="15" t="n">
        <v>0.959882</v>
      </c>
    </row>
    <row r="6" customFormat="false" ht="15" hidden="false" customHeight="false" outlineLevel="0" collapsed="false">
      <c r="A6" s="3" t="n">
        <v>2</v>
      </c>
      <c r="B6" s="15" t="n">
        <v>0.956442</v>
      </c>
      <c r="C6" s="15" t="n">
        <v>0</v>
      </c>
      <c r="D6" s="15" t="n">
        <v>0.95801</v>
      </c>
      <c r="E6" s="15" t="n">
        <v>0.960479</v>
      </c>
      <c r="F6" s="15" t="n">
        <v>0.859601</v>
      </c>
      <c r="G6" s="15" t="n">
        <v>0.80164</v>
      </c>
      <c r="H6" s="15" t="n">
        <v>0.924366</v>
      </c>
      <c r="I6" s="15" t="n">
        <v>0.935197</v>
      </c>
      <c r="J6" s="15" t="n">
        <v>0.844199</v>
      </c>
      <c r="K6" s="15" t="n">
        <v>0.926497</v>
      </c>
      <c r="L6" s="15" t="n">
        <v>0.913968</v>
      </c>
      <c r="M6" s="15" t="n">
        <v>0.915977</v>
      </c>
      <c r="N6" s="15" t="n">
        <v>0.955489</v>
      </c>
      <c r="O6" s="15" t="n">
        <v>0.968296</v>
      </c>
      <c r="P6" s="15" t="n">
        <v>0.95175</v>
      </c>
      <c r="Q6" s="15" t="n">
        <v>0.975431</v>
      </c>
      <c r="R6" s="15" t="n">
        <v>0.949818</v>
      </c>
      <c r="S6" s="15" t="n">
        <v>0.929495</v>
      </c>
      <c r="T6" s="15" t="n">
        <v>0.919964</v>
      </c>
      <c r="U6" s="15" t="n">
        <v>0.864637</v>
      </c>
    </row>
    <row r="7" customFormat="false" ht="15" hidden="false" customHeight="false" outlineLevel="0" collapsed="false">
      <c r="A7" s="3" t="n">
        <v>3</v>
      </c>
      <c r="B7" s="15" t="n">
        <v>0.976135</v>
      </c>
      <c r="C7" s="15" t="n">
        <v>0.95801</v>
      </c>
      <c r="D7" s="15" t="n">
        <v>0</v>
      </c>
      <c r="E7" s="15" t="n">
        <v>0.987008</v>
      </c>
      <c r="F7" s="15" t="n">
        <v>0.956094</v>
      </c>
      <c r="G7" s="15" t="n">
        <v>0.965959</v>
      </c>
      <c r="H7" s="15" t="n">
        <v>0.972915</v>
      </c>
      <c r="I7" s="15" t="n">
        <v>0.957255</v>
      </c>
      <c r="J7" s="15" t="n">
        <v>0.979154</v>
      </c>
      <c r="K7" s="15" t="n">
        <v>0.968913</v>
      </c>
      <c r="L7" s="15" t="n">
        <v>0.961826</v>
      </c>
      <c r="M7" s="15" t="n">
        <v>0.95158</v>
      </c>
      <c r="N7" s="15" t="n">
        <v>0.966322</v>
      </c>
      <c r="O7" s="15" t="n">
        <v>0.976528</v>
      </c>
      <c r="P7" s="15" t="n">
        <v>0.944692</v>
      </c>
      <c r="Q7" s="15" t="n">
        <v>0.994983</v>
      </c>
      <c r="R7" s="15" t="n">
        <v>0.959847</v>
      </c>
      <c r="S7" s="15" t="n">
        <v>0.986282</v>
      </c>
      <c r="T7" s="15" t="n">
        <v>0.9815</v>
      </c>
      <c r="U7" s="15" t="n">
        <v>0.980861</v>
      </c>
    </row>
    <row r="8" customFormat="false" ht="15" hidden="false" customHeight="false" outlineLevel="0" collapsed="false">
      <c r="A8" s="3" t="n">
        <v>4</v>
      </c>
      <c r="B8" s="15" t="n">
        <v>0.984207</v>
      </c>
      <c r="C8" s="15" t="n">
        <v>0.960479</v>
      </c>
      <c r="D8" s="15" t="n">
        <v>0.987008</v>
      </c>
      <c r="E8" s="15" t="n">
        <v>0</v>
      </c>
      <c r="F8" s="15" t="n">
        <v>0.987689</v>
      </c>
      <c r="G8" s="15" t="n">
        <v>0.982537</v>
      </c>
      <c r="H8" s="15" t="n">
        <v>0.984455</v>
      </c>
      <c r="I8" s="15" t="n">
        <v>0.962478</v>
      </c>
      <c r="J8" s="15" t="n">
        <v>0.981291</v>
      </c>
      <c r="K8" s="15" t="n">
        <v>0.94305</v>
      </c>
      <c r="L8" s="15" t="n">
        <v>0.974766</v>
      </c>
      <c r="M8" s="15" t="n">
        <v>0.973024</v>
      </c>
      <c r="N8" s="15" t="n">
        <v>0.985301</v>
      </c>
      <c r="O8" s="15" t="n">
        <v>0.993734</v>
      </c>
      <c r="P8" s="15" t="n">
        <v>0.981209</v>
      </c>
      <c r="Q8" s="15" t="n">
        <v>0.994413</v>
      </c>
      <c r="R8" s="15" t="n">
        <v>0.984967</v>
      </c>
      <c r="S8" s="15" t="n">
        <v>0.985267</v>
      </c>
      <c r="T8" s="15" t="n">
        <v>0.980311</v>
      </c>
      <c r="U8" s="15" t="n">
        <v>0.974132</v>
      </c>
    </row>
    <row r="9" customFormat="false" ht="15" hidden="false" customHeight="false" outlineLevel="0" collapsed="false">
      <c r="A9" s="3" t="n">
        <v>5</v>
      </c>
      <c r="B9" s="15" t="n">
        <v>0.974116</v>
      </c>
      <c r="C9" s="15" t="n">
        <v>0.859601</v>
      </c>
      <c r="D9" s="15" t="n">
        <v>0.956094</v>
      </c>
      <c r="E9" s="15" t="n">
        <v>0.987689</v>
      </c>
      <c r="F9" s="15" t="n">
        <v>0</v>
      </c>
      <c r="G9" s="15" t="n">
        <v>0.865186</v>
      </c>
      <c r="H9" s="15" t="n">
        <v>0.939444</v>
      </c>
      <c r="I9" s="15" t="n">
        <v>0.910791</v>
      </c>
      <c r="J9" s="15" t="n">
        <v>0.901948</v>
      </c>
      <c r="K9" s="15" t="n">
        <v>0.919731</v>
      </c>
      <c r="L9" s="15" t="n">
        <v>0.949625</v>
      </c>
      <c r="M9" s="15" t="n">
        <v>0.959011</v>
      </c>
      <c r="N9" s="15" t="n">
        <v>0.976227</v>
      </c>
      <c r="O9" s="15" t="n">
        <v>0.980708</v>
      </c>
      <c r="P9" s="15" t="n">
        <v>0.97909</v>
      </c>
      <c r="Q9" s="15" t="n">
        <v>0.958991</v>
      </c>
      <c r="R9" s="15" t="n">
        <v>0.910172</v>
      </c>
      <c r="S9" s="15" t="n">
        <v>0.965831</v>
      </c>
      <c r="T9" s="15" t="n">
        <v>0.979608</v>
      </c>
      <c r="U9" s="15" t="n">
        <v>0.916861</v>
      </c>
    </row>
    <row r="10" customFormat="false" ht="15" hidden="false" customHeight="false" outlineLevel="0" collapsed="false">
      <c r="A10" s="3" t="n">
        <v>6</v>
      </c>
      <c r="B10" s="15" t="n">
        <v>0.974083</v>
      </c>
      <c r="C10" s="15" t="n">
        <v>0.80164</v>
      </c>
      <c r="D10" s="15" t="n">
        <v>0.965959</v>
      </c>
      <c r="E10" s="15" t="n">
        <v>0.982537</v>
      </c>
      <c r="F10" s="15" t="n">
        <v>0.865186</v>
      </c>
      <c r="G10" s="15" t="n">
        <v>0</v>
      </c>
      <c r="H10" s="15" t="n">
        <v>0.935128</v>
      </c>
      <c r="I10" s="15" t="n">
        <v>0.973389</v>
      </c>
      <c r="J10" s="15" t="n">
        <v>0.840219</v>
      </c>
      <c r="K10" s="15" t="n">
        <v>0.974898</v>
      </c>
      <c r="L10" s="15" t="n">
        <v>0.9644</v>
      </c>
      <c r="M10" s="15" t="n">
        <v>0.9366</v>
      </c>
      <c r="N10" s="15" t="n">
        <v>0.968251</v>
      </c>
      <c r="O10" s="15" t="n">
        <v>0.950268</v>
      </c>
      <c r="P10" s="15" t="n">
        <v>0.976856</v>
      </c>
      <c r="Q10" s="15" t="n">
        <v>0.958937</v>
      </c>
      <c r="R10" s="15" t="n">
        <v>0.976993</v>
      </c>
      <c r="S10" s="15" t="n">
        <v>0.966333</v>
      </c>
      <c r="T10" s="15" t="n">
        <v>0.969047</v>
      </c>
      <c r="U10" s="15" t="n">
        <v>0.903666</v>
      </c>
    </row>
    <row r="11" customFormat="false" ht="15" hidden="false" customHeight="false" outlineLevel="0" collapsed="false">
      <c r="A11" s="3" t="n">
        <v>7</v>
      </c>
      <c r="B11" s="15" t="n">
        <v>0.989653</v>
      </c>
      <c r="C11" s="15" t="n">
        <v>0.924366</v>
      </c>
      <c r="D11" s="15" t="n">
        <v>0.972915</v>
      </c>
      <c r="E11" s="15" t="n">
        <v>0.984455</v>
      </c>
      <c r="F11" s="15" t="n">
        <v>0.939444</v>
      </c>
      <c r="G11" s="15" t="n">
        <v>0.935128</v>
      </c>
      <c r="H11" s="15" t="n">
        <v>0</v>
      </c>
      <c r="I11" s="15" t="n">
        <v>0.987262</v>
      </c>
      <c r="J11" s="15" t="n">
        <v>0.939544</v>
      </c>
      <c r="K11" s="15" t="n">
        <v>0.985353</v>
      </c>
      <c r="L11" s="15" t="n">
        <v>0.961622</v>
      </c>
      <c r="M11" s="15" t="n">
        <v>0.962193</v>
      </c>
      <c r="N11" s="15" t="n">
        <v>0.967625</v>
      </c>
      <c r="O11" s="15" t="n">
        <v>0.98867</v>
      </c>
      <c r="P11" s="15" t="n">
        <v>0.956084</v>
      </c>
      <c r="Q11" s="15" t="n">
        <v>0.983428</v>
      </c>
      <c r="R11" s="15" t="n">
        <v>0.9845</v>
      </c>
      <c r="S11" s="15" t="n">
        <v>0.973429</v>
      </c>
      <c r="T11" s="15" t="n">
        <v>0.973893</v>
      </c>
      <c r="U11" s="15" t="n">
        <v>0.946879</v>
      </c>
    </row>
    <row r="12" customFormat="false" ht="15" hidden="false" customHeight="false" outlineLevel="0" collapsed="false">
      <c r="A12" s="3" t="n">
        <v>8</v>
      </c>
      <c r="B12" s="15" t="n">
        <v>0.967967</v>
      </c>
      <c r="C12" s="15" t="n">
        <v>0.935197</v>
      </c>
      <c r="D12" s="15" t="n">
        <v>0.957255</v>
      </c>
      <c r="E12" s="15" t="n">
        <v>0.962478</v>
      </c>
      <c r="F12" s="15" t="n">
        <v>0.910791</v>
      </c>
      <c r="G12" s="15" t="n">
        <v>0.973389</v>
      </c>
      <c r="H12" s="15" t="n">
        <v>0.987262</v>
      </c>
      <c r="I12" s="15" t="n">
        <v>0</v>
      </c>
      <c r="J12" s="15" t="n">
        <v>0.964441</v>
      </c>
      <c r="K12" s="15" t="n">
        <v>0.863297</v>
      </c>
      <c r="L12" s="15" t="n">
        <v>0.930518</v>
      </c>
      <c r="M12" s="15" t="n">
        <v>0.953147</v>
      </c>
      <c r="N12" s="15" t="n">
        <v>0.95686</v>
      </c>
      <c r="O12" s="15" t="n">
        <v>0.978259</v>
      </c>
      <c r="P12" s="15" t="n">
        <v>0.934739</v>
      </c>
      <c r="Q12" s="15" t="n">
        <v>0.991175</v>
      </c>
      <c r="R12" s="15" t="n">
        <v>0.946084</v>
      </c>
      <c r="S12" s="15" t="n">
        <v>0.980018</v>
      </c>
      <c r="T12" s="15" t="n">
        <v>0.980653</v>
      </c>
      <c r="U12" s="15" t="n">
        <v>0.953009</v>
      </c>
    </row>
    <row r="13" customFormat="false" ht="15" hidden="false" customHeight="false" outlineLevel="0" collapsed="false">
      <c r="A13" s="3" t="n">
        <v>9</v>
      </c>
      <c r="B13" s="15" t="n">
        <v>0.960251</v>
      </c>
      <c r="C13" s="15" t="n">
        <v>0.844199</v>
      </c>
      <c r="D13" s="15" t="n">
        <v>0.979154</v>
      </c>
      <c r="E13" s="15" t="n">
        <v>0.981291</v>
      </c>
      <c r="F13" s="15" t="n">
        <v>0.901948</v>
      </c>
      <c r="G13" s="15" t="n">
        <v>0.840219</v>
      </c>
      <c r="H13" s="15" t="n">
        <v>0.939544</v>
      </c>
      <c r="I13" s="15" t="n">
        <v>0.964441</v>
      </c>
      <c r="J13" s="15" t="n">
        <v>0</v>
      </c>
      <c r="K13" s="15" t="n">
        <v>0.965971</v>
      </c>
      <c r="L13" s="15" t="n">
        <v>0.948686</v>
      </c>
      <c r="M13" s="15" t="n">
        <v>0.923627</v>
      </c>
      <c r="N13" s="15" t="n">
        <v>0.98613</v>
      </c>
      <c r="O13" s="15" t="n">
        <v>0.96128</v>
      </c>
      <c r="P13" s="15" t="n">
        <v>0.953323</v>
      </c>
      <c r="Q13" s="15" t="n">
        <v>0.95691</v>
      </c>
      <c r="R13" s="15" t="n">
        <v>0.963658</v>
      </c>
      <c r="S13" s="15" t="n">
        <v>0.941142</v>
      </c>
      <c r="T13" s="15" t="n">
        <v>0.987172</v>
      </c>
      <c r="U13" s="15" t="n">
        <v>0.888898</v>
      </c>
    </row>
    <row r="14" customFormat="false" ht="15" hidden="false" customHeight="false" outlineLevel="0" collapsed="false">
      <c r="A14" s="3" t="n">
        <v>10</v>
      </c>
      <c r="B14" s="15" t="n">
        <v>0.980093</v>
      </c>
      <c r="C14" s="15" t="n">
        <v>0.926497</v>
      </c>
      <c r="D14" s="15" t="n">
        <v>0.968913</v>
      </c>
      <c r="E14" s="15" t="n">
        <v>0.94305</v>
      </c>
      <c r="F14" s="15" t="n">
        <v>0.919731</v>
      </c>
      <c r="G14" s="15" t="n">
        <v>0.974898</v>
      </c>
      <c r="H14" s="15" t="n">
        <v>0.985353</v>
      </c>
      <c r="I14" s="15" t="n">
        <v>0.863297</v>
      </c>
      <c r="J14" s="15" t="n">
        <v>0.965971</v>
      </c>
      <c r="K14" s="15" t="n">
        <v>0</v>
      </c>
      <c r="L14" s="15" t="n">
        <v>0.950325</v>
      </c>
      <c r="M14" s="15" t="n">
        <v>0.977615</v>
      </c>
      <c r="N14" s="15" t="n">
        <v>0.978101</v>
      </c>
      <c r="O14" s="15" t="n">
        <v>0.982756</v>
      </c>
      <c r="P14" s="15" t="n">
        <v>0.956917</v>
      </c>
      <c r="Q14" s="15" t="n">
        <v>0.980368</v>
      </c>
      <c r="R14" s="15" t="n">
        <v>0.93461</v>
      </c>
      <c r="S14" s="15" t="n">
        <v>0.984604</v>
      </c>
      <c r="T14" s="15" t="n">
        <v>0.964416</v>
      </c>
      <c r="U14" s="15" t="n">
        <v>0.963066</v>
      </c>
    </row>
    <row r="15" customFormat="false" ht="15" hidden="false" customHeight="false" outlineLevel="0" collapsed="false">
      <c r="A15" s="3" t="n">
        <v>11</v>
      </c>
      <c r="B15" s="15" t="n">
        <v>0.916241</v>
      </c>
      <c r="C15" s="15" t="n">
        <v>0.913968</v>
      </c>
      <c r="D15" s="15" t="n">
        <v>0.961826</v>
      </c>
      <c r="E15" s="15" t="n">
        <v>0.974766</v>
      </c>
      <c r="F15" s="15" t="n">
        <v>0.949625</v>
      </c>
      <c r="G15" s="15" t="n">
        <v>0.9644</v>
      </c>
      <c r="H15" s="15" t="n">
        <v>0.961622</v>
      </c>
      <c r="I15" s="15" t="n">
        <v>0.930518</v>
      </c>
      <c r="J15" s="15" t="n">
        <v>0.948686</v>
      </c>
      <c r="K15" s="15" t="n">
        <v>0.950325</v>
      </c>
      <c r="L15" s="15" t="n">
        <v>0</v>
      </c>
      <c r="M15" s="15" t="n">
        <v>0.923476</v>
      </c>
      <c r="N15" s="15" t="n">
        <v>0.938388</v>
      </c>
      <c r="O15" s="15" t="n">
        <v>0.935884</v>
      </c>
      <c r="P15" s="15" t="n">
        <v>0.941023</v>
      </c>
      <c r="Q15" s="15" t="n">
        <v>0.899871</v>
      </c>
      <c r="R15" s="15" t="n">
        <v>0.909305</v>
      </c>
      <c r="S15" s="15" t="n">
        <v>0.970163</v>
      </c>
      <c r="T15" s="15" t="n">
        <v>0.958074</v>
      </c>
      <c r="U15" s="15" t="n">
        <v>0.909378</v>
      </c>
    </row>
    <row r="16" customFormat="false" ht="15" hidden="false" customHeight="false" outlineLevel="0" collapsed="false">
      <c r="A16" s="3" t="n">
        <v>12</v>
      </c>
      <c r="B16" s="15" t="n">
        <v>0.962494</v>
      </c>
      <c r="C16" s="15" t="n">
        <v>0.915977</v>
      </c>
      <c r="D16" s="15" t="n">
        <v>0.95158</v>
      </c>
      <c r="E16" s="15" t="n">
        <v>0.973024</v>
      </c>
      <c r="F16" s="15" t="n">
        <v>0.959011</v>
      </c>
      <c r="G16" s="15" t="n">
        <v>0.9366</v>
      </c>
      <c r="H16" s="15" t="n">
        <v>0.962193</v>
      </c>
      <c r="I16" s="15" t="n">
        <v>0.953147</v>
      </c>
      <c r="J16" s="15" t="n">
        <v>0.923627</v>
      </c>
      <c r="K16" s="15" t="n">
        <v>0.977615</v>
      </c>
      <c r="L16" s="15" t="n">
        <v>0.923476</v>
      </c>
      <c r="M16" s="15" t="n">
        <v>0</v>
      </c>
      <c r="N16" s="15" t="n">
        <v>0.967312</v>
      </c>
      <c r="O16" s="15" t="n">
        <v>0.98225</v>
      </c>
      <c r="P16" s="15" t="n">
        <v>0.935306</v>
      </c>
      <c r="Q16" s="15" t="n">
        <v>0.986582</v>
      </c>
      <c r="R16" s="15" t="n">
        <v>0.977079</v>
      </c>
      <c r="S16" s="15" t="n">
        <v>0.966665</v>
      </c>
      <c r="T16" s="15" t="n">
        <v>0.964571</v>
      </c>
      <c r="U16" s="15" t="n">
        <v>0.858078</v>
      </c>
    </row>
    <row r="17" customFormat="false" ht="15" hidden="false" customHeight="false" outlineLevel="0" collapsed="false">
      <c r="A17" s="3" t="n">
        <v>13</v>
      </c>
      <c r="B17" s="15" t="n">
        <v>0.954613</v>
      </c>
      <c r="C17" s="15" t="n">
        <v>0.955489</v>
      </c>
      <c r="D17" s="15" t="n">
        <v>0.966322</v>
      </c>
      <c r="E17" s="15" t="n">
        <v>0.985301</v>
      </c>
      <c r="F17" s="15" t="n">
        <v>0.976227</v>
      </c>
      <c r="G17" s="15" t="n">
        <v>0.968251</v>
      </c>
      <c r="H17" s="15" t="n">
        <v>0.967625</v>
      </c>
      <c r="I17" s="15" t="n">
        <v>0.95686</v>
      </c>
      <c r="J17" s="15" t="n">
        <v>0.98613</v>
      </c>
      <c r="K17" s="15" t="n">
        <v>0.978101</v>
      </c>
      <c r="L17" s="15" t="n">
        <v>0.938388</v>
      </c>
      <c r="M17" s="15" t="n">
        <v>0.967312</v>
      </c>
      <c r="N17" s="15" t="n">
        <v>0</v>
      </c>
      <c r="O17" s="15" t="n">
        <v>0.985758</v>
      </c>
      <c r="P17" s="15" t="n">
        <v>0.980941</v>
      </c>
      <c r="Q17" s="15" t="n">
        <v>0.974597</v>
      </c>
      <c r="R17" s="15" t="n">
        <v>0.956672</v>
      </c>
      <c r="S17" s="15" t="n">
        <v>0.956651</v>
      </c>
      <c r="T17" s="15" t="n">
        <v>0.978772</v>
      </c>
      <c r="U17" s="15" t="n">
        <v>0.933187</v>
      </c>
    </row>
    <row r="18" customFormat="false" ht="15" hidden="false" customHeight="false" outlineLevel="0" collapsed="false">
      <c r="A18" s="3" t="n">
        <v>14</v>
      </c>
      <c r="B18" s="15" t="n">
        <v>0.971148</v>
      </c>
      <c r="C18" s="15" t="n">
        <v>0.968296</v>
      </c>
      <c r="D18" s="15" t="n">
        <v>0.976528</v>
      </c>
      <c r="E18" s="15" t="n">
        <v>0.993734</v>
      </c>
      <c r="F18" s="15" t="n">
        <v>0.980708</v>
      </c>
      <c r="G18" s="15" t="n">
        <v>0.950268</v>
      </c>
      <c r="H18" s="15" t="n">
        <v>0.98867</v>
      </c>
      <c r="I18" s="15" t="n">
        <v>0.978259</v>
      </c>
      <c r="J18" s="15" t="n">
        <v>0.96128</v>
      </c>
      <c r="K18" s="15" t="n">
        <v>0.982756</v>
      </c>
      <c r="L18" s="15" t="n">
        <v>0.935884</v>
      </c>
      <c r="M18" s="15" t="n">
        <v>0.98225</v>
      </c>
      <c r="N18" s="15" t="n">
        <v>0.985758</v>
      </c>
      <c r="O18" s="15" t="n">
        <v>0</v>
      </c>
      <c r="P18" s="15" t="n">
        <v>0.96155</v>
      </c>
      <c r="Q18" s="15" t="n">
        <v>0.983756</v>
      </c>
      <c r="R18" s="15" t="n">
        <v>0.982751</v>
      </c>
      <c r="S18" s="15" t="n">
        <v>0.967651</v>
      </c>
      <c r="T18" s="15" t="n">
        <v>0.994268</v>
      </c>
      <c r="U18" s="15" t="n">
        <v>0.962664</v>
      </c>
    </row>
    <row r="19" customFormat="false" ht="15" hidden="false" customHeight="false" outlineLevel="0" collapsed="false">
      <c r="A19" s="3" t="n">
        <v>15</v>
      </c>
      <c r="B19" s="15" t="n">
        <v>0.959724</v>
      </c>
      <c r="C19" s="15" t="n">
        <v>0.95175</v>
      </c>
      <c r="D19" s="15" t="n">
        <v>0.944692</v>
      </c>
      <c r="E19" s="15" t="n">
        <v>0.981209</v>
      </c>
      <c r="F19" s="15" t="n">
        <v>0.97909</v>
      </c>
      <c r="G19" s="15" t="n">
        <v>0.976856</v>
      </c>
      <c r="H19" s="15" t="n">
        <v>0.956084</v>
      </c>
      <c r="I19" s="15" t="n">
        <v>0.934739</v>
      </c>
      <c r="J19" s="15" t="n">
        <v>0.953323</v>
      </c>
      <c r="K19" s="15" t="n">
        <v>0.956917</v>
      </c>
      <c r="L19" s="15" t="n">
        <v>0.941023</v>
      </c>
      <c r="M19" s="15" t="n">
        <v>0.935306</v>
      </c>
      <c r="N19" s="15" t="n">
        <v>0.980941</v>
      </c>
      <c r="O19" s="15" t="n">
        <v>0.96155</v>
      </c>
      <c r="P19" s="15" t="n">
        <v>0</v>
      </c>
      <c r="Q19" s="15" t="n">
        <v>0.962829</v>
      </c>
      <c r="R19" s="15" t="n">
        <v>0.969052</v>
      </c>
      <c r="S19" s="15" t="n">
        <v>0.965197</v>
      </c>
      <c r="T19" s="15" t="n">
        <v>0.97458</v>
      </c>
      <c r="U19" s="15" t="n">
        <v>0.924812</v>
      </c>
    </row>
    <row r="20" customFormat="false" ht="15" hidden="false" customHeight="false" outlineLevel="0" collapsed="false">
      <c r="A20" s="3" t="n">
        <v>16</v>
      </c>
      <c r="B20" s="15" t="n">
        <v>0.99899</v>
      </c>
      <c r="C20" s="15" t="n">
        <v>0.975431</v>
      </c>
      <c r="D20" s="15" t="n">
        <v>0.994983</v>
      </c>
      <c r="E20" s="15" t="n">
        <v>0.994413</v>
      </c>
      <c r="F20" s="15" t="n">
        <v>0.958991</v>
      </c>
      <c r="G20" s="15" t="n">
        <v>0.958937</v>
      </c>
      <c r="H20" s="15" t="n">
        <v>0.983428</v>
      </c>
      <c r="I20" s="15" t="n">
        <v>0.991175</v>
      </c>
      <c r="J20" s="15" t="n">
        <v>0.95691</v>
      </c>
      <c r="K20" s="15" t="n">
        <v>0.980368</v>
      </c>
      <c r="L20" s="15" t="n">
        <v>0.899871</v>
      </c>
      <c r="M20" s="15" t="n">
        <v>0.986582</v>
      </c>
      <c r="N20" s="15" t="n">
        <v>0.974597</v>
      </c>
      <c r="O20" s="15" t="n">
        <v>0.983756</v>
      </c>
      <c r="P20" s="15" t="n">
        <v>0.962829</v>
      </c>
      <c r="Q20" s="15" t="n">
        <v>0</v>
      </c>
      <c r="R20" s="15" t="n">
        <v>0.970649</v>
      </c>
      <c r="S20" s="15" t="n">
        <v>0.960993</v>
      </c>
      <c r="T20" s="15" t="n">
        <v>0.942321</v>
      </c>
      <c r="U20" s="15" t="n">
        <v>0.977251</v>
      </c>
    </row>
    <row r="21" customFormat="false" ht="15" hidden="false" customHeight="false" outlineLevel="0" collapsed="false">
      <c r="A21" s="3" t="n">
        <v>17</v>
      </c>
      <c r="B21" s="15" t="n">
        <v>0.984631</v>
      </c>
      <c r="C21" s="15" t="n">
        <v>0.949818</v>
      </c>
      <c r="D21" s="15" t="n">
        <v>0.959847</v>
      </c>
      <c r="E21" s="15" t="n">
        <v>0.984967</v>
      </c>
      <c r="F21" s="15" t="n">
        <v>0.910172</v>
      </c>
      <c r="G21" s="15" t="n">
        <v>0.976993</v>
      </c>
      <c r="H21" s="15" t="n">
        <v>0.9845</v>
      </c>
      <c r="I21" s="15" t="n">
        <v>0.946084</v>
      </c>
      <c r="J21" s="15" t="n">
        <v>0.963658</v>
      </c>
      <c r="K21" s="15" t="n">
        <v>0.93461</v>
      </c>
      <c r="L21" s="15" t="n">
        <v>0.909305</v>
      </c>
      <c r="M21" s="15" t="n">
        <v>0.977079</v>
      </c>
      <c r="N21" s="15" t="n">
        <v>0.956672</v>
      </c>
      <c r="O21" s="15" t="n">
        <v>0.982751</v>
      </c>
      <c r="P21" s="15" t="n">
        <v>0.969052</v>
      </c>
      <c r="Q21" s="15" t="n">
        <v>0.970649</v>
      </c>
      <c r="R21" s="15" t="n">
        <v>0</v>
      </c>
      <c r="S21" s="15" t="n">
        <v>0.976455</v>
      </c>
      <c r="T21" s="15" t="n">
        <v>0.968774</v>
      </c>
      <c r="U21" s="15" t="n">
        <v>0.903745</v>
      </c>
    </row>
    <row r="22" customFormat="false" ht="15" hidden="false" customHeight="false" outlineLevel="0" collapsed="false">
      <c r="A22" s="3" t="n">
        <v>18</v>
      </c>
      <c r="B22" s="15" t="n">
        <v>0.991236</v>
      </c>
      <c r="C22" s="15" t="n">
        <v>0.929495</v>
      </c>
      <c r="D22" s="15" t="n">
        <v>0.986282</v>
      </c>
      <c r="E22" s="15" t="n">
        <v>0.985267</v>
      </c>
      <c r="F22" s="15" t="n">
        <v>0.965831</v>
      </c>
      <c r="G22" s="15" t="n">
        <v>0.966333</v>
      </c>
      <c r="H22" s="15" t="n">
        <v>0.973429</v>
      </c>
      <c r="I22" s="15" t="n">
        <v>0.980018</v>
      </c>
      <c r="J22" s="15" t="n">
        <v>0.941142</v>
      </c>
      <c r="K22" s="15" t="n">
        <v>0.984604</v>
      </c>
      <c r="L22" s="15" t="n">
        <v>0.970163</v>
      </c>
      <c r="M22" s="15" t="n">
        <v>0.966665</v>
      </c>
      <c r="N22" s="15" t="n">
        <v>0.956651</v>
      </c>
      <c r="O22" s="15" t="n">
        <v>0.967651</v>
      </c>
      <c r="P22" s="15" t="n">
        <v>0.965197</v>
      </c>
      <c r="Q22" s="15" t="n">
        <v>0.960993</v>
      </c>
      <c r="R22" s="15" t="n">
        <v>0.976455</v>
      </c>
      <c r="S22" s="15" t="n">
        <v>0</v>
      </c>
      <c r="T22" s="15" t="n">
        <v>0.961486</v>
      </c>
      <c r="U22" s="15" t="n">
        <v>0.963677</v>
      </c>
    </row>
    <row r="23" customFormat="false" ht="15" hidden="false" customHeight="false" outlineLevel="0" collapsed="false">
      <c r="A23" s="3" t="n">
        <v>19</v>
      </c>
      <c r="B23" s="15" t="n">
        <v>0.982973</v>
      </c>
      <c r="C23" s="15" t="n">
        <v>0.919964</v>
      </c>
      <c r="D23" s="15" t="n">
        <v>0.9815</v>
      </c>
      <c r="E23" s="15" t="n">
        <v>0.980311</v>
      </c>
      <c r="F23" s="15" t="n">
        <v>0.979608</v>
      </c>
      <c r="G23" s="15" t="n">
        <v>0.969047</v>
      </c>
      <c r="H23" s="15" t="n">
        <v>0.973893</v>
      </c>
      <c r="I23" s="15" t="n">
        <v>0.980653</v>
      </c>
      <c r="J23" s="15" t="n">
        <v>0.987172</v>
      </c>
      <c r="K23" s="15" t="n">
        <v>0.964416</v>
      </c>
      <c r="L23" s="15" t="n">
        <v>0.958074</v>
      </c>
      <c r="M23" s="15" t="n">
        <v>0.964571</v>
      </c>
      <c r="N23" s="15" t="n">
        <v>0.978772</v>
      </c>
      <c r="O23" s="15" t="n">
        <v>0.994268</v>
      </c>
      <c r="P23" s="15" t="n">
        <v>0.97458</v>
      </c>
      <c r="Q23" s="15" t="n">
        <v>0.942321</v>
      </c>
      <c r="R23" s="15" t="n">
        <v>0.968774</v>
      </c>
      <c r="S23" s="15" t="n">
        <v>0.961486</v>
      </c>
      <c r="T23" s="15" t="n">
        <v>0</v>
      </c>
      <c r="U23" s="15" t="n">
        <v>0.97748</v>
      </c>
    </row>
    <row r="24" customFormat="false" ht="15" hidden="false" customHeight="false" outlineLevel="0" collapsed="false">
      <c r="A24" s="3" t="n">
        <v>20</v>
      </c>
      <c r="B24" s="15" t="n">
        <v>0.959882</v>
      </c>
      <c r="C24" s="15" t="n">
        <v>0.864637</v>
      </c>
      <c r="D24" s="15" t="n">
        <v>0.980861</v>
      </c>
      <c r="E24" s="15" t="n">
        <v>0.974132</v>
      </c>
      <c r="F24" s="15" t="n">
        <v>0.916861</v>
      </c>
      <c r="G24" s="15" t="n">
        <v>0.903666</v>
      </c>
      <c r="H24" s="15" t="n">
        <v>0.946879</v>
      </c>
      <c r="I24" s="15" t="n">
        <v>0.953009</v>
      </c>
      <c r="J24" s="15" t="n">
        <v>0.888898</v>
      </c>
      <c r="K24" s="15" t="n">
        <v>0.963066</v>
      </c>
      <c r="L24" s="15" t="n">
        <v>0.909378</v>
      </c>
      <c r="M24" s="15" t="n">
        <v>0.858078</v>
      </c>
      <c r="N24" s="15" t="n">
        <v>0.933187</v>
      </c>
      <c r="O24" s="15" t="n">
        <v>0.962664</v>
      </c>
      <c r="P24" s="15" t="n">
        <v>0.924812</v>
      </c>
      <c r="Q24" s="15" t="n">
        <v>0.977251</v>
      </c>
      <c r="R24" s="15" t="n">
        <v>0.903745</v>
      </c>
      <c r="S24" s="15" t="n">
        <v>0.963677</v>
      </c>
      <c r="T24" s="15" t="n">
        <v>0.97748</v>
      </c>
      <c r="U24" s="15" t="n">
        <v>0</v>
      </c>
    </row>
    <row r="27" customFormat="false" ht="15" hidden="false" customHeight="false" outlineLevel="0" collapsed="false">
      <c r="A27" s="3" t="s">
        <v>397</v>
      </c>
      <c r="D27" s="14" t="n">
        <f aca="false">SMALL(B5:U24,21)</f>
        <v>0.80164</v>
      </c>
    </row>
    <row r="28" customFormat="false" ht="15" hidden="false" customHeight="false" outlineLevel="0" collapsed="false">
      <c r="A28" s="2" t="s">
        <v>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2"/>
  </cols>
  <sheetData>
    <row r="1" customFormat="false" ht="16.15" hidden="false" customHeight="false" outlineLevel="0" collapsed="false">
      <c r="A1" s="9" t="s">
        <v>399</v>
      </c>
    </row>
    <row r="2" customFormat="false" ht="15" hidden="false" customHeight="false" outlineLevel="0" collapsed="false">
      <c r="A2" s="10" t="s">
        <v>400</v>
      </c>
    </row>
    <row r="4" customFormat="false" ht="15" hidden="false" customHeight="false" outlineLevel="0" collapsed="false">
      <c r="A4" s="3" t="s">
        <v>401</v>
      </c>
      <c r="B4" s="24" t="n">
        <f aca="false">'2.1 Distancias TF-IDF'!G6</f>
        <v>0.80164</v>
      </c>
    </row>
    <row r="5" customFormat="false" ht="15" hidden="false" customHeight="false" outlineLevel="0" collapsed="false">
      <c r="A5" s="3" t="s">
        <v>402</v>
      </c>
      <c r="B5" s="4" t="n">
        <v>1</v>
      </c>
    </row>
    <row r="7" customFormat="false" ht="15" hidden="false" customHeight="false" outlineLevel="0" collapsed="false">
      <c r="A7" s="7" t="s">
        <v>370</v>
      </c>
      <c r="B7" s="7" t="s">
        <v>403</v>
      </c>
      <c r="C7" s="7" t="s">
        <v>404</v>
      </c>
      <c r="D7" s="7" t="s">
        <v>405</v>
      </c>
      <c r="E7" s="7" t="s">
        <v>406</v>
      </c>
      <c r="F7" s="7" t="s">
        <v>407</v>
      </c>
    </row>
    <row r="8" customFormat="false" ht="15" hidden="false" customHeight="false" outlineLevel="0" collapsed="false">
      <c r="A8" s="3" t="n">
        <v>1</v>
      </c>
      <c r="B8" s="24" t="n">
        <f aca="false">'2.1 Distancias TF-IDF'!B6</f>
        <v>0.956442</v>
      </c>
      <c r="C8" s="24" t="n">
        <f aca="false">'2.1 Distancias TF-IDF'!B10</f>
        <v>0.974083</v>
      </c>
      <c r="D8" s="18" t="n">
        <f aca="false">MIN(B8,C8)</f>
        <v>0.956442</v>
      </c>
      <c r="E8" s="18" t="n">
        <f aca="false">MAX(B8,C8)</f>
        <v>0.974083</v>
      </c>
      <c r="F8" s="18" t="n">
        <f aca="false">($B$5*B8+$B$5*C8)/($B$5+$B$5)</f>
        <v>0.9652625</v>
      </c>
    </row>
    <row r="9" customFormat="false" ht="15" hidden="false" customHeight="false" outlineLevel="0" collapsed="false">
      <c r="A9" s="3" t="n">
        <v>3</v>
      </c>
      <c r="B9" s="24" t="n">
        <f aca="false">'2.1 Distancias TF-IDF'!D6</f>
        <v>0.95801</v>
      </c>
      <c r="C9" s="24" t="n">
        <f aca="false">'2.1 Distancias TF-IDF'!D10</f>
        <v>0.965959</v>
      </c>
      <c r="D9" s="18" t="n">
        <f aca="false">MIN(B9,C9)</f>
        <v>0.95801</v>
      </c>
      <c r="E9" s="18" t="n">
        <f aca="false">MAX(B9,C9)</f>
        <v>0.965959</v>
      </c>
      <c r="F9" s="18" t="n">
        <f aca="false">($B$5*B9+$B$5*C9)/($B$5+$B$5)</f>
        <v>0.9619845</v>
      </c>
    </row>
    <row r="10" customFormat="false" ht="15" hidden="false" customHeight="false" outlineLevel="0" collapsed="false">
      <c r="A10" s="3" t="n">
        <v>4</v>
      </c>
      <c r="B10" s="24" t="n">
        <f aca="false">'2.1 Distancias TF-IDF'!E6</f>
        <v>0.960479</v>
      </c>
      <c r="C10" s="24" t="n">
        <f aca="false">'2.1 Distancias TF-IDF'!E10</f>
        <v>0.982537</v>
      </c>
      <c r="D10" s="18" t="n">
        <f aca="false">MIN(B10,C10)</f>
        <v>0.960479</v>
      </c>
      <c r="E10" s="18" t="n">
        <f aca="false">MAX(B10,C10)</f>
        <v>0.982537</v>
      </c>
      <c r="F10" s="18" t="n">
        <f aca="false">($B$5*B10+$B$5*C10)/($B$5+$B$5)</f>
        <v>0.971508</v>
      </c>
    </row>
    <row r="11" customFormat="false" ht="15" hidden="false" customHeight="false" outlineLevel="0" collapsed="false">
      <c r="A11" s="3" t="n">
        <v>5</v>
      </c>
      <c r="B11" s="24" t="n">
        <f aca="false">'2.1 Distancias TF-IDF'!F6</f>
        <v>0.859601</v>
      </c>
      <c r="C11" s="24" t="n">
        <f aca="false">'2.1 Distancias TF-IDF'!F10</f>
        <v>0.865186</v>
      </c>
      <c r="D11" s="18" t="n">
        <f aca="false">MIN(B11,C11)</f>
        <v>0.859601</v>
      </c>
      <c r="E11" s="18" t="n">
        <f aca="false">MAX(B11,C11)</f>
        <v>0.865186</v>
      </c>
      <c r="F11" s="18" t="n">
        <f aca="false">($B$5*B11+$B$5*C11)/($B$5+$B$5)</f>
        <v>0.8623935</v>
      </c>
    </row>
    <row r="12" customFormat="false" ht="15" hidden="false" customHeight="false" outlineLevel="0" collapsed="false">
      <c r="A12" s="3" t="n">
        <v>7</v>
      </c>
      <c r="B12" s="24" t="n">
        <f aca="false">'2.1 Distancias TF-IDF'!H6</f>
        <v>0.924366</v>
      </c>
      <c r="C12" s="24" t="n">
        <f aca="false">'2.1 Distancias TF-IDF'!H10</f>
        <v>0.935128</v>
      </c>
      <c r="D12" s="18" t="n">
        <f aca="false">MIN(B12,C12)</f>
        <v>0.924366</v>
      </c>
      <c r="E12" s="18" t="n">
        <f aca="false">MAX(B12,C12)</f>
        <v>0.935128</v>
      </c>
      <c r="F12" s="18" t="n">
        <f aca="false">($B$5*B12+$B$5*C12)/($B$5+$B$5)</f>
        <v>0.929747</v>
      </c>
    </row>
    <row r="13" customFormat="false" ht="15" hidden="false" customHeight="false" outlineLevel="0" collapsed="false">
      <c r="A13" s="3" t="n">
        <v>8</v>
      </c>
      <c r="B13" s="24" t="n">
        <f aca="false">'2.1 Distancias TF-IDF'!I6</f>
        <v>0.935197</v>
      </c>
      <c r="C13" s="24" t="n">
        <f aca="false">'2.1 Distancias TF-IDF'!I10</f>
        <v>0.973389</v>
      </c>
      <c r="D13" s="18" t="n">
        <f aca="false">MIN(B13,C13)</f>
        <v>0.935197</v>
      </c>
      <c r="E13" s="18" t="n">
        <f aca="false">MAX(B13,C13)</f>
        <v>0.973389</v>
      </c>
      <c r="F13" s="18" t="n">
        <f aca="false">($B$5*B13+$B$5*C13)/($B$5+$B$5)</f>
        <v>0.954293</v>
      </c>
    </row>
    <row r="14" customFormat="false" ht="15" hidden="false" customHeight="false" outlineLevel="0" collapsed="false">
      <c r="A14" s="3" t="n">
        <v>9</v>
      </c>
      <c r="B14" s="24" t="n">
        <f aca="false">'2.1 Distancias TF-IDF'!J6</f>
        <v>0.844199</v>
      </c>
      <c r="C14" s="24" t="n">
        <f aca="false">'2.1 Distancias TF-IDF'!J10</f>
        <v>0.840219</v>
      </c>
      <c r="D14" s="18" t="n">
        <f aca="false">MIN(B14,C14)</f>
        <v>0.840219</v>
      </c>
      <c r="E14" s="18" t="n">
        <f aca="false">MAX(B14,C14)</f>
        <v>0.844199</v>
      </c>
      <c r="F14" s="18" t="n">
        <f aca="false">($B$5*B14+$B$5*C14)/($B$5+$B$5)</f>
        <v>0.842209</v>
      </c>
    </row>
    <row r="15" customFormat="false" ht="15" hidden="false" customHeight="false" outlineLevel="0" collapsed="false">
      <c r="A15" s="3" t="n">
        <v>10</v>
      </c>
      <c r="B15" s="24" t="n">
        <f aca="false">'2.1 Distancias TF-IDF'!K6</f>
        <v>0.926497</v>
      </c>
      <c r="C15" s="24" t="n">
        <f aca="false">'2.1 Distancias TF-IDF'!K10</f>
        <v>0.974898</v>
      </c>
      <c r="D15" s="18" t="n">
        <f aca="false">MIN(B15,C15)</f>
        <v>0.926497</v>
      </c>
      <c r="E15" s="18" t="n">
        <f aca="false">MAX(B15,C15)</f>
        <v>0.974898</v>
      </c>
      <c r="F15" s="18" t="n">
        <f aca="false">($B$5*B15+$B$5*C15)/($B$5+$B$5)</f>
        <v>0.9506975</v>
      </c>
    </row>
    <row r="16" customFormat="false" ht="15" hidden="false" customHeight="false" outlineLevel="0" collapsed="false">
      <c r="A16" s="3" t="n">
        <v>11</v>
      </c>
      <c r="B16" s="24" t="n">
        <f aca="false">'2.1 Distancias TF-IDF'!L6</f>
        <v>0.913968</v>
      </c>
      <c r="C16" s="24" t="n">
        <f aca="false">'2.1 Distancias TF-IDF'!L10</f>
        <v>0.9644</v>
      </c>
      <c r="D16" s="18" t="n">
        <f aca="false">MIN(B16,C16)</f>
        <v>0.913968</v>
      </c>
      <c r="E16" s="18" t="n">
        <f aca="false">MAX(B16,C16)</f>
        <v>0.9644</v>
      </c>
      <c r="F16" s="18" t="n">
        <f aca="false">($B$5*B16+$B$5*C16)/($B$5+$B$5)</f>
        <v>0.939184</v>
      </c>
    </row>
    <row r="17" customFormat="false" ht="15" hidden="false" customHeight="false" outlineLevel="0" collapsed="false">
      <c r="A17" s="3" t="n">
        <v>12</v>
      </c>
      <c r="B17" s="24" t="n">
        <f aca="false">'2.1 Distancias TF-IDF'!M6</f>
        <v>0.915977</v>
      </c>
      <c r="C17" s="24" t="n">
        <f aca="false">'2.1 Distancias TF-IDF'!M10</f>
        <v>0.9366</v>
      </c>
      <c r="D17" s="18" t="n">
        <f aca="false">MIN(B17,C17)</f>
        <v>0.915977</v>
      </c>
      <c r="E17" s="18" t="n">
        <f aca="false">MAX(B17,C17)</f>
        <v>0.9366</v>
      </c>
      <c r="F17" s="18" t="n">
        <f aca="false">($B$5*B17+$B$5*C17)/($B$5+$B$5)</f>
        <v>0.9262885</v>
      </c>
    </row>
    <row r="18" customFormat="false" ht="15" hidden="false" customHeight="false" outlineLevel="0" collapsed="false">
      <c r="A18" s="3" t="n">
        <v>13</v>
      </c>
      <c r="B18" s="24" t="n">
        <f aca="false">'2.1 Distancias TF-IDF'!N6</f>
        <v>0.955489</v>
      </c>
      <c r="C18" s="24" t="n">
        <f aca="false">'2.1 Distancias TF-IDF'!N10</f>
        <v>0.968251</v>
      </c>
      <c r="D18" s="18" t="n">
        <f aca="false">MIN(B18,C18)</f>
        <v>0.955489</v>
      </c>
      <c r="E18" s="18" t="n">
        <f aca="false">MAX(B18,C18)</f>
        <v>0.968251</v>
      </c>
      <c r="F18" s="18" t="n">
        <f aca="false">($B$5*B18+$B$5*C18)/($B$5+$B$5)</f>
        <v>0.96187</v>
      </c>
    </row>
    <row r="19" customFormat="false" ht="15" hidden="false" customHeight="false" outlineLevel="0" collapsed="false">
      <c r="A19" s="3" t="n">
        <v>14</v>
      </c>
      <c r="B19" s="24" t="n">
        <f aca="false">'2.1 Distancias TF-IDF'!O6</f>
        <v>0.968296</v>
      </c>
      <c r="C19" s="24" t="n">
        <f aca="false">'2.1 Distancias TF-IDF'!O10</f>
        <v>0.950268</v>
      </c>
      <c r="D19" s="18" t="n">
        <f aca="false">MIN(B19,C19)</f>
        <v>0.950268</v>
      </c>
      <c r="E19" s="18" t="n">
        <f aca="false">MAX(B19,C19)</f>
        <v>0.968296</v>
      </c>
      <c r="F19" s="18" t="n">
        <f aca="false">($B$5*B19+$B$5*C19)/($B$5+$B$5)</f>
        <v>0.959282</v>
      </c>
    </row>
    <row r="20" customFormat="false" ht="15" hidden="false" customHeight="false" outlineLevel="0" collapsed="false">
      <c r="A20" s="3" t="n">
        <v>15</v>
      </c>
      <c r="B20" s="24" t="n">
        <f aca="false">'2.1 Distancias TF-IDF'!P6</f>
        <v>0.95175</v>
      </c>
      <c r="C20" s="24" t="n">
        <f aca="false">'2.1 Distancias TF-IDF'!P10</f>
        <v>0.976856</v>
      </c>
      <c r="D20" s="18" t="n">
        <f aca="false">MIN(B20,C20)</f>
        <v>0.95175</v>
      </c>
      <c r="E20" s="18" t="n">
        <f aca="false">MAX(B20,C20)</f>
        <v>0.976856</v>
      </c>
      <c r="F20" s="18" t="n">
        <f aca="false">($B$5*B20+$B$5*C20)/($B$5+$B$5)</f>
        <v>0.964303</v>
      </c>
    </row>
    <row r="21" customFormat="false" ht="15" hidden="false" customHeight="false" outlineLevel="0" collapsed="false">
      <c r="A21" s="3" t="n">
        <v>16</v>
      </c>
      <c r="B21" s="24" t="n">
        <f aca="false">'2.1 Distancias TF-IDF'!Q6</f>
        <v>0.975431</v>
      </c>
      <c r="C21" s="24" t="n">
        <f aca="false">'2.1 Distancias TF-IDF'!Q10</f>
        <v>0.958937</v>
      </c>
      <c r="D21" s="18" t="n">
        <f aca="false">MIN(B21,C21)</f>
        <v>0.958937</v>
      </c>
      <c r="E21" s="18" t="n">
        <f aca="false">MAX(B21,C21)</f>
        <v>0.975431</v>
      </c>
      <c r="F21" s="18" t="n">
        <f aca="false">($B$5*B21+$B$5*C21)/($B$5+$B$5)</f>
        <v>0.967184</v>
      </c>
    </row>
    <row r="22" customFormat="false" ht="15" hidden="false" customHeight="false" outlineLevel="0" collapsed="false">
      <c r="A22" s="3" t="n">
        <v>17</v>
      </c>
      <c r="B22" s="24" t="n">
        <f aca="false">'2.1 Distancias TF-IDF'!R6</f>
        <v>0.949818</v>
      </c>
      <c r="C22" s="24" t="n">
        <f aca="false">'2.1 Distancias TF-IDF'!R10</f>
        <v>0.976993</v>
      </c>
      <c r="D22" s="18" t="n">
        <f aca="false">MIN(B22,C22)</f>
        <v>0.949818</v>
      </c>
      <c r="E22" s="18" t="n">
        <f aca="false">MAX(B22,C22)</f>
        <v>0.976993</v>
      </c>
      <c r="F22" s="18" t="n">
        <f aca="false">($B$5*B22+$B$5*C22)/($B$5+$B$5)</f>
        <v>0.9634055</v>
      </c>
    </row>
    <row r="23" customFormat="false" ht="15" hidden="false" customHeight="false" outlineLevel="0" collapsed="false">
      <c r="A23" s="3" t="n">
        <v>18</v>
      </c>
      <c r="B23" s="24" t="n">
        <f aca="false">'2.1 Distancias TF-IDF'!S6</f>
        <v>0.929495</v>
      </c>
      <c r="C23" s="24" t="n">
        <f aca="false">'2.1 Distancias TF-IDF'!S10</f>
        <v>0.966333</v>
      </c>
      <c r="D23" s="18" t="n">
        <f aca="false">MIN(B23,C23)</f>
        <v>0.929495</v>
      </c>
      <c r="E23" s="18" t="n">
        <f aca="false">MAX(B23,C23)</f>
        <v>0.966333</v>
      </c>
      <c r="F23" s="18" t="n">
        <f aca="false">($B$5*B23+$B$5*C23)/($B$5+$B$5)</f>
        <v>0.947914</v>
      </c>
    </row>
    <row r="24" customFormat="false" ht="15" hidden="false" customHeight="false" outlineLevel="0" collapsed="false">
      <c r="A24" s="3" t="n">
        <v>19</v>
      </c>
      <c r="B24" s="24" t="n">
        <f aca="false">'2.1 Distancias TF-IDF'!T6</f>
        <v>0.919964</v>
      </c>
      <c r="C24" s="24" t="n">
        <f aca="false">'2.1 Distancias TF-IDF'!T10</f>
        <v>0.969047</v>
      </c>
      <c r="D24" s="18" t="n">
        <f aca="false">MIN(B24,C24)</f>
        <v>0.919964</v>
      </c>
      <c r="E24" s="18" t="n">
        <f aca="false">MAX(B24,C24)</f>
        <v>0.969047</v>
      </c>
      <c r="F24" s="18" t="n">
        <f aca="false">($B$5*B24+$B$5*C24)/($B$5+$B$5)</f>
        <v>0.9445055</v>
      </c>
    </row>
    <row r="25" customFormat="false" ht="15" hidden="false" customHeight="false" outlineLevel="0" collapsed="false">
      <c r="A25" s="3" t="n">
        <v>20</v>
      </c>
      <c r="B25" s="24" t="n">
        <f aca="false">'2.1 Distancias TF-IDF'!U6</f>
        <v>0.864637</v>
      </c>
      <c r="C25" s="24" t="n">
        <f aca="false">'2.1 Distancias TF-IDF'!U10</f>
        <v>0.903666</v>
      </c>
      <c r="D25" s="18" t="n">
        <f aca="false">MIN(B25,C25)</f>
        <v>0.864637</v>
      </c>
      <c r="E25" s="18" t="n">
        <f aca="false">MAX(B25,C25)</f>
        <v>0.903666</v>
      </c>
      <c r="F25" s="18" t="n">
        <f aca="false">($B$5*B25+$B$5*C25)/($B$5+$B$5)</f>
        <v>0.8841515</v>
      </c>
    </row>
    <row r="27" customFormat="false" ht="15" hidden="false" customHeight="false" outlineLevel="0" collapsed="false">
      <c r="A27" s="3" t="s">
        <v>408</v>
      </c>
      <c r="D27" s="14" t="n">
        <f aca="false">MIN(D8:D25)</f>
        <v>0.840219</v>
      </c>
      <c r="E27" s="14" t="n">
        <f aca="false">MIN(E8:E25)</f>
        <v>0.844199</v>
      </c>
      <c r="F27" s="14" t="n">
        <f aca="false">MIN(F8:F25)</f>
        <v>0.842209</v>
      </c>
    </row>
    <row r="28" customFormat="false" ht="15" hidden="false" customHeight="false" outlineLevel="0" collapsed="false">
      <c r="A28" s="3" t="s">
        <v>409</v>
      </c>
      <c r="D28" s="13" t="n">
        <f aca="false">INDEX($A$8:$A$25,MATCH(D27,D8:D25,0))</f>
        <v>9</v>
      </c>
      <c r="E28" s="13" t="n">
        <f aca="false">INDEX($A$8:$A$25,MATCH(E27,E8:E25,0))</f>
        <v>9</v>
      </c>
      <c r="F28" s="13" t="n">
        <f aca="false">INDEX($A$8:$A$25,MATCH(F27,F8:F25,0))</f>
        <v>9</v>
      </c>
    </row>
    <row r="30" customFormat="false" ht="15" hidden="false" customHeight="false" outlineLevel="0" collapsed="false">
      <c r="A30" s="2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4" min="1" style="0" width="9"/>
  </cols>
  <sheetData>
    <row r="1" customFormat="false" ht="16.15" hidden="false" customHeight="false" outlineLevel="0" collapsed="false">
      <c r="A1" s="9" t="s">
        <v>38</v>
      </c>
    </row>
    <row r="2" customFormat="false" ht="15" hidden="false" customHeight="false" outlineLevel="0" collapsed="false">
      <c r="A2" s="10" t="s">
        <v>411</v>
      </c>
    </row>
    <row r="4" customFormat="false" ht="15" hidden="false" customHeight="false" outlineLevel="0" collapsed="false">
      <c r="A4" s="3" t="s">
        <v>412</v>
      </c>
      <c r="G4" s="3" t="s">
        <v>413</v>
      </c>
      <c r="M4" s="3" t="s">
        <v>414</v>
      </c>
      <c r="S4" s="3" t="s">
        <v>415</v>
      </c>
      <c r="Y4" s="3" t="s">
        <v>416</v>
      </c>
      <c r="AE4" s="3" t="s">
        <v>417</v>
      </c>
      <c r="AK4" s="3" t="s">
        <v>418</v>
      </c>
      <c r="AQ4" s="3" t="s">
        <v>419</v>
      </c>
      <c r="AW4" s="3" t="s">
        <v>420</v>
      </c>
    </row>
    <row r="5" customFormat="false" ht="15" hidden="false" customHeight="false" outlineLevel="0" collapsed="false">
      <c r="A5" s="7" t="s">
        <v>421</v>
      </c>
      <c r="B5" s="7" t="s">
        <v>422</v>
      </c>
      <c r="C5" s="7" t="s">
        <v>423</v>
      </c>
      <c r="D5" s="7" t="s">
        <v>424</v>
      </c>
      <c r="E5" s="7" t="s">
        <v>425</v>
      </c>
      <c r="G5" s="7" t="s">
        <v>421</v>
      </c>
      <c r="H5" s="7" t="s">
        <v>422</v>
      </c>
      <c r="I5" s="7" t="s">
        <v>423</v>
      </c>
      <c r="J5" s="7" t="s">
        <v>424</v>
      </c>
      <c r="K5" s="7" t="s">
        <v>425</v>
      </c>
      <c r="M5" s="7" t="s">
        <v>421</v>
      </c>
      <c r="N5" s="7" t="s">
        <v>422</v>
      </c>
      <c r="O5" s="7" t="s">
        <v>423</v>
      </c>
      <c r="P5" s="7" t="s">
        <v>424</v>
      </c>
      <c r="Q5" s="7" t="s">
        <v>425</v>
      </c>
      <c r="S5" s="7" t="s">
        <v>421</v>
      </c>
      <c r="T5" s="7" t="s">
        <v>422</v>
      </c>
      <c r="U5" s="7" t="s">
        <v>423</v>
      </c>
      <c r="V5" s="7" t="s">
        <v>424</v>
      </c>
      <c r="W5" s="7" t="s">
        <v>425</v>
      </c>
      <c r="Y5" s="7" t="s">
        <v>421</v>
      </c>
      <c r="Z5" s="7" t="s">
        <v>422</v>
      </c>
      <c r="AA5" s="7" t="s">
        <v>423</v>
      </c>
      <c r="AB5" s="7" t="s">
        <v>424</v>
      </c>
      <c r="AC5" s="7" t="s">
        <v>425</v>
      </c>
      <c r="AE5" s="7" t="s">
        <v>421</v>
      </c>
      <c r="AF5" s="7" t="s">
        <v>422</v>
      </c>
      <c r="AG5" s="7" t="s">
        <v>423</v>
      </c>
      <c r="AH5" s="7" t="s">
        <v>424</v>
      </c>
      <c r="AI5" s="7" t="s">
        <v>425</v>
      </c>
      <c r="AK5" s="7" t="s">
        <v>421</v>
      </c>
      <c r="AL5" s="7" t="s">
        <v>422</v>
      </c>
      <c r="AM5" s="7" t="s">
        <v>423</v>
      </c>
      <c r="AN5" s="7" t="s">
        <v>424</v>
      </c>
      <c r="AO5" s="7" t="s">
        <v>425</v>
      </c>
      <c r="AQ5" s="7" t="s">
        <v>421</v>
      </c>
      <c r="AR5" s="7" t="s">
        <v>422</v>
      </c>
      <c r="AS5" s="7" t="s">
        <v>423</v>
      </c>
      <c r="AT5" s="7" t="s">
        <v>424</v>
      </c>
      <c r="AU5" s="7" t="s">
        <v>425</v>
      </c>
      <c r="AW5" s="7" t="s">
        <v>421</v>
      </c>
      <c r="AX5" s="7" t="s">
        <v>422</v>
      </c>
      <c r="AY5" s="7" t="s">
        <v>423</v>
      </c>
      <c r="AZ5" s="7" t="s">
        <v>424</v>
      </c>
      <c r="BA5" s="7" t="s">
        <v>425</v>
      </c>
    </row>
    <row r="6" customFormat="false" ht="15" hidden="false" customHeight="false" outlineLevel="0" collapsed="false">
      <c r="A6" s="2" t="n">
        <v>1</v>
      </c>
      <c r="B6" s="4" t="s">
        <v>426</v>
      </c>
      <c r="C6" s="4" t="s">
        <v>427</v>
      </c>
      <c r="D6" s="15" t="n">
        <v>0.801640481257422</v>
      </c>
      <c r="E6" s="4" t="n">
        <v>2</v>
      </c>
      <c r="G6" s="2" t="n">
        <v>1</v>
      </c>
      <c r="H6" s="4" t="s">
        <v>426</v>
      </c>
      <c r="I6" s="4" t="s">
        <v>427</v>
      </c>
      <c r="J6" s="15" t="n">
        <v>0.801640481257422</v>
      </c>
      <c r="K6" s="4" t="n">
        <v>2</v>
      </c>
      <c r="M6" s="2" t="n">
        <v>1</v>
      </c>
      <c r="N6" s="4" t="s">
        <v>426</v>
      </c>
      <c r="O6" s="4" t="s">
        <v>427</v>
      </c>
      <c r="P6" s="15" t="n">
        <v>0.801640481257422</v>
      </c>
      <c r="Q6" s="4" t="n">
        <v>2</v>
      </c>
      <c r="S6" s="2" t="n">
        <v>1</v>
      </c>
      <c r="T6" s="4" t="s">
        <v>428</v>
      </c>
      <c r="U6" s="4" t="s">
        <v>429</v>
      </c>
      <c r="V6" s="15" t="n">
        <v>0.0147612067550463</v>
      </c>
      <c r="W6" s="4" t="n">
        <v>2</v>
      </c>
      <c r="Y6" s="2" t="n">
        <v>1</v>
      </c>
      <c r="Z6" s="4" t="s">
        <v>428</v>
      </c>
      <c r="AA6" s="4" t="s">
        <v>429</v>
      </c>
      <c r="AB6" s="15" t="n">
        <v>0.0147612067550463</v>
      </c>
      <c r="AC6" s="4" t="n">
        <v>2</v>
      </c>
      <c r="AE6" s="2" t="n">
        <v>1</v>
      </c>
      <c r="AF6" s="4" t="s">
        <v>428</v>
      </c>
      <c r="AG6" s="4" t="s">
        <v>429</v>
      </c>
      <c r="AH6" s="15" t="n">
        <v>0.0147612067550463</v>
      </c>
      <c r="AI6" s="4" t="n">
        <v>2</v>
      </c>
      <c r="AK6" s="2" t="n">
        <v>1</v>
      </c>
      <c r="AL6" s="4" t="s">
        <v>427</v>
      </c>
      <c r="AM6" s="4" t="s">
        <v>430</v>
      </c>
      <c r="AN6" s="15" t="n">
        <v>0.190162814651402</v>
      </c>
      <c r="AO6" s="4" t="n">
        <v>2</v>
      </c>
      <c r="AQ6" s="2" t="n">
        <v>1</v>
      </c>
      <c r="AR6" s="4" t="s">
        <v>427</v>
      </c>
      <c r="AS6" s="4" t="s">
        <v>430</v>
      </c>
      <c r="AT6" s="15" t="n">
        <v>0.190162814651402</v>
      </c>
      <c r="AU6" s="4" t="n">
        <v>2</v>
      </c>
      <c r="AW6" s="2" t="n">
        <v>1</v>
      </c>
      <c r="AX6" s="4" t="s">
        <v>427</v>
      </c>
      <c r="AY6" s="4" t="s">
        <v>430</v>
      </c>
      <c r="AZ6" s="15" t="n">
        <v>0.190162814651402</v>
      </c>
      <c r="BA6" s="4" t="n">
        <v>2</v>
      </c>
    </row>
    <row r="7" customFormat="false" ht="15" hidden="false" customHeight="false" outlineLevel="0" collapsed="false">
      <c r="A7" s="2" t="n">
        <v>2</v>
      </c>
      <c r="B7" s="4" t="s">
        <v>430</v>
      </c>
      <c r="C7" s="4" t="s">
        <v>431</v>
      </c>
      <c r="D7" s="15" t="n">
        <v>0.840219150215484</v>
      </c>
      <c r="E7" s="4" t="n">
        <v>3</v>
      </c>
      <c r="G7" s="2" t="n">
        <v>2</v>
      </c>
      <c r="H7" s="4" t="s">
        <v>430</v>
      </c>
      <c r="I7" s="4" t="s">
        <v>431</v>
      </c>
      <c r="J7" s="15" t="n">
        <v>0.844199208077309</v>
      </c>
      <c r="K7" s="4" t="n">
        <v>3</v>
      </c>
      <c r="M7" s="2" t="n">
        <v>2</v>
      </c>
      <c r="N7" s="4" t="s">
        <v>430</v>
      </c>
      <c r="O7" s="4" t="s">
        <v>431</v>
      </c>
      <c r="P7" s="15" t="n">
        <v>0.842209179146396</v>
      </c>
      <c r="Q7" s="4" t="n">
        <v>3</v>
      </c>
      <c r="S7" s="2" t="n">
        <v>2</v>
      </c>
      <c r="T7" s="4" t="s">
        <v>432</v>
      </c>
      <c r="U7" s="4" t="s">
        <v>431</v>
      </c>
      <c r="V7" s="15" t="n">
        <v>0.0160732421849485</v>
      </c>
      <c r="W7" s="4" t="n">
        <v>3</v>
      </c>
      <c r="Y7" s="2" t="n">
        <v>2</v>
      </c>
      <c r="Z7" s="4" t="s">
        <v>433</v>
      </c>
      <c r="AA7" s="4" t="s">
        <v>434</v>
      </c>
      <c r="AB7" s="15" t="n">
        <v>0.0182386211317378</v>
      </c>
      <c r="AC7" s="4" t="n">
        <v>2</v>
      </c>
      <c r="AE7" s="2" t="n">
        <v>2</v>
      </c>
      <c r="AF7" s="4" t="s">
        <v>433</v>
      </c>
      <c r="AG7" s="4" t="s">
        <v>434</v>
      </c>
      <c r="AH7" s="15" t="n">
        <v>0.0182386211317378</v>
      </c>
      <c r="AI7" s="4" t="n">
        <v>2</v>
      </c>
      <c r="AK7" s="2" t="n">
        <v>2</v>
      </c>
      <c r="AL7" s="4" t="s">
        <v>435</v>
      </c>
      <c r="AM7" s="4" t="s">
        <v>431</v>
      </c>
      <c r="AN7" s="15" t="n">
        <v>0.253809227660297</v>
      </c>
      <c r="AO7" s="4" t="n">
        <v>3</v>
      </c>
      <c r="AQ7" s="2" t="n">
        <v>2</v>
      </c>
      <c r="AR7" s="4" t="s">
        <v>435</v>
      </c>
      <c r="AS7" s="4" t="s">
        <v>429</v>
      </c>
      <c r="AT7" s="15" t="n">
        <v>0.260641700354976</v>
      </c>
      <c r="AU7" s="4" t="n">
        <v>2</v>
      </c>
      <c r="AW7" s="2" t="n">
        <v>2</v>
      </c>
      <c r="AX7" s="4" t="s">
        <v>435</v>
      </c>
      <c r="AY7" s="4" t="s">
        <v>429</v>
      </c>
      <c r="AZ7" s="15" t="n">
        <v>0.260641700354976</v>
      </c>
      <c r="BA7" s="4" t="n">
        <v>2</v>
      </c>
    </row>
    <row r="8" customFormat="false" ht="15" hidden="false" customHeight="false" outlineLevel="0" collapsed="false">
      <c r="A8" s="2" t="n">
        <v>3</v>
      </c>
      <c r="B8" s="4" t="s">
        <v>435</v>
      </c>
      <c r="C8" s="4" t="s">
        <v>429</v>
      </c>
      <c r="D8" s="15" t="n">
        <v>0.858077837798992</v>
      </c>
      <c r="E8" s="4" t="n">
        <v>2</v>
      </c>
      <c r="G8" s="2" t="n">
        <v>3</v>
      </c>
      <c r="H8" s="4" t="s">
        <v>435</v>
      </c>
      <c r="I8" s="4" t="s">
        <v>429</v>
      </c>
      <c r="J8" s="15" t="n">
        <v>0.858077837798992</v>
      </c>
      <c r="K8" s="4" t="n">
        <v>2</v>
      </c>
      <c r="M8" s="2" t="n">
        <v>3</v>
      </c>
      <c r="N8" s="4" t="s">
        <v>435</v>
      </c>
      <c r="O8" s="4" t="s">
        <v>429</v>
      </c>
      <c r="P8" s="15" t="n">
        <v>0.858077837798992</v>
      </c>
      <c r="Q8" s="4" t="n">
        <v>2</v>
      </c>
      <c r="S8" s="2" t="n">
        <v>3</v>
      </c>
      <c r="T8" s="4" t="s">
        <v>436</v>
      </c>
      <c r="U8" s="4" t="s">
        <v>437</v>
      </c>
      <c r="V8" s="15" t="n">
        <v>0.0175826389785835</v>
      </c>
      <c r="W8" s="4" t="n">
        <v>4</v>
      </c>
      <c r="Y8" s="2" t="n">
        <v>3</v>
      </c>
      <c r="Z8" s="4" t="s">
        <v>426</v>
      </c>
      <c r="AA8" s="4" t="s">
        <v>438</v>
      </c>
      <c r="AB8" s="15" t="n">
        <v>0.0192375167763318</v>
      </c>
      <c r="AC8" s="4" t="n">
        <v>2</v>
      </c>
      <c r="AE8" s="2" t="n">
        <v>3</v>
      </c>
      <c r="AF8" s="4" t="s">
        <v>426</v>
      </c>
      <c r="AG8" s="4" t="s">
        <v>438</v>
      </c>
      <c r="AH8" s="15" t="n">
        <v>0.0192375167763318</v>
      </c>
      <c r="AI8" s="4" t="n">
        <v>2</v>
      </c>
      <c r="AK8" s="2" t="n">
        <v>3</v>
      </c>
      <c r="AL8" s="4" t="s">
        <v>438</v>
      </c>
      <c r="AM8" s="4" t="s">
        <v>437</v>
      </c>
      <c r="AN8" s="15" t="n">
        <v>0.255695793784913</v>
      </c>
      <c r="AO8" s="4" t="n">
        <v>4</v>
      </c>
      <c r="AQ8" s="2" t="n">
        <v>3</v>
      </c>
      <c r="AR8" s="4" t="s">
        <v>439</v>
      </c>
      <c r="AS8" s="4" t="s">
        <v>440</v>
      </c>
      <c r="AT8" s="15" t="n">
        <v>0.264509680296964</v>
      </c>
      <c r="AU8" s="4" t="n">
        <v>2</v>
      </c>
      <c r="AW8" s="2" t="n">
        <v>3</v>
      </c>
      <c r="AX8" s="4" t="s">
        <v>439</v>
      </c>
      <c r="AY8" s="4" t="s">
        <v>440</v>
      </c>
      <c r="AZ8" s="15" t="n">
        <v>0.264509680296964</v>
      </c>
      <c r="BA8" s="4" t="n">
        <v>2</v>
      </c>
    </row>
    <row r="9" customFormat="false" ht="15" hidden="false" customHeight="false" outlineLevel="0" collapsed="false">
      <c r="A9" s="2" t="n">
        <v>4</v>
      </c>
      <c r="B9" s="4" t="s">
        <v>438</v>
      </c>
      <c r="C9" s="4" t="s">
        <v>437</v>
      </c>
      <c r="D9" s="15" t="n">
        <v>0.859601461566107</v>
      </c>
      <c r="E9" s="4" t="n">
        <v>4</v>
      </c>
      <c r="G9" s="2" t="n">
        <v>4</v>
      </c>
      <c r="H9" s="4" t="s">
        <v>441</v>
      </c>
      <c r="I9" s="4" t="s">
        <v>442</v>
      </c>
      <c r="J9" s="15" t="n">
        <v>0.863297090606786</v>
      </c>
      <c r="K9" s="4" t="n">
        <v>2</v>
      </c>
      <c r="M9" s="2" t="n">
        <v>4</v>
      </c>
      <c r="N9" s="4" t="s">
        <v>441</v>
      </c>
      <c r="O9" s="4" t="s">
        <v>442</v>
      </c>
      <c r="P9" s="15" t="n">
        <v>0.863297090606786</v>
      </c>
      <c r="Q9" s="4" t="n">
        <v>2</v>
      </c>
      <c r="S9" s="2" t="n">
        <v>4</v>
      </c>
      <c r="T9" s="4" t="s">
        <v>438</v>
      </c>
      <c r="U9" s="4" t="s">
        <v>443</v>
      </c>
      <c r="V9" s="15" t="n">
        <v>0.0177776048571608</v>
      </c>
      <c r="W9" s="4" t="n">
        <v>5</v>
      </c>
      <c r="Y9" s="2" t="n">
        <v>4</v>
      </c>
      <c r="Z9" s="4" t="s">
        <v>439</v>
      </c>
      <c r="AA9" s="4" t="s">
        <v>431</v>
      </c>
      <c r="AB9" s="15" t="n">
        <v>0.0209269142458616</v>
      </c>
      <c r="AC9" s="4" t="n">
        <v>3</v>
      </c>
      <c r="AE9" s="2" t="n">
        <v>4</v>
      </c>
      <c r="AF9" s="4" t="s">
        <v>439</v>
      </c>
      <c r="AG9" s="4" t="s">
        <v>431</v>
      </c>
      <c r="AH9" s="15" t="n">
        <v>0.0202823640838301</v>
      </c>
      <c r="AI9" s="4" t="n">
        <v>3</v>
      </c>
      <c r="AK9" s="2" t="n">
        <v>4</v>
      </c>
      <c r="AL9" s="4" t="s">
        <v>429</v>
      </c>
      <c r="AM9" s="4" t="s">
        <v>443</v>
      </c>
      <c r="AN9" s="15" t="n">
        <v>0.260641700354976</v>
      </c>
      <c r="AO9" s="4" t="n">
        <v>5</v>
      </c>
      <c r="AQ9" s="2" t="n">
        <v>4</v>
      </c>
      <c r="AR9" s="4" t="s">
        <v>433</v>
      </c>
      <c r="AS9" s="4" t="s">
        <v>434</v>
      </c>
      <c r="AT9" s="15" t="n">
        <v>0.266466170595697</v>
      </c>
      <c r="AU9" s="4" t="n">
        <v>2</v>
      </c>
      <c r="AW9" s="2" t="n">
        <v>4</v>
      </c>
      <c r="AX9" s="4" t="s">
        <v>433</v>
      </c>
      <c r="AY9" s="4" t="s">
        <v>434</v>
      </c>
      <c r="AZ9" s="15" t="n">
        <v>0.266466170595697</v>
      </c>
      <c r="BA9" s="4" t="n">
        <v>2</v>
      </c>
    </row>
    <row r="10" customFormat="false" ht="15" hidden="false" customHeight="false" outlineLevel="0" collapsed="false">
      <c r="A10" s="2" t="n">
        <v>5</v>
      </c>
      <c r="B10" s="4" t="s">
        <v>441</v>
      </c>
      <c r="C10" s="4" t="s">
        <v>442</v>
      </c>
      <c r="D10" s="15" t="n">
        <v>0.863297090606786</v>
      </c>
      <c r="E10" s="4" t="n">
        <v>2</v>
      </c>
      <c r="G10" s="2" t="n">
        <v>5</v>
      </c>
      <c r="H10" s="4" t="s">
        <v>439</v>
      </c>
      <c r="I10" s="4" t="s">
        <v>440</v>
      </c>
      <c r="J10" s="15" t="n">
        <v>0.899870830695071</v>
      </c>
      <c r="K10" s="4" t="n">
        <v>2</v>
      </c>
      <c r="M10" s="2" t="n">
        <v>5</v>
      </c>
      <c r="N10" s="4" t="s">
        <v>438</v>
      </c>
      <c r="O10" s="4" t="s">
        <v>437</v>
      </c>
      <c r="P10" s="15" t="n">
        <v>0.87557873077124</v>
      </c>
      <c r="Q10" s="4" t="n">
        <v>4</v>
      </c>
      <c r="S10" s="2" t="n">
        <v>5</v>
      </c>
      <c r="T10" s="4" t="s">
        <v>433</v>
      </c>
      <c r="U10" s="4" t="s">
        <v>434</v>
      </c>
      <c r="V10" s="15" t="n">
        <v>0.0182386211317378</v>
      </c>
      <c r="W10" s="4" t="n">
        <v>2</v>
      </c>
      <c r="Y10" s="2" t="n">
        <v>5</v>
      </c>
      <c r="Z10" s="4" t="s">
        <v>427</v>
      </c>
      <c r="AA10" s="4" t="s">
        <v>430</v>
      </c>
      <c r="AB10" s="15" t="n">
        <v>0.0212835661492127</v>
      </c>
      <c r="AC10" s="4" t="n">
        <v>2</v>
      </c>
      <c r="AE10" s="2" t="n">
        <v>5</v>
      </c>
      <c r="AF10" s="4" t="s">
        <v>427</v>
      </c>
      <c r="AG10" s="4" t="s">
        <v>430</v>
      </c>
      <c r="AH10" s="15" t="n">
        <v>0.0212835661492127</v>
      </c>
      <c r="AI10" s="4" t="n">
        <v>2</v>
      </c>
      <c r="AK10" s="2" t="n">
        <v>5</v>
      </c>
      <c r="AL10" s="4" t="s">
        <v>439</v>
      </c>
      <c r="AM10" s="4" t="s">
        <v>440</v>
      </c>
      <c r="AN10" s="15" t="n">
        <v>0.264509680296964</v>
      </c>
      <c r="AO10" s="4" t="n">
        <v>2</v>
      </c>
      <c r="AQ10" s="2" t="n">
        <v>5</v>
      </c>
      <c r="AR10" s="4" t="s">
        <v>432</v>
      </c>
      <c r="AS10" s="4" t="s">
        <v>444</v>
      </c>
      <c r="AT10" s="15" t="n">
        <v>0.2815247080709</v>
      </c>
      <c r="AU10" s="4" t="n">
        <v>2</v>
      </c>
      <c r="AW10" s="2" t="n">
        <v>5</v>
      </c>
      <c r="AX10" s="4" t="s">
        <v>431</v>
      </c>
      <c r="AY10" s="4" t="s">
        <v>437</v>
      </c>
      <c r="AZ10" s="15" t="n">
        <v>0.271694439483963</v>
      </c>
      <c r="BA10" s="4" t="n">
        <v>4</v>
      </c>
    </row>
    <row r="11" customFormat="false" ht="15" hidden="false" customHeight="false" outlineLevel="0" collapsed="false">
      <c r="A11" s="2" t="n">
        <v>6</v>
      </c>
      <c r="B11" s="4" t="s">
        <v>443</v>
      </c>
      <c r="C11" s="4" t="s">
        <v>445</v>
      </c>
      <c r="D11" s="15" t="n">
        <v>0.864636694999861</v>
      </c>
      <c r="E11" s="4" t="n">
        <v>6</v>
      </c>
      <c r="G11" s="2" t="n">
        <v>6</v>
      </c>
      <c r="H11" s="4" t="s">
        <v>438</v>
      </c>
      <c r="I11" s="4" t="s">
        <v>437</v>
      </c>
      <c r="J11" s="15" t="n">
        <v>0.901948478951867</v>
      </c>
      <c r="K11" s="4" t="n">
        <v>4</v>
      </c>
      <c r="M11" s="2" t="n">
        <v>6</v>
      </c>
      <c r="N11" s="4" t="s">
        <v>439</v>
      </c>
      <c r="O11" s="4" t="s">
        <v>440</v>
      </c>
      <c r="P11" s="15" t="n">
        <v>0.899870830695071</v>
      </c>
      <c r="Q11" s="4" t="n">
        <v>2</v>
      </c>
      <c r="S11" s="2" t="n">
        <v>6</v>
      </c>
      <c r="T11" s="4" t="s">
        <v>426</v>
      </c>
      <c r="U11" s="4" t="s">
        <v>445</v>
      </c>
      <c r="V11" s="15" t="n">
        <v>0.0192375167763318</v>
      </c>
      <c r="W11" s="4" t="n">
        <v>6</v>
      </c>
      <c r="Y11" s="2" t="n">
        <v>6</v>
      </c>
      <c r="Z11" s="4" t="s">
        <v>432</v>
      </c>
      <c r="AA11" s="4" t="s">
        <v>436</v>
      </c>
      <c r="AB11" s="15" t="n">
        <v>0.0225251516306333</v>
      </c>
      <c r="AC11" s="4" t="n">
        <v>2</v>
      </c>
      <c r="AE11" s="2" t="n">
        <v>6</v>
      </c>
      <c r="AF11" s="4" t="s">
        <v>432</v>
      </c>
      <c r="AG11" s="4" t="s">
        <v>445</v>
      </c>
      <c r="AH11" s="15" t="n">
        <v>0.0216905069204155</v>
      </c>
      <c r="AI11" s="4" t="n">
        <v>4</v>
      </c>
      <c r="AK11" s="2" t="n">
        <v>6</v>
      </c>
      <c r="AL11" s="4" t="s">
        <v>433</v>
      </c>
      <c r="AM11" s="4" t="s">
        <v>434</v>
      </c>
      <c r="AN11" s="15" t="n">
        <v>0.266466170595697</v>
      </c>
      <c r="AO11" s="4" t="n">
        <v>2</v>
      </c>
      <c r="AQ11" s="2" t="n">
        <v>6</v>
      </c>
      <c r="AR11" s="4" t="s">
        <v>431</v>
      </c>
      <c r="AS11" s="4" t="s">
        <v>437</v>
      </c>
      <c r="AT11" s="15" t="n">
        <v>0.28353230122964</v>
      </c>
      <c r="AU11" s="4" t="n">
        <v>4</v>
      </c>
      <c r="AW11" s="2" t="n">
        <v>6</v>
      </c>
      <c r="AX11" s="4" t="s">
        <v>432</v>
      </c>
      <c r="AY11" s="4" t="s">
        <v>444</v>
      </c>
      <c r="AZ11" s="15" t="n">
        <v>0.2815247080709</v>
      </c>
      <c r="BA11" s="4" t="n">
        <v>2</v>
      </c>
    </row>
    <row r="12" customFormat="false" ht="15" hidden="false" customHeight="false" outlineLevel="0" collapsed="false">
      <c r="A12" s="2" t="n">
        <v>7</v>
      </c>
      <c r="B12" s="4" t="s">
        <v>439</v>
      </c>
      <c r="C12" s="4" t="s">
        <v>440</v>
      </c>
      <c r="D12" s="15" t="n">
        <v>0.899870830695071</v>
      </c>
      <c r="E12" s="4" t="n">
        <v>2</v>
      </c>
      <c r="G12" s="2" t="n">
        <v>7</v>
      </c>
      <c r="H12" s="4" t="s">
        <v>432</v>
      </c>
      <c r="I12" s="4" t="s">
        <v>443</v>
      </c>
      <c r="J12" s="15" t="n">
        <v>0.935306291153154</v>
      </c>
      <c r="K12" s="4" t="n">
        <v>3</v>
      </c>
      <c r="M12" s="2" t="n">
        <v>7</v>
      </c>
      <c r="N12" s="4" t="s">
        <v>443</v>
      </c>
      <c r="O12" s="4" t="s">
        <v>446</v>
      </c>
      <c r="P12" s="15" t="n">
        <v>0.91365960012531</v>
      </c>
      <c r="Q12" s="4" t="n">
        <v>6</v>
      </c>
      <c r="S12" s="2" t="n">
        <v>7</v>
      </c>
      <c r="T12" s="4" t="s">
        <v>435</v>
      </c>
      <c r="U12" s="4" t="s">
        <v>447</v>
      </c>
      <c r="V12" s="15" t="n">
        <v>0.0192817357161059</v>
      </c>
      <c r="W12" s="4" t="n">
        <v>7</v>
      </c>
      <c r="Y12" s="2" t="n">
        <v>7</v>
      </c>
      <c r="Z12" s="4" t="s">
        <v>448</v>
      </c>
      <c r="AA12" s="4" t="s">
        <v>445</v>
      </c>
      <c r="AB12" s="15" t="n">
        <v>0.0255059555546295</v>
      </c>
      <c r="AC12" s="4" t="n">
        <v>4</v>
      </c>
      <c r="AE12" s="2" t="n">
        <v>7</v>
      </c>
      <c r="AF12" s="4" t="s">
        <v>443</v>
      </c>
      <c r="AG12" s="4" t="s">
        <v>447</v>
      </c>
      <c r="AH12" s="15" t="n">
        <v>0.0235165486809823</v>
      </c>
      <c r="AI12" s="4" t="n">
        <v>6</v>
      </c>
      <c r="AK12" s="2" t="n">
        <v>7</v>
      </c>
      <c r="AL12" s="4" t="s">
        <v>432</v>
      </c>
      <c r="AM12" s="4" t="s">
        <v>444</v>
      </c>
      <c r="AN12" s="15" t="n">
        <v>0.2815247080709</v>
      </c>
      <c r="AO12" s="4" t="n">
        <v>2</v>
      </c>
      <c r="AQ12" s="2" t="n">
        <v>7</v>
      </c>
      <c r="AR12" s="4" t="s">
        <v>426</v>
      </c>
      <c r="AS12" s="4" t="s">
        <v>438</v>
      </c>
      <c r="AT12" s="15" t="n">
        <v>0.340545716104824</v>
      </c>
      <c r="AU12" s="4" t="n">
        <v>2</v>
      </c>
      <c r="AW12" s="2" t="n">
        <v>7</v>
      </c>
      <c r="AX12" s="4" t="s">
        <v>438</v>
      </c>
      <c r="AY12" s="4" t="s">
        <v>446</v>
      </c>
      <c r="AZ12" s="15" t="n">
        <v>0.308776868168151</v>
      </c>
      <c r="BA12" s="4" t="n">
        <v>5</v>
      </c>
    </row>
    <row r="13" customFormat="false" ht="15" hidden="false" customHeight="false" outlineLevel="0" collapsed="false">
      <c r="A13" s="2" t="n">
        <v>8</v>
      </c>
      <c r="B13" s="4" t="s">
        <v>428</v>
      </c>
      <c r="C13" s="4" t="s">
        <v>447</v>
      </c>
      <c r="D13" s="15" t="n">
        <v>0.903745490924014</v>
      </c>
      <c r="E13" s="4" t="n">
        <v>7</v>
      </c>
      <c r="G13" s="2" t="n">
        <v>8</v>
      </c>
      <c r="H13" s="4" t="s">
        <v>449</v>
      </c>
      <c r="I13" s="4" t="s">
        <v>447</v>
      </c>
      <c r="J13" s="15" t="n">
        <v>0.939544335474091</v>
      </c>
      <c r="K13" s="4" t="n">
        <v>5</v>
      </c>
      <c r="M13" s="2" t="n">
        <v>8</v>
      </c>
      <c r="N13" s="4" t="s">
        <v>428</v>
      </c>
      <c r="O13" s="4" t="s">
        <v>447</v>
      </c>
      <c r="P13" s="15" t="n">
        <v>0.93997723297312</v>
      </c>
      <c r="Q13" s="4" t="n">
        <v>3</v>
      </c>
      <c r="S13" s="2" t="n">
        <v>8</v>
      </c>
      <c r="T13" s="4" t="s">
        <v>439</v>
      </c>
      <c r="U13" s="4" t="s">
        <v>450</v>
      </c>
      <c r="V13" s="15" t="n">
        <v>0.0196378139217985</v>
      </c>
      <c r="W13" s="4" t="n">
        <v>8</v>
      </c>
      <c r="Y13" s="2" t="n">
        <v>8</v>
      </c>
      <c r="Z13" s="4" t="s">
        <v>443</v>
      </c>
      <c r="AA13" s="4" t="s">
        <v>446</v>
      </c>
      <c r="AB13" s="15" t="n">
        <v>0.0273113711130361</v>
      </c>
      <c r="AC13" s="4" t="n">
        <v>4</v>
      </c>
      <c r="AE13" s="2" t="n">
        <v>8</v>
      </c>
      <c r="AF13" s="4" t="s">
        <v>448</v>
      </c>
      <c r="AG13" s="4" t="s">
        <v>450</v>
      </c>
      <c r="AH13" s="15" t="n">
        <v>0.0254235913293512</v>
      </c>
      <c r="AI13" s="4" t="n">
        <v>7</v>
      </c>
      <c r="AK13" s="2" t="n">
        <v>8</v>
      </c>
      <c r="AL13" s="4" t="s">
        <v>445</v>
      </c>
      <c r="AM13" s="4" t="s">
        <v>450</v>
      </c>
      <c r="AN13" s="15" t="n">
        <v>0.293069972360764</v>
      </c>
      <c r="AO13" s="4" t="n">
        <v>7</v>
      </c>
      <c r="AQ13" s="2" t="n">
        <v>8</v>
      </c>
      <c r="AR13" s="4" t="s">
        <v>428</v>
      </c>
      <c r="AS13" s="4" t="s">
        <v>450</v>
      </c>
      <c r="AT13" s="15" t="n">
        <v>0.381607512934755</v>
      </c>
      <c r="AU13" s="4" t="n">
        <v>3</v>
      </c>
      <c r="AW13" s="2" t="n">
        <v>8</v>
      </c>
      <c r="AX13" s="4" t="s">
        <v>447</v>
      </c>
      <c r="AY13" s="4" t="s">
        <v>450</v>
      </c>
      <c r="AZ13" s="15" t="n">
        <v>0.346582379713581</v>
      </c>
      <c r="BA13" s="4" t="n">
        <v>7</v>
      </c>
    </row>
    <row r="14" customFormat="false" ht="15" hidden="false" customHeight="false" outlineLevel="0" collapsed="false">
      <c r="A14" s="2" t="n">
        <v>9</v>
      </c>
      <c r="B14" s="4" t="s">
        <v>450</v>
      </c>
      <c r="C14" s="4" t="s">
        <v>451</v>
      </c>
      <c r="D14" s="15" t="n">
        <v>0.909304970410119</v>
      </c>
      <c r="E14" s="4" t="n">
        <v>9</v>
      </c>
      <c r="G14" s="2" t="n">
        <v>9</v>
      </c>
      <c r="H14" s="4" t="s">
        <v>428</v>
      </c>
      <c r="I14" s="4" t="s">
        <v>445</v>
      </c>
      <c r="J14" s="15" t="n">
        <v>0.946083590376633</v>
      </c>
      <c r="K14" s="4" t="n">
        <v>3</v>
      </c>
      <c r="M14" s="2" t="n">
        <v>9</v>
      </c>
      <c r="N14" s="4" t="s">
        <v>449</v>
      </c>
      <c r="O14" s="4" t="s">
        <v>450</v>
      </c>
      <c r="P14" s="15" t="n">
        <v>0.941259187335227</v>
      </c>
      <c r="Q14" s="4" t="n">
        <v>7</v>
      </c>
      <c r="S14" s="2" t="n">
        <v>9</v>
      </c>
      <c r="T14" s="4" t="s">
        <v>430</v>
      </c>
      <c r="U14" s="4" t="s">
        <v>451</v>
      </c>
      <c r="V14" s="15" t="n">
        <v>0.0208082784541517</v>
      </c>
      <c r="W14" s="4" t="n">
        <v>9</v>
      </c>
      <c r="Y14" s="2" t="n">
        <v>9</v>
      </c>
      <c r="Z14" s="4" t="s">
        <v>441</v>
      </c>
      <c r="AA14" s="4" t="s">
        <v>442</v>
      </c>
      <c r="AB14" s="15" t="n">
        <v>0.0282078440785789</v>
      </c>
      <c r="AC14" s="4" t="n">
        <v>2</v>
      </c>
      <c r="AE14" s="2" t="n">
        <v>9</v>
      </c>
      <c r="AF14" s="4" t="s">
        <v>435</v>
      </c>
      <c r="AG14" s="4" t="s">
        <v>446</v>
      </c>
      <c r="AH14" s="15" t="n">
        <v>0.0260329392497794</v>
      </c>
      <c r="AI14" s="4" t="n">
        <v>3</v>
      </c>
      <c r="AK14" s="2" t="n">
        <v>9</v>
      </c>
      <c r="AL14" s="4" t="s">
        <v>447</v>
      </c>
      <c r="AM14" s="4" t="s">
        <v>451</v>
      </c>
      <c r="AN14" s="15" t="n">
        <v>0.294153577220385</v>
      </c>
      <c r="AO14" s="4" t="n">
        <v>9</v>
      </c>
      <c r="AQ14" s="2" t="n">
        <v>9</v>
      </c>
      <c r="AR14" s="4" t="s">
        <v>452</v>
      </c>
      <c r="AS14" s="4" t="s">
        <v>441</v>
      </c>
      <c r="AT14" s="15" t="n">
        <v>0.383548391991516</v>
      </c>
      <c r="AU14" s="4" t="n">
        <v>2</v>
      </c>
      <c r="AW14" s="2" t="n">
        <v>9</v>
      </c>
      <c r="AX14" s="4" t="s">
        <v>445</v>
      </c>
      <c r="AY14" s="4" t="s">
        <v>451</v>
      </c>
      <c r="AZ14" s="15" t="n">
        <v>0.373813189203463</v>
      </c>
      <c r="BA14" s="4" t="n">
        <v>9</v>
      </c>
    </row>
    <row r="15" customFormat="false" ht="15" hidden="false" customHeight="false" outlineLevel="0" collapsed="false">
      <c r="A15" s="2" t="n">
        <v>10</v>
      </c>
      <c r="B15" s="4" t="s">
        <v>446</v>
      </c>
      <c r="C15" s="4" t="s">
        <v>453</v>
      </c>
      <c r="D15" s="15" t="n">
        <v>0.910790534558603</v>
      </c>
      <c r="E15" s="4" t="n">
        <v>11</v>
      </c>
      <c r="G15" s="2" t="n">
        <v>10</v>
      </c>
      <c r="H15" s="4" t="s">
        <v>433</v>
      </c>
      <c r="I15" s="4" t="s">
        <v>448</v>
      </c>
      <c r="J15" s="15" t="n">
        <v>0.954613006790103</v>
      </c>
      <c r="K15" s="4" t="n">
        <v>2</v>
      </c>
      <c r="M15" s="2" t="n">
        <v>10</v>
      </c>
      <c r="N15" s="4" t="s">
        <v>434</v>
      </c>
      <c r="O15" s="4" t="s">
        <v>432</v>
      </c>
      <c r="P15" s="15" t="n">
        <v>0.944692282813412</v>
      </c>
      <c r="Q15" s="4" t="n">
        <v>2</v>
      </c>
      <c r="S15" s="2" t="n">
        <v>10</v>
      </c>
      <c r="T15" s="4" t="s">
        <v>448</v>
      </c>
      <c r="U15" s="4" t="s">
        <v>453</v>
      </c>
      <c r="V15" s="15" t="n">
        <v>0.021129842681699</v>
      </c>
      <c r="W15" s="4" t="n">
        <v>10</v>
      </c>
      <c r="Y15" s="2" t="n">
        <v>10</v>
      </c>
      <c r="Z15" s="4" t="s">
        <v>435</v>
      </c>
      <c r="AA15" s="4" t="s">
        <v>447</v>
      </c>
      <c r="AB15" s="15" t="n">
        <v>0.0291766857383116</v>
      </c>
      <c r="AC15" s="4" t="n">
        <v>3</v>
      </c>
      <c r="AE15" s="2" t="n">
        <v>10</v>
      </c>
      <c r="AF15" s="4" t="s">
        <v>436</v>
      </c>
      <c r="AG15" s="4" t="s">
        <v>451</v>
      </c>
      <c r="AH15" s="15" t="n">
        <v>0.0279433964409981</v>
      </c>
      <c r="AI15" s="4" t="n">
        <v>8</v>
      </c>
      <c r="AK15" s="2" t="n">
        <v>10</v>
      </c>
      <c r="AL15" s="4" t="s">
        <v>426</v>
      </c>
      <c r="AM15" s="4" t="s">
        <v>453</v>
      </c>
      <c r="AN15" s="15" t="n">
        <v>0.301230147862567</v>
      </c>
      <c r="AO15" s="4" t="n">
        <v>10</v>
      </c>
      <c r="AQ15" s="2" t="n">
        <v>10</v>
      </c>
      <c r="AR15" s="4" t="s">
        <v>443</v>
      </c>
      <c r="AS15" s="4" t="s">
        <v>446</v>
      </c>
      <c r="AT15" s="15" t="n">
        <v>0.385840272297603</v>
      </c>
      <c r="AU15" s="4" t="n">
        <v>4</v>
      </c>
      <c r="AW15" s="2" t="n">
        <v>10</v>
      </c>
      <c r="AX15" s="4" t="s">
        <v>426</v>
      </c>
      <c r="AY15" s="4" t="s">
        <v>428</v>
      </c>
      <c r="AZ15" s="15" t="n">
        <v>0.381607512934755</v>
      </c>
      <c r="BA15" s="4" t="n">
        <v>2</v>
      </c>
    </row>
    <row r="16" customFormat="false" ht="15" hidden="false" customHeight="false" outlineLevel="0" collapsed="false">
      <c r="A16" s="2" t="n">
        <v>11</v>
      </c>
      <c r="B16" s="4" t="s">
        <v>433</v>
      </c>
      <c r="C16" s="4" t="s">
        <v>454</v>
      </c>
      <c r="D16" s="15" t="n">
        <v>0.91624138174244</v>
      </c>
      <c r="E16" s="4" t="n">
        <v>12</v>
      </c>
      <c r="G16" s="2" t="n">
        <v>11</v>
      </c>
      <c r="H16" s="4" t="s">
        <v>436</v>
      </c>
      <c r="I16" s="4" t="s">
        <v>446</v>
      </c>
      <c r="J16" s="15" t="n">
        <v>0.958073706045196</v>
      </c>
      <c r="K16" s="4" t="n">
        <v>3</v>
      </c>
      <c r="M16" s="2" t="n">
        <v>11</v>
      </c>
      <c r="N16" s="4" t="s">
        <v>452</v>
      </c>
      <c r="O16" s="4" t="s">
        <v>445</v>
      </c>
      <c r="P16" s="15" t="n">
        <v>0.952763937865306</v>
      </c>
      <c r="Q16" s="4" t="n">
        <v>3</v>
      </c>
      <c r="S16" s="2" t="n">
        <v>11</v>
      </c>
      <c r="T16" s="4" t="s">
        <v>427</v>
      </c>
      <c r="U16" s="4" t="s">
        <v>454</v>
      </c>
      <c r="V16" s="15" t="n">
        <v>0.0212835661492127</v>
      </c>
      <c r="W16" s="4" t="n">
        <v>11</v>
      </c>
      <c r="Y16" s="2" t="n">
        <v>11</v>
      </c>
      <c r="Z16" s="4" t="s">
        <v>444</v>
      </c>
      <c r="AA16" s="4" t="s">
        <v>451</v>
      </c>
      <c r="AB16" s="15" t="n">
        <v>0.035061127928567</v>
      </c>
      <c r="AC16" s="4" t="n">
        <v>5</v>
      </c>
      <c r="AE16" s="2" t="n">
        <v>11</v>
      </c>
      <c r="AF16" s="4" t="s">
        <v>441</v>
      </c>
      <c r="AG16" s="4" t="s">
        <v>442</v>
      </c>
      <c r="AH16" s="15" t="n">
        <v>0.0282078440785789</v>
      </c>
      <c r="AI16" s="4" t="n">
        <v>2</v>
      </c>
      <c r="AK16" s="2" t="n">
        <v>11</v>
      </c>
      <c r="AL16" s="4" t="s">
        <v>446</v>
      </c>
      <c r="AM16" s="4" t="s">
        <v>454</v>
      </c>
      <c r="AN16" s="15" t="n">
        <v>0.313652864113551</v>
      </c>
      <c r="AO16" s="4" t="n">
        <v>12</v>
      </c>
      <c r="AQ16" s="2" t="n">
        <v>11</v>
      </c>
      <c r="AR16" s="4" t="s">
        <v>445</v>
      </c>
      <c r="AS16" s="4" t="s">
        <v>447</v>
      </c>
      <c r="AT16" s="15" t="n">
        <v>0.404307023608568</v>
      </c>
      <c r="AU16" s="4" t="n">
        <v>6</v>
      </c>
      <c r="AW16" s="2" t="n">
        <v>11</v>
      </c>
      <c r="AX16" s="4" t="s">
        <v>452</v>
      </c>
      <c r="AY16" s="4" t="s">
        <v>441</v>
      </c>
      <c r="AZ16" s="15" t="n">
        <v>0.383548391991516</v>
      </c>
      <c r="BA16" s="4" t="n">
        <v>2</v>
      </c>
    </row>
    <row r="17" customFormat="false" ht="15" hidden="false" customHeight="false" outlineLevel="0" collapsed="false">
      <c r="A17" s="2" t="n">
        <v>12</v>
      </c>
      <c r="B17" s="4" t="s">
        <v>436</v>
      </c>
      <c r="C17" s="4" t="s">
        <v>455</v>
      </c>
      <c r="D17" s="15" t="n">
        <v>0.919964181980595</v>
      </c>
      <c r="E17" s="4" t="n">
        <v>13</v>
      </c>
      <c r="G17" s="2" t="n">
        <v>12</v>
      </c>
      <c r="H17" s="4" t="s">
        <v>444</v>
      </c>
      <c r="I17" s="4" t="s">
        <v>450</v>
      </c>
      <c r="J17" s="15" t="n">
        <v>0.966664820581091</v>
      </c>
      <c r="K17" s="4" t="n">
        <v>4</v>
      </c>
      <c r="M17" s="2" t="n">
        <v>12</v>
      </c>
      <c r="N17" s="4" t="s">
        <v>451</v>
      </c>
      <c r="O17" s="4" t="s">
        <v>453</v>
      </c>
      <c r="P17" s="15" t="n">
        <v>0.954030911102527</v>
      </c>
      <c r="Q17" s="4" t="n">
        <v>10</v>
      </c>
      <c r="S17" s="2" t="n">
        <v>12</v>
      </c>
      <c r="T17" s="4" t="s">
        <v>444</v>
      </c>
      <c r="U17" s="4" t="s">
        <v>455</v>
      </c>
      <c r="V17" s="15" t="n">
        <v>0.0256961783945132</v>
      </c>
      <c r="W17" s="4" t="n">
        <v>12</v>
      </c>
      <c r="Y17" s="2" t="n">
        <v>12</v>
      </c>
      <c r="Z17" s="4" t="s">
        <v>452</v>
      </c>
      <c r="AA17" s="4" t="s">
        <v>449</v>
      </c>
      <c r="AB17" s="15" t="n">
        <v>0.0361047808056312</v>
      </c>
      <c r="AC17" s="4" t="n">
        <v>2</v>
      </c>
      <c r="AE17" s="2" t="n">
        <v>12</v>
      </c>
      <c r="AF17" s="4" t="s">
        <v>453</v>
      </c>
      <c r="AG17" s="4" t="s">
        <v>454</v>
      </c>
      <c r="AH17" s="15" t="n">
        <v>0.0305536324147726</v>
      </c>
      <c r="AI17" s="4" t="n">
        <v>11</v>
      </c>
      <c r="AK17" s="2" t="n">
        <v>12</v>
      </c>
      <c r="AL17" s="4" t="s">
        <v>428</v>
      </c>
      <c r="AM17" s="4" t="s">
        <v>455</v>
      </c>
      <c r="AN17" s="15" t="n">
        <v>0.320510164552455</v>
      </c>
      <c r="AO17" s="4" t="n">
        <v>13</v>
      </c>
      <c r="AQ17" s="2" t="n">
        <v>12</v>
      </c>
      <c r="AR17" s="4" t="s">
        <v>451</v>
      </c>
      <c r="AS17" s="4" t="s">
        <v>455</v>
      </c>
      <c r="AT17" s="15" t="n">
        <v>0.47313934835123</v>
      </c>
      <c r="AU17" s="4" t="n">
        <v>9</v>
      </c>
      <c r="AW17" s="2" t="n">
        <v>12</v>
      </c>
      <c r="AX17" s="4" t="s">
        <v>453</v>
      </c>
      <c r="AY17" s="4" t="s">
        <v>454</v>
      </c>
      <c r="AZ17" s="15" t="n">
        <v>0.394625259091667</v>
      </c>
      <c r="BA17" s="4" t="n">
        <v>11</v>
      </c>
    </row>
    <row r="18" customFormat="false" ht="15" hidden="false" customHeight="false" outlineLevel="0" collapsed="false">
      <c r="A18" s="2" t="n">
        <v>13</v>
      </c>
      <c r="B18" s="4" t="s">
        <v>449</v>
      </c>
      <c r="C18" s="4" t="s">
        <v>456</v>
      </c>
      <c r="D18" s="15" t="n">
        <v>0.924366259059748</v>
      </c>
      <c r="E18" s="4" t="n">
        <v>14</v>
      </c>
      <c r="G18" s="2" t="n">
        <v>13</v>
      </c>
      <c r="H18" s="4" t="s">
        <v>434</v>
      </c>
      <c r="I18" s="4" t="s">
        <v>453</v>
      </c>
      <c r="J18" s="15" t="n">
        <v>0.968913032996252</v>
      </c>
      <c r="K18" s="4" t="n">
        <v>4</v>
      </c>
      <c r="M18" s="2" t="n">
        <v>13</v>
      </c>
      <c r="N18" s="4" t="s">
        <v>433</v>
      </c>
      <c r="O18" s="4" t="s">
        <v>448</v>
      </c>
      <c r="P18" s="15" t="n">
        <v>0.954613006790103</v>
      </c>
      <c r="Q18" s="4" t="n">
        <v>2</v>
      </c>
      <c r="S18" s="2" t="n">
        <v>13</v>
      </c>
      <c r="T18" s="4" t="s">
        <v>441</v>
      </c>
      <c r="U18" s="4" t="s">
        <v>442</v>
      </c>
      <c r="V18" s="15" t="n">
        <v>0.0282078440785789</v>
      </c>
      <c r="W18" s="4" t="n">
        <v>2</v>
      </c>
      <c r="Y18" s="2" t="n">
        <v>13</v>
      </c>
      <c r="Z18" s="4" t="s">
        <v>457</v>
      </c>
      <c r="AA18" s="4" t="s">
        <v>440</v>
      </c>
      <c r="AB18" s="15" t="n">
        <v>0.0447482043062633</v>
      </c>
      <c r="AC18" s="4" t="n">
        <v>2</v>
      </c>
      <c r="AE18" s="2" t="n">
        <v>13</v>
      </c>
      <c r="AF18" s="4" t="s">
        <v>444</v>
      </c>
      <c r="AG18" s="4" t="s">
        <v>456</v>
      </c>
      <c r="AH18" s="15" t="n">
        <v>0.035942630372995</v>
      </c>
      <c r="AI18" s="4" t="n">
        <v>12</v>
      </c>
      <c r="AK18" s="2" t="n">
        <v>13</v>
      </c>
      <c r="AL18" s="4" t="s">
        <v>457</v>
      </c>
      <c r="AM18" s="4" t="s">
        <v>456</v>
      </c>
      <c r="AN18" s="15" t="n">
        <v>0.350785733191276</v>
      </c>
      <c r="AO18" s="4" t="n">
        <v>14</v>
      </c>
      <c r="AQ18" s="2" t="n">
        <v>13</v>
      </c>
      <c r="AR18" s="4" t="s">
        <v>448</v>
      </c>
      <c r="AS18" s="4" t="s">
        <v>456</v>
      </c>
      <c r="AT18" s="15" t="n">
        <v>0.493172372907355</v>
      </c>
      <c r="AU18" s="4" t="n">
        <v>10</v>
      </c>
      <c r="AW18" s="2" t="n">
        <v>13</v>
      </c>
      <c r="AX18" s="4" t="s">
        <v>443</v>
      </c>
      <c r="AY18" s="4" t="s">
        <v>456</v>
      </c>
      <c r="AZ18" s="15" t="n">
        <v>0.410866977270425</v>
      </c>
      <c r="BA18" s="4" t="n">
        <v>13</v>
      </c>
    </row>
    <row r="19" customFormat="false" ht="15" hidden="false" customHeight="false" outlineLevel="0" collapsed="false">
      <c r="A19" s="2" t="n">
        <v>14</v>
      </c>
      <c r="B19" s="4" t="s">
        <v>432</v>
      </c>
      <c r="C19" s="4" t="s">
        <v>458</v>
      </c>
      <c r="D19" s="15" t="n">
        <v>0.924812285958712</v>
      </c>
      <c r="E19" s="4" t="n">
        <v>15</v>
      </c>
      <c r="G19" s="2" t="n">
        <v>14</v>
      </c>
      <c r="H19" s="4" t="s">
        <v>451</v>
      </c>
      <c r="I19" s="4" t="s">
        <v>456</v>
      </c>
      <c r="J19" s="15" t="n">
        <v>0.979089992671648</v>
      </c>
      <c r="K19" s="4" t="n">
        <v>9</v>
      </c>
      <c r="M19" s="2" t="n">
        <v>14</v>
      </c>
      <c r="N19" s="4" t="s">
        <v>444</v>
      </c>
      <c r="O19" s="4" t="s">
        <v>456</v>
      </c>
      <c r="P19" s="15" t="n">
        <v>0.961418348260779</v>
      </c>
      <c r="Q19" s="4" t="n">
        <v>11</v>
      </c>
      <c r="S19" s="2" t="n">
        <v>14</v>
      </c>
      <c r="T19" s="4" t="s">
        <v>457</v>
      </c>
      <c r="U19" s="4" t="s">
        <v>456</v>
      </c>
      <c r="V19" s="15" t="n">
        <v>0.028566805798086</v>
      </c>
      <c r="W19" s="4" t="n">
        <v>13</v>
      </c>
      <c r="Y19" s="2" t="n">
        <v>14</v>
      </c>
      <c r="Z19" s="4" t="s">
        <v>450</v>
      </c>
      <c r="AA19" s="4" t="s">
        <v>454</v>
      </c>
      <c r="AB19" s="15" t="n">
        <v>0.045655769936011</v>
      </c>
      <c r="AC19" s="4" t="n">
        <v>7</v>
      </c>
      <c r="AE19" s="2" t="n">
        <v>14</v>
      </c>
      <c r="AF19" s="4" t="s">
        <v>452</v>
      </c>
      <c r="AG19" s="4" t="s">
        <v>449</v>
      </c>
      <c r="AH19" s="15" t="n">
        <v>0.0361047808056312</v>
      </c>
      <c r="AI19" s="4" t="n">
        <v>2</v>
      </c>
      <c r="AK19" s="2" t="n">
        <v>14</v>
      </c>
      <c r="AL19" s="4" t="s">
        <v>442</v>
      </c>
      <c r="AM19" s="4" t="s">
        <v>458</v>
      </c>
      <c r="AN19" s="15" t="n">
        <v>0.363587542531862</v>
      </c>
      <c r="AO19" s="4" t="n">
        <v>15</v>
      </c>
      <c r="AQ19" s="2" t="n">
        <v>14</v>
      </c>
      <c r="AR19" s="4" t="s">
        <v>457</v>
      </c>
      <c r="AS19" s="4" t="s">
        <v>458</v>
      </c>
      <c r="AT19" s="15" t="n">
        <v>0.507387917408405</v>
      </c>
      <c r="AU19" s="4" t="n">
        <v>11</v>
      </c>
      <c r="AW19" s="2" t="n">
        <v>14</v>
      </c>
      <c r="AX19" s="4" t="s">
        <v>448</v>
      </c>
      <c r="AY19" s="4" t="s">
        <v>458</v>
      </c>
      <c r="AZ19" s="15" t="n">
        <v>0.451207564569201</v>
      </c>
      <c r="BA19" s="4" t="n">
        <v>14</v>
      </c>
    </row>
    <row r="20" customFormat="false" ht="15" hidden="false" customHeight="false" outlineLevel="0" collapsed="false">
      <c r="A20" s="2" t="n">
        <v>15</v>
      </c>
      <c r="B20" s="4" t="s">
        <v>444</v>
      </c>
      <c r="C20" s="4" t="s">
        <v>459</v>
      </c>
      <c r="D20" s="15" t="n">
        <v>0.929495094624492</v>
      </c>
      <c r="E20" s="4" t="n">
        <v>16</v>
      </c>
      <c r="G20" s="2" t="n">
        <v>15</v>
      </c>
      <c r="H20" s="4" t="s">
        <v>457</v>
      </c>
      <c r="I20" s="4" t="s">
        <v>458</v>
      </c>
      <c r="J20" s="15" t="n">
        <v>0.982755866060635</v>
      </c>
      <c r="K20" s="4" t="n">
        <v>5</v>
      </c>
      <c r="M20" s="2" t="n">
        <v>15</v>
      </c>
      <c r="N20" s="4" t="s">
        <v>454</v>
      </c>
      <c r="O20" s="4" t="s">
        <v>459</v>
      </c>
      <c r="P20" s="15" t="n">
        <v>0.962856177855751</v>
      </c>
      <c r="Q20" s="4" t="n">
        <v>13</v>
      </c>
      <c r="S20" s="2" t="n">
        <v>15</v>
      </c>
      <c r="T20" s="4" t="s">
        <v>446</v>
      </c>
      <c r="U20" s="4" t="s">
        <v>459</v>
      </c>
      <c r="V20" s="15" t="n">
        <v>0.0297758222218374</v>
      </c>
      <c r="W20" s="4" t="n">
        <v>15</v>
      </c>
      <c r="Y20" s="2" t="n">
        <v>15</v>
      </c>
      <c r="Z20" s="4" t="s">
        <v>437</v>
      </c>
      <c r="AA20" s="4" t="s">
        <v>453</v>
      </c>
      <c r="AB20" s="15" t="n">
        <v>0.0499037473983501</v>
      </c>
      <c r="AC20" s="4" t="n">
        <v>4</v>
      </c>
      <c r="AE20" s="2" t="n">
        <v>15</v>
      </c>
      <c r="AF20" s="4" t="s">
        <v>437</v>
      </c>
      <c r="AG20" s="4" t="s">
        <v>458</v>
      </c>
      <c r="AH20" s="15" t="n">
        <v>0.0421830947416554</v>
      </c>
      <c r="AI20" s="4" t="n">
        <v>14</v>
      </c>
      <c r="AK20" s="2" t="n">
        <v>15</v>
      </c>
      <c r="AL20" s="4" t="s">
        <v>449</v>
      </c>
      <c r="AM20" s="4" t="s">
        <v>459</v>
      </c>
      <c r="AN20" s="15" t="n">
        <v>0.366745515125999</v>
      </c>
      <c r="AO20" s="4" t="n">
        <v>16</v>
      </c>
      <c r="AQ20" s="2" t="n">
        <v>15</v>
      </c>
      <c r="AR20" s="4" t="s">
        <v>442</v>
      </c>
      <c r="AS20" s="4" t="s">
        <v>453</v>
      </c>
      <c r="AT20" s="15" t="n">
        <v>0.507924006830452</v>
      </c>
      <c r="AU20" s="4" t="n">
        <v>3</v>
      </c>
      <c r="AW20" s="2" t="n">
        <v>15</v>
      </c>
      <c r="AX20" s="4" t="s">
        <v>442</v>
      </c>
      <c r="AY20" s="4" t="s">
        <v>455</v>
      </c>
      <c r="AZ20" s="15" t="n">
        <v>0.462866529353948</v>
      </c>
      <c r="BA20" s="4" t="n">
        <v>3</v>
      </c>
    </row>
    <row r="21" customFormat="false" ht="15" hidden="false" customHeight="false" outlineLevel="0" collapsed="false">
      <c r="A21" s="2" t="n">
        <v>16</v>
      </c>
      <c r="B21" s="4" t="s">
        <v>448</v>
      </c>
      <c r="C21" s="4" t="s">
        <v>460</v>
      </c>
      <c r="D21" s="15" t="n">
        <v>0.933186713827021</v>
      </c>
      <c r="E21" s="4" t="n">
        <v>17</v>
      </c>
      <c r="G21" s="2" t="n">
        <v>16</v>
      </c>
      <c r="H21" s="4" t="s">
        <v>452</v>
      </c>
      <c r="I21" s="4" t="s">
        <v>454</v>
      </c>
      <c r="J21" s="15" t="n">
        <v>0.985301283543788</v>
      </c>
      <c r="K21" s="4" t="n">
        <v>3</v>
      </c>
      <c r="M21" s="2" t="n">
        <v>16</v>
      </c>
      <c r="N21" s="4" t="s">
        <v>455</v>
      </c>
      <c r="O21" s="4" t="s">
        <v>460</v>
      </c>
      <c r="P21" s="15" t="n">
        <v>0.965567460226525</v>
      </c>
      <c r="Q21" s="4" t="n">
        <v>16</v>
      </c>
      <c r="S21" s="2" t="n">
        <v>16</v>
      </c>
      <c r="T21" s="4" t="s">
        <v>458</v>
      </c>
      <c r="U21" s="4" t="s">
        <v>460</v>
      </c>
      <c r="V21" s="15" t="n">
        <v>0.0300288194781658</v>
      </c>
      <c r="W21" s="4" t="n">
        <v>17</v>
      </c>
      <c r="Y21" s="2" t="n">
        <v>16</v>
      </c>
      <c r="Z21" s="4" t="s">
        <v>455</v>
      </c>
      <c r="AA21" s="4" t="s">
        <v>459</v>
      </c>
      <c r="AB21" s="15" t="n">
        <v>0.0502883590203331</v>
      </c>
      <c r="AC21" s="4" t="n">
        <v>12</v>
      </c>
      <c r="AE21" s="2" t="n">
        <v>16</v>
      </c>
      <c r="AF21" s="4" t="s">
        <v>457</v>
      </c>
      <c r="AG21" s="4" t="s">
        <v>460</v>
      </c>
      <c r="AH21" s="15" t="n">
        <v>0.0424105560143358</v>
      </c>
      <c r="AI21" s="4" t="n">
        <v>15</v>
      </c>
      <c r="AK21" s="2" t="n">
        <v>16</v>
      </c>
      <c r="AL21" s="4" t="s">
        <v>441</v>
      </c>
      <c r="AM21" s="4" t="s">
        <v>460</v>
      </c>
      <c r="AN21" s="15" t="n">
        <v>0.377198305258127</v>
      </c>
      <c r="AO21" s="4" t="n">
        <v>17</v>
      </c>
      <c r="AQ21" s="2" t="n">
        <v>16</v>
      </c>
      <c r="AR21" s="4" t="s">
        <v>436</v>
      </c>
      <c r="AS21" s="4" t="s">
        <v>454</v>
      </c>
      <c r="AT21" s="15" t="n">
        <v>0.531839579185178</v>
      </c>
      <c r="AU21" s="4" t="n">
        <v>5</v>
      </c>
      <c r="AW21" s="2" t="n">
        <v>16</v>
      </c>
      <c r="AX21" s="4" t="s">
        <v>457</v>
      </c>
      <c r="AY21" s="4" t="s">
        <v>459</v>
      </c>
      <c r="AZ21" s="15" t="n">
        <v>0.464741764017477</v>
      </c>
      <c r="BA21" s="4" t="n">
        <v>15</v>
      </c>
    </row>
    <row r="22" customFormat="false" ht="15" hidden="false" customHeight="false" outlineLevel="0" collapsed="false">
      <c r="A22" s="2" t="n">
        <v>17</v>
      </c>
      <c r="B22" s="4" t="s">
        <v>457</v>
      </c>
      <c r="C22" s="4" t="s">
        <v>461</v>
      </c>
      <c r="D22" s="15" t="n">
        <v>0.935883595773527</v>
      </c>
      <c r="E22" s="4" t="n">
        <v>18</v>
      </c>
      <c r="G22" s="2" t="n">
        <v>17</v>
      </c>
      <c r="H22" s="4" t="s">
        <v>455</v>
      </c>
      <c r="I22" s="4" t="s">
        <v>459</v>
      </c>
      <c r="J22" s="15" t="n">
        <v>0.987171881466435</v>
      </c>
      <c r="K22" s="4" t="n">
        <v>12</v>
      </c>
      <c r="M22" s="2" t="n">
        <v>17</v>
      </c>
      <c r="N22" s="4" t="s">
        <v>436</v>
      </c>
      <c r="O22" s="4" t="s">
        <v>461</v>
      </c>
      <c r="P22" s="15" t="n">
        <v>0.967740639780269</v>
      </c>
      <c r="Q22" s="4" t="n">
        <v>17</v>
      </c>
      <c r="S22" s="2" t="n">
        <v>17</v>
      </c>
      <c r="T22" s="4" t="s">
        <v>452</v>
      </c>
      <c r="U22" s="4" t="s">
        <v>449</v>
      </c>
      <c r="V22" s="15" t="n">
        <v>0.0361047808056312</v>
      </c>
      <c r="W22" s="4" t="n">
        <v>2</v>
      </c>
      <c r="Y22" s="2" t="n">
        <v>17</v>
      </c>
      <c r="Z22" s="4" t="s">
        <v>456</v>
      </c>
      <c r="AA22" s="4" t="s">
        <v>458</v>
      </c>
      <c r="AB22" s="15" t="n">
        <v>0.0621891530959509</v>
      </c>
      <c r="AC22" s="4" t="n">
        <v>4</v>
      </c>
      <c r="AE22" s="2" t="n">
        <v>17</v>
      </c>
      <c r="AF22" s="4" t="s">
        <v>455</v>
      </c>
      <c r="AG22" s="4" t="s">
        <v>461</v>
      </c>
      <c r="AH22" s="15" t="n">
        <v>0.0466028639380918</v>
      </c>
      <c r="AI22" s="4" t="n">
        <v>17</v>
      </c>
      <c r="AK22" s="2" t="n">
        <v>17</v>
      </c>
      <c r="AL22" s="4" t="s">
        <v>452</v>
      </c>
      <c r="AM22" s="4" t="s">
        <v>461</v>
      </c>
      <c r="AN22" s="15" t="n">
        <v>0.383548391991516</v>
      </c>
      <c r="AO22" s="4" t="n">
        <v>18</v>
      </c>
      <c r="AQ22" s="2" t="n">
        <v>17</v>
      </c>
      <c r="AR22" s="4" t="s">
        <v>449</v>
      </c>
      <c r="AS22" s="4" t="s">
        <v>460</v>
      </c>
      <c r="AT22" s="15" t="n">
        <v>0.55844991253356</v>
      </c>
      <c r="AU22" s="4" t="n">
        <v>4</v>
      </c>
      <c r="AW22" s="2" t="n">
        <v>17</v>
      </c>
      <c r="AX22" s="4" t="s">
        <v>436</v>
      </c>
      <c r="AY22" s="4" t="s">
        <v>461</v>
      </c>
      <c r="AZ22" s="15" t="n">
        <v>0.507542943172725</v>
      </c>
      <c r="BA22" s="4" t="n">
        <v>16</v>
      </c>
    </row>
    <row r="23" customFormat="false" ht="15" hidden="false" customHeight="false" outlineLevel="0" collapsed="false">
      <c r="A23" s="2" t="n">
        <v>18</v>
      </c>
      <c r="B23" s="4" t="s">
        <v>452</v>
      </c>
      <c r="C23" s="4" t="s">
        <v>462</v>
      </c>
      <c r="D23" s="15" t="n">
        <v>0.943050175435792</v>
      </c>
      <c r="E23" s="4" t="n">
        <v>19</v>
      </c>
      <c r="G23" s="2" t="n">
        <v>18</v>
      </c>
      <c r="H23" s="4" t="s">
        <v>460</v>
      </c>
      <c r="I23" s="4" t="s">
        <v>461</v>
      </c>
      <c r="J23" s="15" t="n">
        <v>0.993734222101928</v>
      </c>
      <c r="K23" s="4" t="n">
        <v>8</v>
      </c>
      <c r="M23" s="2" t="n">
        <v>18</v>
      </c>
      <c r="N23" s="4" t="s">
        <v>458</v>
      </c>
      <c r="O23" s="4" t="s">
        <v>462</v>
      </c>
      <c r="P23" s="15" t="n">
        <v>0.96899837409024</v>
      </c>
      <c r="Q23" s="4" t="n">
        <v>19</v>
      </c>
      <c r="S23" s="2" t="n">
        <v>18</v>
      </c>
      <c r="T23" s="4" t="s">
        <v>461</v>
      </c>
      <c r="U23" s="4" t="s">
        <v>462</v>
      </c>
      <c r="V23" s="15" t="n">
        <v>0.0367529045965606</v>
      </c>
      <c r="W23" s="4" t="n">
        <v>19</v>
      </c>
      <c r="Y23" s="2" t="n">
        <v>18</v>
      </c>
      <c r="Z23" s="4" t="s">
        <v>460</v>
      </c>
      <c r="AA23" s="4" t="s">
        <v>461</v>
      </c>
      <c r="AB23" s="15" t="n">
        <v>0.06502107181885</v>
      </c>
      <c r="AC23" s="4" t="n">
        <v>16</v>
      </c>
      <c r="AE23" s="2" t="n">
        <v>18</v>
      </c>
      <c r="AF23" s="4" t="s">
        <v>459</v>
      </c>
      <c r="AG23" s="4" t="s">
        <v>462</v>
      </c>
      <c r="AH23" s="15" t="n">
        <v>0.0537350224408039</v>
      </c>
      <c r="AI23" s="4" t="n">
        <v>19</v>
      </c>
      <c r="AK23" s="2" t="n">
        <v>18</v>
      </c>
      <c r="AL23" s="4" t="s">
        <v>436</v>
      </c>
      <c r="AM23" s="4" t="s">
        <v>462</v>
      </c>
      <c r="AN23" s="15" t="n">
        <v>0.403020811529372</v>
      </c>
      <c r="AO23" s="4" t="n">
        <v>19</v>
      </c>
      <c r="AQ23" s="2" t="n">
        <v>18</v>
      </c>
      <c r="AR23" s="4" t="s">
        <v>459</v>
      </c>
      <c r="AS23" s="4" t="s">
        <v>461</v>
      </c>
      <c r="AT23" s="15" t="n">
        <v>0.59911948484142</v>
      </c>
      <c r="AU23" s="4" t="n">
        <v>16</v>
      </c>
      <c r="AW23" s="2" t="n">
        <v>18</v>
      </c>
      <c r="AX23" s="4" t="s">
        <v>449</v>
      </c>
      <c r="AY23" s="4" t="s">
        <v>462</v>
      </c>
      <c r="AZ23" s="15" t="n">
        <v>0.512166755371531</v>
      </c>
      <c r="BA23" s="4" t="n">
        <v>17</v>
      </c>
    </row>
    <row r="24" customFormat="false" ht="15" hidden="false" customHeight="false" outlineLevel="0" collapsed="false">
      <c r="A24" s="2" t="n">
        <v>19</v>
      </c>
      <c r="B24" s="4" t="s">
        <v>434</v>
      </c>
      <c r="C24" s="4" t="s">
        <v>463</v>
      </c>
      <c r="D24" s="15" t="n">
        <v>0.944692282813412</v>
      </c>
      <c r="E24" s="4" t="n">
        <v>20</v>
      </c>
      <c r="G24" s="2" t="n">
        <v>19</v>
      </c>
      <c r="H24" s="4" t="s">
        <v>462</v>
      </c>
      <c r="I24" s="4" t="s">
        <v>463</v>
      </c>
      <c r="J24" s="15" t="n">
        <v>0.998990190022193</v>
      </c>
      <c r="K24" s="4" t="n">
        <v>20</v>
      </c>
      <c r="M24" s="2" t="n">
        <v>19</v>
      </c>
      <c r="N24" s="4" t="s">
        <v>457</v>
      </c>
      <c r="O24" s="4" t="s">
        <v>463</v>
      </c>
      <c r="P24" s="15" t="n">
        <v>0.974114623792008</v>
      </c>
      <c r="Q24" s="4" t="n">
        <v>20</v>
      </c>
      <c r="S24" s="2" t="n">
        <v>19</v>
      </c>
      <c r="T24" s="4" t="s">
        <v>440</v>
      </c>
      <c r="U24" s="4" t="s">
        <v>463</v>
      </c>
      <c r="V24" s="15" t="n">
        <v>0.0447482043062633</v>
      </c>
      <c r="W24" s="4" t="n">
        <v>20</v>
      </c>
      <c r="Y24" s="2" t="n">
        <v>19</v>
      </c>
      <c r="Z24" s="4" t="s">
        <v>462</v>
      </c>
      <c r="AA24" s="4" t="s">
        <v>463</v>
      </c>
      <c r="AB24" s="15" t="n">
        <v>0.076515743895445</v>
      </c>
      <c r="AC24" s="4" t="n">
        <v>20</v>
      </c>
      <c r="AE24" s="2" t="n">
        <v>19</v>
      </c>
      <c r="AF24" s="4" t="s">
        <v>440</v>
      </c>
      <c r="AG24" s="4" t="s">
        <v>463</v>
      </c>
      <c r="AH24" s="15" t="n">
        <v>0.0599279424910443</v>
      </c>
      <c r="AI24" s="4" t="n">
        <v>20</v>
      </c>
      <c r="AK24" s="2" t="n">
        <v>19</v>
      </c>
      <c r="AL24" s="4" t="s">
        <v>448</v>
      </c>
      <c r="AM24" s="4" t="s">
        <v>463</v>
      </c>
      <c r="AN24" s="15" t="n">
        <v>0.404089413634003</v>
      </c>
      <c r="AO24" s="4" t="n">
        <v>20</v>
      </c>
      <c r="AQ24" s="2" t="n">
        <v>19</v>
      </c>
      <c r="AR24" s="4" t="s">
        <v>462</v>
      </c>
      <c r="AS24" s="4" t="s">
        <v>463</v>
      </c>
      <c r="AT24" s="15" t="n">
        <v>0.657209703269544</v>
      </c>
      <c r="AU24" s="4" t="n">
        <v>20</v>
      </c>
      <c r="AW24" s="2" t="n">
        <v>19</v>
      </c>
      <c r="AX24" s="4" t="s">
        <v>460</v>
      </c>
      <c r="AY24" s="4" t="s">
        <v>463</v>
      </c>
      <c r="AZ24" s="15" t="n">
        <v>0.521561440682674</v>
      </c>
      <c r="BA24" s="4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2"/>
  </cols>
  <sheetData>
    <row r="1" customFormat="false" ht="16.15" hidden="false" customHeight="false" outlineLevel="0" collapsed="false">
      <c r="A1" s="9" t="s">
        <v>464</v>
      </c>
    </row>
    <row r="2" customFormat="false" ht="15" hidden="false" customHeight="false" outlineLevel="0" collapsed="false">
      <c r="A2" s="10" t="s">
        <v>465</v>
      </c>
    </row>
    <row r="4" customFormat="false" ht="15" hidden="false" customHeight="false" outlineLevel="0" collapsed="false">
      <c r="A4" s="3" t="s">
        <v>466</v>
      </c>
      <c r="D4" s="14" t="n">
        <f aca="false">CORREL(C9:C198,D9:D198)</f>
        <v>0.756833753543458</v>
      </c>
      <c r="E4" s="14" t="n">
        <f aca="false">CORREL(C9:C198,E9:E198)</f>
        <v>0.730329111485776</v>
      </c>
      <c r="F4" s="14" t="n">
        <f aca="false">CORREL(C9:C198,F9:F198)</f>
        <v>0.804917313136718</v>
      </c>
      <c r="H4" s="14" t="n">
        <f aca="false">CORREL(G9:G198,H9:H198)</f>
        <v>0.787582067294603</v>
      </c>
      <c r="I4" s="14" t="n">
        <f aca="false">CORREL(G9:G198,I9:I198)</f>
        <v>0.707676466325936</v>
      </c>
      <c r="J4" s="14" t="n">
        <f aca="false">CORREL(G9:G198,J9:J198)</f>
        <v>0.816074347654666</v>
      </c>
      <c r="L4" s="14" t="n">
        <f aca="false">CORREL(K9:K198,L9:L198)</f>
        <v>0.745366111612989</v>
      </c>
      <c r="M4" s="14" t="n">
        <f aca="false">CORREL(K9:K198,M9:M198)</f>
        <v>0.683426575138186</v>
      </c>
      <c r="N4" s="14" t="n">
        <f aca="false">CORREL(K9:K198,N9:N198)</f>
        <v>0.796898512830534</v>
      </c>
    </row>
    <row r="5" customFormat="false" ht="15" hidden="false" customHeight="false" outlineLevel="0" collapsed="false">
      <c r="A5" s="3" t="s">
        <v>69</v>
      </c>
      <c r="D5" s="15" t="n">
        <v>0.7568</v>
      </c>
      <c r="E5" s="15" t="n">
        <v>0.7303</v>
      </c>
      <c r="F5" s="15" t="n">
        <v>0.8049</v>
      </c>
      <c r="H5" s="15" t="n">
        <v>0.7876</v>
      </c>
      <c r="I5" s="15" t="n">
        <v>0.7077</v>
      </c>
      <c r="J5" s="15" t="n">
        <v>0.8161</v>
      </c>
      <c r="L5" s="15" t="n">
        <v>0.7454</v>
      </c>
      <c r="M5" s="15" t="n">
        <v>0.6834</v>
      </c>
      <c r="N5" s="15" t="n">
        <v>0.7969</v>
      </c>
    </row>
    <row r="6" customFormat="false" ht="15" hidden="false" customHeight="false" outlineLevel="0" collapsed="false">
      <c r="A6" s="2" t="s">
        <v>467</v>
      </c>
    </row>
    <row r="8" customFormat="false" ht="23.85" hidden="false" customHeight="false" outlineLevel="0" collapsed="false">
      <c r="A8" s="7" t="s">
        <v>468</v>
      </c>
      <c r="B8" s="7" t="s">
        <v>469</v>
      </c>
      <c r="C8" s="7" t="s">
        <v>470</v>
      </c>
      <c r="D8" s="7" t="s">
        <v>471</v>
      </c>
      <c r="E8" s="7" t="s">
        <v>472</v>
      </c>
      <c r="F8" s="7" t="s">
        <v>473</v>
      </c>
      <c r="G8" s="7" t="s">
        <v>474</v>
      </c>
      <c r="H8" s="7" t="s">
        <v>475</v>
      </c>
      <c r="I8" s="7" t="s">
        <v>476</v>
      </c>
      <c r="J8" s="7" t="s">
        <v>477</v>
      </c>
      <c r="K8" s="7" t="s">
        <v>478</v>
      </c>
      <c r="L8" s="7" t="s">
        <v>479</v>
      </c>
      <c r="M8" s="7" t="s">
        <v>480</v>
      </c>
      <c r="N8" s="7" t="s">
        <v>481</v>
      </c>
    </row>
    <row r="9" customFormat="false" ht="15" hidden="false" customHeight="false" outlineLevel="0" collapsed="false">
      <c r="A9" s="2" t="n">
        <v>1</v>
      </c>
      <c r="B9" s="2" t="n">
        <v>2</v>
      </c>
      <c r="C9" s="15" t="n">
        <v>0.956442</v>
      </c>
      <c r="D9" s="15" t="n">
        <v>0.916241</v>
      </c>
      <c r="E9" s="15" t="n">
        <v>0.99899</v>
      </c>
      <c r="F9" s="15" t="n">
        <v>0.968998</v>
      </c>
      <c r="G9" s="15" t="n">
        <v>0.031134</v>
      </c>
      <c r="H9" s="15" t="n">
        <v>0.029776</v>
      </c>
      <c r="I9" s="15" t="n">
        <v>0.065021</v>
      </c>
      <c r="J9" s="15" t="n">
        <v>0.042183</v>
      </c>
      <c r="K9" s="15" t="n">
        <v>0.410214</v>
      </c>
      <c r="L9" s="15" t="n">
        <v>0.30123</v>
      </c>
      <c r="M9" s="15" t="n">
        <v>0.473139</v>
      </c>
      <c r="N9" s="15" t="n">
        <v>0.394625</v>
      </c>
    </row>
    <row r="10" customFormat="false" ht="15" hidden="false" customHeight="false" outlineLevel="0" collapsed="false">
      <c r="A10" s="2" t="n">
        <v>1</v>
      </c>
      <c r="B10" s="2" t="n">
        <v>3</v>
      </c>
      <c r="C10" s="15" t="n">
        <v>0.976135</v>
      </c>
      <c r="D10" s="15" t="n">
        <v>0.944692</v>
      </c>
      <c r="E10" s="15" t="n">
        <v>0.993734</v>
      </c>
      <c r="F10" s="15" t="n">
        <v>0.968998</v>
      </c>
      <c r="G10" s="15" t="n">
        <v>0.018239</v>
      </c>
      <c r="H10" s="15" t="n">
        <v>0.018239</v>
      </c>
      <c r="I10" s="15" t="n">
        <v>0.018239</v>
      </c>
      <c r="J10" s="15" t="n">
        <v>0.018239</v>
      </c>
      <c r="K10" s="15" t="n">
        <v>0.266466</v>
      </c>
      <c r="L10" s="15" t="n">
        <v>0.266466</v>
      </c>
      <c r="M10" s="15" t="n">
        <v>0.266466</v>
      </c>
      <c r="N10" s="15" t="n">
        <v>0.266466</v>
      </c>
    </row>
    <row r="11" customFormat="false" ht="15" hidden="false" customHeight="false" outlineLevel="0" collapsed="false">
      <c r="A11" s="2" t="n">
        <v>1</v>
      </c>
      <c r="B11" s="2" t="n">
        <v>4</v>
      </c>
      <c r="C11" s="15" t="n">
        <v>0.984207</v>
      </c>
      <c r="D11" s="15" t="n">
        <v>0.94305</v>
      </c>
      <c r="E11" s="15" t="n">
        <v>0.985301</v>
      </c>
      <c r="F11" s="15" t="n">
        <v>0.968998</v>
      </c>
      <c r="G11" s="15" t="n">
        <v>0.048502</v>
      </c>
      <c r="H11" s="15" t="n">
        <v>0.036753</v>
      </c>
      <c r="I11" s="15" t="n">
        <v>0.076516</v>
      </c>
      <c r="J11" s="15" t="n">
        <v>0.053735</v>
      </c>
      <c r="K11" s="15" t="n">
        <v>0.569279</v>
      </c>
      <c r="L11" s="15" t="n">
        <v>0.383548</v>
      </c>
      <c r="M11" s="15" t="n">
        <v>0.65721</v>
      </c>
      <c r="N11" s="15" t="n">
        <v>0.521561</v>
      </c>
    </row>
    <row r="12" customFormat="false" ht="15" hidden="false" customHeight="false" outlineLevel="0" collapsed="false">
      <c r="A12" s="2" t="n">
        <v>1</v>
      </c>
      <c r="B12" s="2" t="n">
        <v>5</v>
      </c>
      <c r="C12" s="15" t="n">
        <v>0.974116</v>
      </c>
      <c r="D12" s="15" t="n">
        <v>0.916241</v>
      </c>
      <c r="E12" s="15" t="n">
        <v>0.99899</v>
      </c>
      <c r="F12" s="15" t="n">
        <v>0.968998</v>
      </c>
      <c r="G12" s="15" t="n">
        <v>0.03922</v>
      </c>
      <c r="H12" s="15" t="n">
        <v>0.029776</v>
      </c>
      <c r="I12" s="15" t="n">
        <v>0.065021</v>
      </c>
      <c r="J12" s="15" t="n">
        <v>0.042183</v>
      </c>
      <c r="K12" s="15" t="n">
        <v>0.366567</v>
      </c>
      <c r="L12" s="15" t="n">
        <v>0.294154</v>
      </c>
      <c r="M12" s="15" t="n">
        <v>0.473139</v>
      </c>
      <c r="N12" s="15" t="n">
        <v>0.373813</v>
      </c>
    </row>
    <row r="13" customFormat="false" ht="15" hidden="false" customHeight="false" outlineLevel="0" collapsed="false">
      <c r="A13" s="2" t="n">
        <v>1</v>
      </c>
      <c r="B13" s="2" t="n">
        <v>6</v>
      </c>
      <c r="C13" s="15" t="n">
        <v>0.974083</v>
      </c>
      <c r="D13" s="15" t="n">
        <v>0.916241</v>
      </c>
      <c r="E13" s="15" t="n">
        <v>0.99899</v>
      </c>
      <c r="F13" s="15" t="n">
        <v>0.968998</v>
      </c>
      <c r="G13" s="15" t="n">
        <v>0.039051</v>
      </c>
      <c r="H13" s="15" t="n">
        <v>0.029776</v>
      </c>
      <c r="I13" s="15" t="n">
        <v>0.065021</v>
      </c>
      <c r="J13" s="15" t="n">
        <v>0.042183</v>
      </c>
      <c r="K13" s="15" t="n">
        <v>0.39996</v>
      </c>
      <c r="L13" s="15" t="n">
        <v>0.294154</v>
      </c>
      <c r="M13" s="15" t="n">
        <v>0.404307</v>
      </c>
      <c r="N13" s="15" t="n">
        <v>0.373813</v>
      </c>
    </row>
    <row r="14" customFormat="false" ht="15" hidden="false" customHeight="false" outlineLevel="0" collapsed="false">
      <c r="A14" s="2" t="n">
        <v>1</v>
      </c>
      <c r="B14" s="2" t="n">
        <v>7</v>
      </c>
      <c r="C14" s="15" t="n">
        <v>0.989653</v>
      </c>
      <c r="D14" s="15" t="n">
        <v>0.924366</v>
      </c>
      <c r="E14" s="15" t="n">
        <v>0.99899</v>
      </c>
      <c r="F14" s="15" t="n">
        <v>0.968998</v>
      </c>
      <c r="G14" s="15" t="n">
        <v>0.059263</v>
      </c>
      <c r="H14" s="15" t="n">
        <v>0.036753</v>
      </c>
      <c r="I14" s="15" t="n">
        <v>0.076516</v>
      </c>
      <c r="J14" s="15" t="n">
        <v>0.053735</v>
      </c>
      <c r="K14" s="15" t="n">
        <v>0.511916</v>
      </c>
      <c r="L14" s="15" t="n">
        <v>0.366746</v>
      </c>
      <c r="M14" s="15" t="n">
        <v>0.65721</v>
      </c>
      <c r="N14" s="15" t="n">
        <v>0.512167</v>
      </c>
    </row>
    <row r="15" customFormat="false" ht="15" hidden="false" customHeight="false" outlineLevel="0" collapsed="false">
      <c r="A15" s="2" t="n">
        <v>1</v>
      </c>
      <c r="B15" s="2" t="n">
        <v>8</v>
      </c>
      <c r="C15" s="15" t="n">
        <v>0.967967</v>
      </c>
      <c r="D15" s="15" t="n">
        <v>0.916241</v>
      </c>
      <c r="E15" s="15" t="n">
        <v>0.993734</v>
      </c>
      <c r="F15" s="15" t="n">
        <v>0.968998</v>
      </c>
      <c r="G15" s="15" t="n">
        <v>0.047096</v>
      </c>
      <c r="H15" s="15" t="n">
        <v>0.030029</v>
      </c>
      <c r="I15" s="15" t="n">
        <v>0.049904</v>
      </c>
      <c r="J15" s="15" t="n">
        <v>0.046603</v>
      </c>
      <c r="K15" s="15" t="n">
        <v>0.465361</v>
      </c>
      <c r="L15" s="15" t="n">
        <v>0.377198</v>
      </c>
      <c r="M15" s="15" t="n">
        <v>0.65721</v>
      </c>
      <c r="N15" s="15" t="n">
        <v>0.521561</v>
      </c>
    </row>
    <row r="16" customFormat="false" ht="15" hidden="false" customHeight="false" outlineLevel="0" collapsed="false">
      <c r="A16" s="2" t="n">
        <v>1</v>
      </c>
      <c r="B16" s="2" t="n">
        <v>9</v>
      </c>
      <c r="C16" s="15" t="n">
        <v>0.960251</v>
      </c>
      <c r="D16" s="15" t="n">
        <v>0.916241</v>
      </c>
      <c r="E16" s="15" t="n">
        <v>0.99899</v>
      </c>
      <c r="F16" s="15" t="n">
        <v>0.968998</v>
      </c>
      <c r="G16" s="15" t="n">
        <v>0.052628</v>
      </c>
      <c r="H16" s="15" t="n">
        <v>0.029776</v>
      </c>
      <c r="I16" s="15" t="n">
        <v>0.065021</v>
      </c>
      <c r="J16" s="15" t="n">
        <v>0.042183</v>
      </c>
      <c r="K16" s="15" t="n">
        <v>0.329119</v>
      </c>
      <c r="L16" s="15" t="n">
        <v>0.294154</v>
      </c>
      <c r="M16" s="15" t="n">
        <v>0.404307</v>
      </c>
      <c r="N16" s="15" t="n">
        <v>0.373813</v>
      </c>
    </row>
    <row r="17" customFormat="false" ht="15" hidden="false" customHeight="false" outlineLevel="0" collapsed="false">
      <c r="A17" s="2" t="n">
        <v>1</v>
      </c>
      <c r="B17" s="2" t="n">
        <v>10</v>
      </c>
      <c r="C17" s="15" t="n">
        <v>0.980093</v>
      </c>
      <c r="D17" s="15" t="n">
        <v>0.916241</v>
      </c>
      <c r="E17" s="15" t="n">
        <v>0.993734</v>
      </c>
      <c r="F17" s="15" t="n">
        <v>0.968998</v>
      </c>
      <c r="G17" s="15" t="n">
        <v>0.049543</v>
      </c>
      <c r="H17" s="15" t="n">
        <v>0.030029</v>
      </c>
      <c r="I17" s="15" t="n">
        <v>0.049904</v>
      </c>
      <c r="J17" s="15" t="n">
        <v>0.046603</v>
      </c>
      <c r="K17" s="15" t="n">
        <v>0.50261</v>
      </c>
      <c r="L17" s="15" t="n">
        <v>0.363588</v>
      </c>
      <c r="M17" s="15" t="n">
        <v>0.65721</v>
      </c>
      <c r="N17" s="15" t="n">
        <v>0.521561</v>
      </c>
    </row>
    <row r="18" customFormat="false" ht="15" hidden="false" customHeight="false" outlineLevel="0" collapsed="false">
      <c r="A18" s="2" t="n">
        <v>1</v>
      </c>
      <c r="B18" s="2" t="n">
        <v>11</v>
      </c>
      <c r="C18" s="15" t="n">
        <v>0.916241</v>
      </c>
      <c r="D18" s="15" t="n">
        <v>0.916241</v>
      </c>
      <c r="E18" s="15" t="n">
        <v>0.99899</v>
      </c>
      <c r="F18" s="15" t="n">
        <v>0.968998</v>
      </c>
      <c r="G18" s="15" t="n">
        <v>0.037242</v>
      </c>
      <c r="H18" s="15" t="n">
        <v>0.029776</v>
      </c>
      <c r="I18" s="15" t="n">
        <v>0.065021</v>
      </c>
      <c r="J18" s="15" t="n">
        <v>0.042183</v>
      </c>
      <c r="K18" s="15" t="n">
        <v>0.397782</v>
      </c>
      <c r="L18" s="15" t="n">
        <v>0.313653</v>
      </c>
      <c r="M18" s="15" t="n">
        <v>0.599119</v>
      </c>
      <c r="N18" s="15" t="n">
        <v>0.410867</v>
      </c>
    </row>
    <row r="19" customFormat="false" ht="15" hidden="false" customHeight="false" outlineLevel="0" collapsed="false">
      <c r="A19" s="2" t="n">
        <v>1</v>
      </c>
      <c r="B19" s="2" t="n">
        <v>12</v>
      </c>
      <c r="C19" s="15" t="n">
        <v>0.962494</v>
      </c>
      <c r="D19" s="15" t="n">
        <v>0.916241</v>
      </c>
      <c r="E19" s="15" t="n">
        <v>0.99899</v>
      </c>
      <c r="F19" s="15" t="n">
        <v>0.968998</v>
      </c>
      <c r="G19" s="15" t="n">
        <v>0.043269</v>
      </c>
      <c r="H19" s="15" t="n">
        <v>0.029776</v>
      </c>
      <c r="I19" s="15" t="n">
        <v>0.065021</v>
      </c>
      <c r="J19" s="15" t="n">
        <v>0.042183</v>
      </c>
      <c r="K19" s="15" t="n">
        <v>0.366923</v>
      </c>
      <c r="L19" s="15" t="n">
        <v>0.294154</v>
      </c>
      <c r="M19" s="15" t="n">
        <v>0.404307</v>
      </c>
      <c r="N19" s="15" t="n">
        <v>0.373813</v>
      </c>
    </row>
    <row r="20" customFormat="false" ht="15" hidden="false" customHeight="false" outlineLevel="0" collapsed="false">
      <c r="A20" s="2" t="n">
        <v>1</v>
      </c>
      <c r="B20" s="2" t="n">
        <v>13</v>
      </c>
      <c r="C20" s="15" t="n">
        <v>0.954613</v>
      </c>
      <c r="D20" s="15" t="n">
        <v>0.933187</v>
      </c>
      <c r="E20" s="15" t="n">
        <v>0.954613</v>
      </c>
      <c r="F20" s="15" t="n">
        <v>0.954613</v>
      </c>
      <c r="G20" s="15" t="n">
        <v>0.038428</v>
      </c>
      <c r="H20" s="15" t="n">
        <v>0.029776</v>
      </c>
      <c r="I20" s="15" t="n">
        <v>0.065021</v>
      </c>
      <c r="J20" s="15" t="n">
        <v>0.042183</v>
      </c>
      <c r="K20" s="15" t="n">
        <v>0.437904</v>
      </c>
      <c r="L20" s="15" t="n">
        <v>0.404089</v>
      </c>
      <c r="M20" s="15" t="n">
        <v>0.493172</v>
      </c>
      <c r="N20" s="15" t="n">
        <v>0.451208</v>
      </c>
    </row>
    <row r="21" customFormat="false" ht="15" hidden="false" customHeight="false" outlineLevel="0" collapsed="false">
      <c r="A21" s="2" t="n">
        <v>1</v>
      </c>
      <c r="B21" s="2" t="n">
        <v>14</v>
      </c>
      <c r="C21" s="15" t="n">
        <v>0.971148</v>
      </c>
      <c r="D21" s="15" t="n">
        <v>0.935884</v>
      </c>
      <c r="E21" s="15" t="n">
        <v>0.993734</v>
      </c>
      <c r="F21" s="15" t="n">
        <v>0.974115</v>
      </c>
      <c r="G21" s="15" t="n">
        <v>0.048175</v>
      </c>
      <c r="H21" s="15" t="n">
        <v>0.029776</v>
      </c>
      <c r="I21" s="15" t="n">
        <v>0.076516</v>
      </c>
      <c r="J21" s="15" t="n">
        <v>0.042411</v>
      </c>
      <c r="K21" s="15" t="n">
        <v>0.406284</v>
      </c>
      <c r="L21" s="15" t="n">
        <v>0.350786</v>
      </c>
      <c r="M21" s="15" t="n">
        <v>0.507388</v>
      </c>
      <c r="N21" s="15" t="n">
        <v>0.464742</v>
      </c>
    </row>
    <row r="22" customFormat="false" ht="15" hidden="false" customHeight="false" outlineLevel="0" collapsed="false">
      <c r="A22" s="2" t="n">
        <v>1</v>
      </c>
      <c r="B22" s="2" t="n">
        <v>15</v>
      </c>
      <c r="C22" s="15" t="n">
        <v>0.959724</v>
      </c>
      <c r="D22" s="15" t="n">
        <v>0.924812</v>
      </c>
      <c r="E22" s="15" t="n">
        <v>0.99899</v>
      </c>
      <c r="F22" s="15" t="n">
        <v>0.968998</v>
      </c>
      <c r="G22" s="15" t="n">
        <v>0.032114</v>
      </c>
      <c r="H22" s="15" t="n">
        <v>0.029776</v>
      </c>
      <c r="I22" s="15" t="n">
        <v>0.065021</v>
      </c>
      <c r="J22" s="15" t="n">
        <v>0.042183</v>
      </c>
      <c r="K22" s="15" t="n">
        <v>0.401989</v>
      </c>
      <c r="L22" s="15" t="n">
        <v>0.294154</v>
      </c>
      <c r="M22" s="15" t="n">
        <v>0.599119</v>
      </c>
      <c r="N22" s="15" t="n">
        <v>0.373813</v>
      </c>
    </row>
    <row r="23" customFormat="false" ht="15" hidden="false" customHeight="false" outlineLevel="0" collapsed="false">
      <c r="A23" s="2" t="n">
        <v>1</v>
      </c>
      <c r="B23" s="2" t="n">
        <v>16</v>
      </c>
      <c r="C23" s="15" t="n">
        <v>0.99899</v>
      </c>
      <c r="D23" s="15" t="n">
        <v>0.916241</v>
      </c>
      <c r="E23" s="15" t="n">
        <v>0.99899</v>
      </c>
      <c r="F23" s="15" t="n">
        <v>0.968998</v>
      </c>
      <c r="G23" s="15" t="n">
        <v>0.066379</v>
      </c>
      <c r="H23" s="15" t="n">
        <v>0.044748</v>
      </c>
      <c r="I23" s="15" t="n">
        <v>0.076516</v>
      </c>
      <c r="J23" s="15" t="n">
        <v>0.059928</v>
      </c>
      <c r="K23" s="15" t="n">
        <v>0.509204</v>
      </c>
      <c r="L23" s="15" t="n">
        <v>0.313653</v>
      </c>
      <c r="M23" s="15" t="n">
        <v>0.599119</v>
      </c>
      <c r="N23" s="15" t="n">
        <v>0.410867</v>
      </c>
    </row>
    <row r="24" customFormat="false" ht="15" hidden="false" customHeight="false" outlineLevel="0" collapsed="false">
      <c r="A24" s="2" t="n">
        <v>1</v>
      </c>
      <c r="B24" s="2" t="n">
        <v>17</v>
      </c>
      <c r="C24" s="15" t="n">
        <v>0.984631</v>
      </c>
      <c r="D24" s="15" t="n">
        <v>0.916241</v>
      </c>
      <c r="E24" s="15" t="n">
        <v>0.993734</v>
      </c>
      <c r="F24" s="15" t="n">
        <v>0.968998</v>
      </c>
      <c r="G24" s="15" t="n">
        <v>0.035811</v>
      </c>
      <c r="H24" s="15" t="n">
        <v>0.029776</v>
      </c>
      <c r="I24" s="15" t="n">
        <v>0.065021</v>
      </c>
      <c r="J24" s="15" t="n">
        <v>0.042183</v>
      </c>
      <c r="K24" s="15" t="n">
        <v>0.473139</v>
      </c>
      <c r="L24" s="15" t="n">
        <v>0.32051</v>
      </c>
      <c r="M24" s="15" t="n">
        <v>0.473139</v>
      </c>
      <c r="N24" s="15" t="n">
        <v>0.394625</v>
      </c>
    </row>
    <row r="25" customFormat="false" ht="15" hidden="false" customHeight="false" outlineLevel="0" collapsed="false">
      <c r="A25" s="2" t="n">
        <v>1</v>
      </c>
      <c r="B25" s="2" t="n">
        <v>18</v>
      </c>
      <c r="C25" s="15" t="n">
        <v>0.991236</v>
      </c>
      <c r="D25" s="15" t="n">
        <v>0.929495</v>
      </c>
      <c r="E25" s="15" t="n">
        <v>0.99899</v>
      </c>
      <c r="F25" s="15" t="n">
        <v>0.968998</v>
      </c>
      <c r="G25" s="15" t="n">
        <v>0.062631</v>
      </c>
      <c r="H25" s="15" t="n">
        <v>0.029776</v>
      </c>
      <c r="I25" s="15" t="n">
        <v>0.065021</v>
      </c>
      <c r="J25" s="15" t="n">
        <v>0.042183</v>
      </c>
      <c r="K25" s="15" t="n">
        <v>0.473504</v>
      </c>
      <c r="L25" s="15" t="n">
        <v>0.294154</v>
      </c>
      <c r="M25" s="15" t="n">
        <v>0.599119</v>
      </c>
      <c r="N25" s="15" t="n">
        <v>0.373813</v>
      </c>
    </row>
    <row r="26" customFormat="false" ht="15" hidden="false" customHeight="false" outlineLevel="0" collapsed="false">
      <c r="A26" s="2" t="n">
        <v>1</v>
      </c>
      <c r="B26" s="2" t="n">
        <v>19</v>
      </c>
      <c r="C26" s="15" t="n">
        <v>0.982973</v>
      </c>
      <c r="D26" s="15" t="n">
        <v>0.919964</v>
      </c>
      <c r="E26" s="15" t="n">
        <v>0.99899</v>
      </c>
      <c r="F26" s="15" t="n">
        <v>0.968998</v>
      </c>
      <c r="G26" s="15" t="n">
        <v>0.035663</v>
      </c>
      <c r="H26" s="15" t="n">
        <v>0.029776</v>
      </c>
      <c r="I26" s="15" t="n">
        <v>0.065021</v>
      </c>
      <c r="J26" s="15" t="n">
        <v>0.042183</v>
      </c>
      <c r="K26" s="15" t="n">
        <v>0.518866</v>
      </c>
      <c r="L26" s="15" t="n">
        <v>0.403021</v>
      </c>
      <c r="M26" s="15" t="n">
        <v>0.599119</v>
      </c>
      <c r="N26" s="15" t="n">
        <v>0.507543</v>
      </c>
    </row>
    <row r="27" customFormat="false" ht="15" hidden="false" customHeight="false" outlineLevel="0" collapsed="false">
      <c r="A27" s="2" t="n">
        <v>1</v>
      </c>
      <c r="B27" s="2" t="n">
        <v>20</v>
      </c>
      <c r="C27" s="15" t="n">
        <v>0.959882</v>
      </c>
      <c r="D27" s="15" t="n">
        <v>0.916241</v>
      </c>
      <c r="E27" s="15" t="n">
        <v>0.99899</v>
      </c>
      <c r="F27" s="15" t="n">
        <v>0.968998</v>
      </c>
      <c r="G27" s="15" t="n">
        <v>0.029776</v>
      </c>
      <c r="H27" s="15" t="n">
        <v>0.029776</v>
      </c>
      <c r="I27" s="15" t="n">
        <v>0.065021</v>
      </c>
      <c r="J27" s="15" t="n">
        <v>0.042183</v>
      </c>
      <c r="K27" s="15" t="n">
        <v>0.352352</v>
      </c>
      <c r="L27" s="15" t="n">
        <v>0.294154</v>
      </c>
      <c r="M27" s="15" t="n">
        <v>0.404307</v>
      </c>
      <c r="N27" s="15" t="n">
        <v>0.373813</v>
      </c>
    </row>
    <row r="28" customFormat="false" ht="15" hidden="false" customHeight="false" outlineLevel="0" collapsed="false">
      <c r="A28" s="2" t="n">
        <v>2</v>
      </c>
      <c r="B28" s="2" t="n">
        <v>3</v>
      </c>
      <c r="C28" s="15" t="n">
        <v>0.95801</v>
      </c>
      <c r="D28" s="15" t="n">
        <v>0.944692</v>
      </c>
      <c r="E28" s="15" t="n">
        <v>0.99899</v>
      </c>
      <c r="F28" s="15" t="n">
        <v>0.962856</v>
      </c>
      <c r="G28" s="15" t="n">
        <v>0.036719</v>
      </c>
      <c r="H28" s="15" t="n">
        <v>0.029776</v>
      </c>
      <c r="I28" s="15" t="n">
        <v>0.065021</v>
      </c>
      <c r="J28" s="15" t="n">
        <v>0.042183</v>
      </c>
      <c r="K28" s="15" t="n">
        <v>0.410279</v>
      </c>
      <c r="L28" s="15" t="n">
        <v>0.30123</v>
      </c>
      <c r="M28" s="15" t="n">
        <v>0.473139</v>
      </c>
      <c r="N28" s="15" t="n">
        <v>0.394625</v>
      </c>
    </row>
    <row r="29" customFormat="false" ht="15" hidden="false" customHeight="false" outlineLevel="0" collapsed="false">
      <c r="A29" s="2" t="n">
        <v>2</v>
      </c>
      <c r="B29" s="2" t="n">
        <v>4</v>
      </c>
      <c r="C29" s="15" t="n">
        <v>0.960479</v>
      </c>
      <c r="D29" s="15" t="n">
        <v>0.94305</v>
      </c>
      <c r="E29" s="15" t="n">
        <v>0.99899</v>
      </c>
      <c r="F29" s="15" t="n">
        <v>0.965567</v>
      </c>
      <c r="G29" s="15" t="n">
        <v>0.046566</v>
      </c>
      <c r="H29" s="15" t="n">
        <v>0.036753</v>
      </c>
      <c r="I29" s="15" t="n">
        <v>0.076516</v>
      </c>
      <c r="J29" s="15" t="n">
        <v>0.053735</v>
      </c>
      <c r="K29" s="15" t="n">
        <v>0.569123</v>
      </c>
      <c r="L29" s="15" t="n">
        <v>0.383548</v>
      </c>
      <c r="M29" s="15" t="n">
        <v>0.65721</v>
      </c>
      <c r="N29" s="15" t="n">
        <v>0.521561</v>
      </c>
    </row>
    <row r="30" customFormat="false" ht="15" hidden="false" customHeight="false" outlineLevel="0" collapsed="false">
      <c r="A30" s="2" t="n">
        <v>2</v>
      </c>
      <c r="B30" s="2" t="n">
        <v>5</v>
      </c>
      <c r="C30" s="15" t="n">
        <v>0.859601</v>
      </c>
      <c r="D30" s="15" t="n">
        <v>0.859601</v>
      </c>
      <c r="E30" s="15" t="n">
        <v>0.901948</v>
      </c>
      <c r="F30" s="15" t="n">
        <v>0.875579</v>
      </c>
      <c r="G30" s="15" t="n">
        <v>0.019238</v>
      </c>
      <c r="H30" s="15" t="n">
        <v>0.019238</v>
      </c>
      <c r="I30" s="15" t="n">
        <v>0.019238</v>
      </c>
      <c r="J30" s="15" t="n">
        <v>0.019238</v>
      </c>
      <c r="K30" s="15" t="n">
        <v>0.340546</v>
      </c>
      <c r="L30" s="15" t="n">
        <v>0.30123</v>
      </c>
      <c r="M30" s="15" t="n">
        <v>0.340546</v>
      </c>
      <c r="N30" s="15" t="n">
        <v>0.394625</v>
      </c>
    </row>
    <row r="31" customFormat="false" ht="15" hidden="false" customHeight="false" outlineLevel="0" collapsed="false">
      <c r="A31" s="2" t="n">
        <v>2</v>
      </c>
      <c r="B31" s="2" t="n">
        <v>6</v>
      </c>
      <c r="C31" s="15" t="n">
        <v>0.80164</v>
      </c>
      <c r="D31" s="15" t="n">
        <v>0.80164</v>
      </c>
      <c r="E31" s="15" t="n">
        <v>0.80164</v>
      </c>
      <c r="F31" s="15" t="n">
        <v>0.80164</v>
      </c>
      <c r="G31" s="15" t="n">
        <v>0.022317</v>
      </c>
      <c r="H31" s="15" t="n">
        <v>0.021284</v>
      </c>
      <c r="I31" s="15" t="n">
        <v>0.027311</v>
      </c>
      <c r="J31" s="15" t="n">
        <v>0.030554</v>
      </c>
      <c r="K31" s="15" t="n">
        <v>0.389422</v>
      </c>
      <c r="L31" s="15" t="n">
        <v>0.30123</v>
      </c>
      <c r="M31" s="15" t="n">
        <v>0.473139</v>
      </c>
      <c r="N31" s="15" t="n">
        <v>0.394625</v>
      </c>
    </row>
    <row r="32" customFormat="false" ht="15" hidden="false" customHeight="false" outlineLevel="0" collapsed="false">
      <c r="A32" s="2" t="n">
        <v>2</v>
      </c>
      <c r="B32" s="2" t="n">
        <v>7</v>
      </c>
      <c r="C32" s="15" t="n">
        <v>0.924366</v>
      </c>
      <c r="D32" s="15" t="n">
        <v>0.924366</v>
      </c>
      <c r="E32" s="15" t="n">
        <v>0.939544</v>
      </c>
      <c r="F32" s="15" t="n">
        <v>0.941259</v>
      </c>
      <c r="G32" s="15" t="n">
        <v>0.046463</v>
      </c>
      <c r="H32" s="15" t="n">
        <v>0.036753</v>
      </c>
      <c r="I32" s="15" t="n">
        <v>0.076516</v>
      </c>
      <c r="J32" s="15" t="n">
        <v>0.053735</v>
      </c>
      <c r="K32" s="15" t="n">
        <v>0.502672</v>
      </c>
      <c r="L32" s="15" t="n">
        <v>0.366746</v>
      </c>
      <c r="M32" s="15" t="n">
        <v>0.65721</v>
      </c>
      <c r="N32" s="15" t="n">
        <v>0.512167</v>
      </c>
    </row>
    <row r="33" customFormat="false" ht="15" hidden="false" customHeight="false" outlineLevel="0" collapsed="false">
      <c r="A33" s="2" t="n">
        <v>2</v>
      </c>
      <c r="B33" s="2" t="n">
        <v>8</v>
      </c>
      <c r="C33" s="15" t="n">
        <v>0.935197</v>
      </c>
      <c r="D33" s="15" t="n">
        <v>0.910791</v>
      </c>
      <c r="E33" s="15" t="n">
        <v>0.99899</v>
      </c>
      <c r="F33" s="15" t="n">
        <v>0.965567</v>
      </c>
      <c r="G33" s="15" t="n">
        <v>0.036982</v>
      </c>
      <c r="H33" s="15" t="n">
        <v>0.030029</v>
      </c>
      <c r="I33" s="15" t="n">
        <v>0.065021</v>
      </c>
      <c r="J33" s="15" t="n">
        <v>0.046603</v>
      </c>
      <c r="K33" s="15" t="n">
        <v>0.462351</v>
      </c>
      <c r="L33" s="15" t="n">
        <v>0.377198</v>
      </c>
      <c r="M33" s="15" t="n">
        <v>0.65721</v>
      </c>
      <c r="N33" s="15" t="n">
        <v>0.521561</v>
      </c>
    </row>
    <row r="34" customFormat="false" ht="15" hidden="false" customHeight="false" outlineLevel="0" collapsed="false">
      <c r="A34" s="2" t="n">
        <v>2</v>
      </c>
      <c r="B34" s="2" t="n">
        <v>9</v>
      </c>
      <c r="C34" s="15" t="n">
        <v>0.844199</v>
      </c>
      <c r="D34" s="15" t="n">
        <v>0.840219</v>
      </c>
      <c r="E34" s="15" t="n">
        <v>0.844199</v>
      </c>
      <c r="F34" s="15" t="n">
        <v>0.842209</v>
      </c>
      <c r="G34" s="15" t="n">
        <v>0.020808</v>
      </c>
      <c r="H34" s="15" t="n">
        <v>0.020808</v>
      </c>
      <c r="I34" s="15" t="n">
        <v>0.027311</v>
      </c>
      <c r="J34" s="15" t="n">
        <v>0.030554</v>
      </c>
      <c r="K34" s="15" t="n">
        <v>0.30123</v>
      </c>
      <c r="L34" s="15" t="n">
        <v>0.30123</v>
      </c>
      <c r="M34" s="15" t="n">
        <v>0.473139</v>
      </c>
      <c r="N34" s="15" t="n">
        <v>0.394625</v>
      </c>
    </row>
    <row r="35" customFormat="false" ht="15" hidden="false" customHeight="false" outlineLevel="0" collapsed="false">
      <c r="A35" s="2" t="n">
        <v>2</v>
      </c>
      <c r="B35" s="2" t="n">
        <v>10</v>
      </c>
      <c r="C35" s="15" t="n">
        <v>0.926497</v>
      </c>
      <c r="D35" s="15" t="n">
        <v>0.910791</v>
      </c>
      <c r="E35" s="15" t="n">
        <v>0.99899</v>
      </c>
      <c r="F35" s="15" t="n">
        <v>0.965567</v>
      </c>
      <c r="G35" s="15" t="n">
        <v>0.030029</v>
      </c>
      <c r="H35" s="15" t="n">
        <v>0.030029</v>
      </c>
      <c r="I35" s="15" t="n">
        <v>0.065021</v>
      </c>
      <c r="J35" s="15" t="n">
        <v>0.046603</v>
      </c>
      <c r="K35" s="15" t="n">
        <v>0.41654</v>
      </c>
      <c r="L35" s="15" t="n">
        <v>0.363588</v>
      </c>
      <c r="M35" s="15" t="n">
        <v>0.65721</v>
      </c>
      <c r="N35" s="15" t="n">
        <v>0.521561</v>
      </c>
    </row>
    <row r="36" customFormat="false" ht="15" hidden="false" customHeight="false" outlineLevel="0" collapsed="false">
      <c r="A36" s="2" t="n">
        <v>2</v>
      </c>
      <c r="B36" s="2" t="n">
        <v>11</v>
      </c>
      <c r="C36" s="15" t="n">
        <v>0.913968</v>
      </c>
      <c r="D36" s="15" t="n">
        <v>0.909305</v>
      </c>
      <c r="E36" s="15" t="n">
        <v>0.987172</v>
      </c>
      <c r="F36" s="15" t="n">
        <v>0.954031</v>
      </c>
      <c r="G36" s="15" t="n">
        <v>0.025209</v>
      </c>
      <c r="H36" s="15" t="n">
        <v>0.019638</v>
      </c>
      <c r="I36" s="15" t="n">
        <v>0.050288</v>
      </c>
      <c r="J36" s="15" t="n">
        <v>0.023517</v>
      </c>
      <c r="K36" s="15" t="n">
        <v>0.40162</v>
      </c>
      <c r="L36" s="15" t="n">
        <v>0.313653</v>
      </c>
      <c r="M36" s="15" t="n">
        <v>0.599119</v>
      </c>
      <c r="N36" s="15" t="n">
        <v>0.410867</v>
      </c>
    </row>
    <row r="37" customFormat="false" ht="15" hidden="false" customHeight="false" outlineLevel="0" collapsed="false">
      <c r="A37" s="2" t="n">
        <v>2</v>
      </c>
      <c r="B37" s="2" t="n">
        <v>12</v>
      </c>
      <c r="C37" s="15" t="n">
        <v>0.915977</v>
      </c>
      <c r="D37" s="15" t="n">
        <v>0.864637</v>
      </c>
      <c r="E37" s="15" t="n">
        <v>0.97909</v>
      </c>
      <c r="F37" s="15" t="n">
        <v>0.91366</v>
      </c>
      <c r="G37" s="15" t="n">
        <v>0.032487</v>
      </c>
      <c r="H37" s="15" t="n">
        <v>0.019282</v>
      </c>
      <c r="I37" s="15" t="n">
        <v>0.050288</v>
      </c>
      <c r="J37" s="15" t="n">
        <v>0.030554</v>
      </c>
      <c r="K37" s="15" t="n">
        <v>0.381208</v>
      </c>
      <c r="L37" s="15" t="n">
        <v>0.30123</v>
      </c>
      <c r="M37" s="15" t="n">
        <v>0.473139</v>
      </c>
      <c r="N37" s="15" t="n">
        <v>0.394625</v>
      </c>
    </row>
    <row r="38" customFormat="false" ht="15" hidden="false" customHeight="false" outlineLevel="0" collapsed="false">
      <c r="A38" s="2" t="n">
        <v>2</v>
      </c>
      <c r="B38" s="2" t="n">
        <v>13</v>
      </c>
      <c r="C38" s="15" t="n">
        <v>0.955489</v>
      </c>
      <c r="D38" s="15" t="n">
        <v>0.933187</v>
      </c>
      <c r="E38" s="15" t="n">
        <v>0.99899</v>
      </c>
      <c r="F38" s="15" t="n">
        <v>0.968998</v>
      </c>
      <c r="G38" s="15" t="n">
        <v>0.02113</v>
      </c>
      <c r="H38" s="15" t="n">
        <v>0.02113</v>
      </c>
      <c r="I38" s="15" t="n">
        <v>0.050288</v>
      </c>
      <c r="J38" s="15" t="n">
        <v>0.025424</v>
      </c>
      <c r="K38" s="15" t="n">
        <v>0.481868</v>
      </c>
      <c r="L38" s="15" t="n">
        <v>0.404089</v>
      </c>
      <c r="M38" s="15" t="n">
        <v>0.493172</v>
      </c>
      <c r="N38" s="15" t="n">
        <v>0.451208</v>
      </c>
    </row>
    <row r="39" customFormat="false" ht="15" hidden="false" customHeight="false" outlineLevel="0" collapsed="false">
      <c r="A39" s="2" t="n">
        <v>2</v>
      </c>
      <c r="B39" s="2" t="n">
        <v>14</v>
      </c>
      <c r="C39" s="15" t="n">
        <v>0.968296</v>
      </c>
      <c r="D39" s="15" t="n">
        <v>0.935884</v>
      </c>
      <c r="E39" s="15" t="n">
        <v>0.99899</v>
      </c>
      <c r="F39" s="15" t="n">
        <v>0.974115</v>
      </c>
      <c r="G39" s="15" t="n">
        <v>0.030863</v>
      </c>
      <c r="H39" s="15" t="n">
        <v>0.028567</v>
      </c>
      <c r="I39" s="15" t="n">
        <v>0.076516</v>
      </c>
      <c r="J39" s="15" t="n">
        <v>0.042411</v>
      </c>
      <c r="K39" s="15" t="n">
        <v>0.434294</v>
      </c>
      <c r="L39" s="15" t="n">
        <v>0.350786</v>
      </c>
      <c r="M39" s="15" t="n">
        <v>0.507388</v>
      </c>
      <c r="N39" s="15" t="n">
        <v>0.464742</v>
      </c>
    </row>
    <row r="40" customFormat="false" ht="15" hidden="false" customHeight="false" outlineLevel="0" collapsed="false">
      <c r="A40" s="2" t="n">
        <v>2</v>
      </c>
      <c r="B40" s="2" t="n">
        <v>15</v>
      </c>
      <c r="C40" s="15" t="n">
        <v>0.95175</v>
      </c>
      <c r="D40" s="15" t="n">
        <v>0.924812</v>
      </c>
      <c r="E40" s="15" t="n">
        <v>0.97909</v>
      </c>
      <c r="F40" s="15" t="n">
        <v>0.962856</v>
      </c>
      <c r="G40" s="15" t="n">
        <v>0.021886</v>
      </c>
      <c r="H40" s="15" t="n">
        <v>0.019238</v>
      </c>
      <c r="I40" s="15" t="n">
        <v>0.050288</v>
      </c>
      <c r="J40" s="15" t="n">
        <v>0.023517</v>
      </c>
      <c r="K40" s="15" t="n">
        <v>0.397865</v>
      </c>
      <c r="L40" s="15" t="n">
        <v>0.30123</v>
      </c>
      <c r="M40" s="15" t="n">
        <v>0.599119</v>
      </c>
      <c r="N40" s="15" t="n">
        <v>0.394625</v>
      </c>
    </row>
    <row r="41" customFormat="false" ht="15" hidden="false" customHeight="false" outlineLevel="0" collapsed="false">
      <c r="A41" s="2" t="n">
        <v>2</v>
      </c>
      <c r="B41" s="2" t="n">
        <v>16</v>
      </c>
      <c r="C41" s="15" t="n">
        <v>0.975431</v>
      </c>
      <c r="D41" s="15" t="n">
        <v>0.909305</v>
      </c>
      <c r="E41" s="15" t="n">
        <v>0.987172</v>
      </c>
      <c r="F41" s="15" t="n">
        <v>0.954031</v>
      </c>
      <c r="G41" s="15" t="n">
        <v>0.05953</v>
      </c>
      <c r="H41" s="15" t="n">
        <v>0.044748</v>
      </c>
      <c r="I41" s="15" t="n">
        <v>0.076516</v>
      </c>
      <c r="J41" s="15" t="n">
        <v>0.059928</v>
      </c>
      <c r="K41" s="15" t="n">
        <v>0.528395</v>
      </c>
      <c r="L41" s="15" t="n">
        <v>0.313653</v>
      </c>
      <c r="M41" s="15" t="n">
        <v>0.599119</v>
      </c>
      <c r="N41" s="15" t="n">
        <v>0.410867</v>
      </c>
    </row>
    <row r="42" customFormat="false" ht="15" hidden="false" customHeight="false" outlineLevel="0" collapsed="false">
      <c r="A42" s="2" t="n">
        <v>2</v>
      </c>
      <c r="B42" s="2" t="n">
        <v>17</v>
      </c>
      <c r="C42" s="15" t="n">
        <v>0.949818</v>
      </c>
      <c r="D42" s="15" t="n">
        <v>0.903745</v>
      </c>
      <c r="E42" s="15" t="n">
        <v>0.99899</v>
      </c>
      <c r="F42" s="15" t="n">
        <v>0.954031</v>
      </c>
      <c r="G42" s="15" t="n">
        <v>0.023367</v>
      </c>
      <c r="H42" s="15" t="n">
        <v>0.019238</v>
      </c>
      <c r="I42" s="15" t="n">
        <v>0.050288</v>
      </c>
      <c r="J42" s="15" t="n">
        <v>0.023517</v>
      </c>
      <c r="K42" s="15" t="n">
        <v>0.381608</v>
      </c>
      <c r="L42" s="15" t="n">
        <v>0.32051</v>
      </c>
      <c r="M42" s="15" t="n">
        <v>0.381608</v>
      </c>
      <c r="N42" s="15" t="n">
        <v>0.381608</v>
      </c>
    </row>
    <row r="43" customFormat="false" ht="15" hidden="false" customHeight="false" outlineLevel="0" collapsed="false">
      <c r="A43" s="2" t="n">
        <v>2</v>
      </c>
      <c r="B43" s="2" t="n">
        <v>18</v>
      </c>
      <c r="C43" s="15" t="n">
        <v>0.929495</v>
      </c>
      <c r="D43" s="15" t="n">
        <v>0.929495</v>
      </c>
      <c r="E43" s="15" t="n">
        <v>0.97909</v>
      </c>
      <c r="F43" s="15" t="n">
        <v>0.961418</v>
      </c>
      <c r="G43" s="15" t="n">
        <v>0.026829</v>
      </c>
      <c r="H43" s="15" t="n">
        <v>0.025696</v>
      </c>
      <c r="I43" s="15" t="n">
        <v>0.035061</v>
      </c>
      <c r="J43" s="15" t="n">
        <v>0.035943</v>
      </c>
      <c r="K43" s="15" t="n">
        <v>0.465217</v>
      </c>
      <c r="L43" s="15" t="n">
        <v>0.30123</v>
      </c>
      <c r="M43" s="15" t="n">
        <v>0.599119</v>
      </c>
      <c r="N43" s="15" t="n">
        <v>0.394625</v>
      </c>
    </row>
    <row r="44" customFormat="false" ht="15" hidden="false" customHeight="false" outlineLevel="0" collapsed="false">
      <c r="A44" s="2" t="n">
        <v>2</v>
      </c>
      <c r="B44" s="2" t="n">
        <v>19</v>
      </c>
      <c r="C44" s="15" t="n">
        <v>0.919964</v>
      </c>
      <c r="D44" s="15" t="n">
        <v>0.919964</v>
      </c>
      <c r="E44" s="15" t="n">
        <v>0.987172</v>
      </c>
      <c r="F44" s="15" t="n">
        <v>0.967741</v>
      </c>
      <c r="G44" s="15" t="n">
        <v>0.026912</v>
      </c>
      <c r="H44" s="15" t="n">
        <v>0.019238</v>
      </c>
      <c r="I44" s="15" t="n">
        <v>0.050288</v>
      </c>
      <c r="J44" s="15" t="n">
        <v>0.027943</v>
      </c>
      <c r="K44" s="15" t="n">
        <v>0.537687</v>
      </c>
      <c r="L44" s="15" t="n">
        <v>0.403021</v>
      </c>
      <c r="M44" s="15" t="n">
        <v>0.599119</v>
      </c>
      <c r="N44" s="15" t="n">
        <v>0.507543</v>
      </c>
    </row>
    <row r="45" customFormat="false" ht="15" hidden="false" customHeight="false" outlineLevel="0" collapsed="false">
      <c r="A45" s="2" t="n">
        <v>2</v>
      </c>
      <c r="B45" s="2" t="n">
        <v>20</v>
      </c>
      <c r="C45" s="15" t="n">
        <v>0.864637</v>
      </c>
      <c r="D45" s="15" t="n">
        <v>0.864637</v>
      </c>
      <c r="E45" s="15" t="n">
        <v>0.97909</v>
      </c>
      <c r="F45" s="15" t="n">
        <v>0.91366</v>
      </c>
      <c r="G45" s="15" t="n">
        <v>0.019582</v>
      </c>
      <c r="H45" s="15" t="n">
        <v>0.019238</v>
      </c>
      <c r="I45" s="15" t="n">
        <v>0.050288</v>
      </c>
      <c r="J45" s="15" t="n">
        <v>0.023517</v>
      </c>
      <c r="K45" s="15" t="n">
        <v>0.369737</v>
      </c>
      <c r="L45" s="15" t="n">
        <v>0.30123</v>
      </c>
      <c r="M45" s="15" t="n">
        <v>0.473139</v>
      </c>
      <c r="N45" s="15" t="n">
        <v>0.394625</v>
      </c>
    </row>
    <row r="46" customFormat="false" ht="15" hidden="false" customHeight="false" outlineLevel="0" collapsed="false">
      <c r="A46" s="2" t="n">
        <v>3</v>
      </c>
      <c r="B46" s="2" t="n">
        <v>4</v>
      </c>
      <c r="C46" s="15" t="n">
        <v>0.987008</v>
      </c>
      <c r="D46" s="15" t="n">
        <v>0.944692</v>
      </c>
      <c r="E46" s="15" t="n">
        <v>0.993734</v>
      </c>
      <c r="F46" s="15" t="n">
        <v>0.965567</v>
      </c>
      <c r="G46" s="15" t="n">
        <v>0.039102</v>
      </c>
      <c r="H46" s="15" t="n">
        <v>0.036753</v>
      </c>
      <c r="I46" s="15" t="n">
        <v>0.076516</v>
      </c>
      <c r="J46" s="15" t="n">
        <v>0.053735</v>
      </c>
      <c r="K46" s="15" t="n">
        <v>0.519003</v>
      </c>
      <c r="L46" s="15" t="n">
        <v>0.383548</v>
      </c>
      <c r="M46" s="15" t="n">
        <v>0.65721</v>
      </c>
      <c r="N46" s="15" t="n">
        <v>0.521561</v>
      </c>
    </row>
    <row r="47" customFormat="false" ht="15" hidden="false" customHeight="false" outlineLevel="0" collapsed="false">
      <c r="A47" s="2" t="n">
        <v>3</v>
      </c>
      <c r="B47" s="2" t="n">
        <v>5</v>
      </c>
      <c r="C47" s="15" t="n">
        <v>0.956094</v>
      </c>
      <c r="D47" s="15" t="n">
        <v>0.944692</v>
      </c>
      <c r="E47" s="15" t="n">
        <v>0.99899</v>
      </c>
      <c r="F47" s="15" t="n">
        <v>0.962856</v>
      </c>
      <c r="G47" s="15" t="n">
        <v>0.035766</v>
      </c>
      <c r="H47" s="15" t="n">
        <v>0.029776</v>
      </c>
      <c r="I47" s="15" t="n">
        <v>0.065021</v>
      </c>
      <c r="J47" s="15" t="n">
        <v>0.042183</v>
      </c>
      <c r="K47" s="15" t="n">
        <v>0.296426</v>
      </c>
      <c r="L47" s="15" t="n">
        <v>0.294154</v>
      </c>
      <c r="M47" s="15" t="n">
        <v>0.473139</v>
      </c>
      <c r="N47" s="15" t="n">
        <v>0.373813</v>
      </c>
    </row>
    <row r="48" customFormat="false" ht="15" hidden="false" customHeight="false" outlineLevel="0" collapsed="false">
      <c r="A48" s="2" t="n">
        <v>3</v>
      </c>
      <c r="B48" s="2" t="n">
        <v>6</v>
      </c>
      <c r="C48" s="15" t="n">
        <v>0.965959</v>
      </c>
      <c r="D48" s="15" t="n">
        <v>0.944692</v>
      </c>
      <c r="E48" s="15" t="n">
        <v>0.99899</v>
      </c>
      <c r="F48" s="15" t="n">
        <v>0.962856</v>
      </c>
      <c r="G48" s="15" t="n">
        <v>0.043731</v>
      </c>
      <c r="H48" s="15" t="n">
        <v>0.029776</v>
      </c>
      <c r="I48" s="15" t="n">
        <v>0.065021</v>
      </c>
      <c r="J48" s="15" t="n">
        <v>0.042183</v>
      </c>
      <c r="K48" s="15" t="n">
        <v>0.404307</v>
      </c>
      <c r="L48" s="15" t="n">
        <v>0.294154</v>
      </c>
      <c r="M48" s="15" t="n">
        <v>0.404307</v>
      </c>
      <c r="N48" s="15" t="n">
        <v>0.373813</v>
      </c>
    </row>
    <row r="49" customFormat="false" ht="15" hidden="false" customHeight="false" outlineLevel="0" collapsed="false">
      <c r="A49" s="2" t="n">
        <v>3</v>
      </c>
      <c r="B49" s="2" t="n">
        <v>7</v>
      </c>
      <c r="C49" s="15" t="n">
        <v>0.972915</v>
      </c>
      <c r="D49" s="15" t="n">
        <v>0.944692</v>
      </c>
      <c r="E49" s="15" t="n">
        <v>0.99899</v>
      </c>
      <c r="F49" s="15" t="n">
        <v>0.962856</v>
      </c>
      <c r="G49" s="15" t="n">
        <v>0.054387</v>
      </c>
      <c r="H49" s="15" t="n">
        <v>0.036753</v>
      </c>
      <c r="I49" s="15" t="n">
        <v>0.076516</v>
      </c>
      <c r="J49" s="15" t="n">
        <v>0.053735</v>
      </c>
      <c r="K49" s="15" t="n">
        <v>0.446089</v>
      </c>
      <c r="L49" s="15" t="n">
        <v>0.366746</v>
      </c>
      <c r="M49" s="15" t="n">
        <v>0.65721</v>
      </c>
      <c r="N49" s="15" t="n">
        <v>0.512167</v>
      </c>
    </row>
    <row r="50" customFormat="false" ht="15" hidden="false" customHeight="false" outlineLevel="0" collapsed="false">
      <c r="A50" s="2" t="n">
        <v>3</v>
      </c>
      <c r="B50" s="2" t="n">
        <v>8</v>
      </c>
      <c r="C50" s="15" t="n">
        <v>0.957255</v>
      </c>
      <c r="D50" s="15" t="n">
        <v>0.944692</v>
      </c>
      <c r="E50" s="15" t="n">
        <v>0.968913</v>
      </c>
      <c r="F50" s="15" t="n">
        <v>0.965567</v>
      </c>
      <c r="G50" s="15" t="n">
        <v>0.042611</v>
      </c>
      <c r="H50" s="15" t="n">
        <v>0.030029</v>
      </c>
      <c r="I50" s="15" t="n">
        <v>0.049904</v>
      </c>
      <c r="J50" s="15" t="n">
        <v>0.046603</v>
      </c>
      <c r="K50" s="15" t="n">
        <v>0.458721</v>
      </c>
      <c r="L50" s="15" t="n">
        <v>0.377198</v>
      </c>
      <c r="M50" s="15" t="n">
        <v>0.65721</v>
      </c>
      <c r="N50" s="15" t="n">
        <v>0.521561</v>
      </c>
    </row>
    <row r="51" customFormat="false" ht="15" hidden="false" customHeight="false" outlineLevel="0" collapsed="false">
      <c r="A51" s="2" t="n">
        <v>3</v>
      </c>
      <c r="B51" s="2" t="n">
        <v>9</v>
      </c>
      <c r="C51" s="15" t="n">
        <v>0.979154</v>
      </c>
      <c r="D51" s="15" t="n">
        <v>0.944692</v>
      </c>
      <c r="E51" s="15" t="n">
        <v>0.99899</v>
      </c>
      <c r="F51" s="15" t="n">
        <v>0.962856</v>
      </c>
      <c r="G51" s="15" t="n">
        <v>0.056742</v>
      </c>
      <c r="H51" s="15" t="n">
        <v>0.029776</v>
      </c>
      <c r="I51" s="15" t="n">
        <v>0.065021</v>
      </c>
      <c r="J51" s="15" t="n">
        <v>0.042183</v>
      </c>
      <c r="K51" s="15" t="n">
        <v>0.294154</v>
      </c>
      <c r="L51" s="15" t="n">
        <v>0.294154</v>
      </c>
      <c r="M51" s="15" t="n">
        <v>0.404307</v>
      </c>
      <c r="N51" s="15" t="n">
        <v>0.373813</v>
      </c>
    </row>
    <row r="52" customFormat="false" ht="15" hidden="false" customHeight="false" outlineLevel="0" collapsed="false">
      <c r="A52" s="2" t="n">
        <v>3</v>
      </c>
      <c r="B52" s="2" t="n">
        <v>10</v>
      </c>
      <c r="C52" s="15" t="n">
        <v>0.968913</v>
      </c>
      <c r="D52" s="15" t="n">
        <v>0.944692</v>
      </c>
      <c r="E52" s="15" t="n">
        <v>0.968913</v>
      </c>
      <c r="F52" s="15" t="n">
        <v>0.965567</v>
      </c>
      <c r="G52" s="15" t="n">
        <v>0.049904</v>
      </c>
      <c r="H52" s="15" t="n">
        <v>0.030029</v>
      </c>
      <c r="I52" s="15" t="n">
        <v>0.049904</v>
      </c>
      <c r="J52" s="15" t="n">
        <v>0.046603</v>
      </c>
      <c r="K52" s="15" t="n">
        <v>0.475453</v>
      </c>
      <c r="L52" s="15" t="n">
        <v>0.363588</v>
      </c>
      <c r="M52" s="15" t="n">
        <v>0.65721</v>
      </c>
      <c r="N52" s="15" t="n">
        <v>0.521561</v>
      </c>
    </row>
    <row r="53" customFormat="false" ht="15" hidden="false" customHeight="false" outlineLevel="0" collapsed="false">
      <c r="A53" s="2" t="n">
        <v>3</v>
      </c>
      <c r="B53" s="2" t="n">
        <v>11</v>
      </c>
      <c r="C53" s="15" t="n">
        <v>0.961826</v>
      </c>
      <c r="D53" s="15" t="n">
        <v>0.944692</v>
      </c>
      <c r="E53" s="15" t="n">
        <v>0.99899</v>
      </c>
      <c r="F53" s="15" t="n">
        <v>0.962856</v>
      </c>
      <c r="G53" s="15" t="n">
        <v>0.046889</v>
      </c>
      <c r="H53" s="15" t="n">
        <v>0.029776</v>
      </c>
      <c r="I53" s="15" t="n">
        <v>0.065021</v>
      </c>
      <c r="J53" s="15" t="n">
        <v>0.042183</v>
      </c>
      <c r="K53" s="15" t="n">
        <v>0.409349</v>
      </c>
      <c r="L53" s="15" t="n">
        <v>0.313653</v>
      </c>
      <c r="M53" s="15" t="n">
        <v>0.599119</v>
      </c>
      <c r="N53" s="15" t="n">
        <v>0.410867</v>
      </c>
    </row>
    <row r="54" customFormat="false" ht="15" hidden="false" customHeight="false" outlineLevel="0" collapsed="false">
      <c r="A54" s="2" t="n">
        <v>3</v>
      </c>
      <c r="B54" s="2" t="n">
        <v>12</v>
      </c>
      <c r="C54" s="15" t="n">
        <v>0.95158</v>
      </c>
      <c r="D54" s="15" t="n">
        <v>0.944692</v>
      </c>
      <c r="E54" s="15" t="n">
        <v>0.99899</v>
      </c>
      <c r="F54" s="15" t="n">
        <v>0.962856</v>
      </c>
      <c r="G54" s="15" t="n">
        <v>0.051671</v>
      </c>
      <c r="H54" s="15" t="n">
        <v>0.029776</v>
      </c>
      <c r="I54" s="15" t="n">
        <v>0.065021</v>
      </c>
      <c r="J54" s="15" t="n">
        <v>0.042183</v>
      </c>
      <c r="K54" s="15" t="n">
        <v>0.346831</v>
      </c>
      <c r="L54" s="15" t="n">
        <v>0.294154</v>
      </c>
      <c r="M54" s="15" t="n">
        <v>0.404307</v>
      </c>
      <c r="N54" s="15" t="n">
        <v>0.373813</v>
      </c>
    </row>
    <row r="55" customFormat="false" ht="15" hidden="false" customHeight="false" outlineLevel="0" collapsed="false">
      <c r="A55" s="2" t="n">
        <v>3</v>
      </c>
      <c r="B55" s="2" t="n">
        <v>13</v>
      </c>
      <c r="C55" s="15" t="n">
        <v>0.966322</v>
      </c>
      <c r="D55" s="15" t="n">
        <v>0.944692</v>
      </c>
      <c r="E55" s="15" t="n">
        <v>0.993734</v>
      </c>
      <c r="F55" s="15" t="n">
        <v>0.968998</v>
      </c>
      <c r="G55" s="15" t="n">
        <v>0.042039</v>
      </c>
      <c r="H55" s="15" t="n">
        <v>0.029776</v>
      </c>
      <c r="I55" s="15" t="n">
        <v>0.065021</v>
      </c>
      <c r="J55" s="15" t="n">
        <v>0.042183</v>
      </c>
      <c r="K55" s="15" t="n">
        <v>0.408007</v>
      </c>
      <c r="L55" s="15" t="n">
        <v>0.404089</v>
      </c>
      <c r="M55" s="15" t="n">
        <v>0.493172</v>
      </c>
      <c r="N55" s="15" t="n">
        <v>0.451208</v>
      </c>
    </row>
    <row r="56" customFormat="false" ht="15" hidden="false" customHeight="false" outlineLevel="0" collapsed="false">
      <c r="A56" s="2" t="n">
        <v>3</v>
      </c>
      <c r="B56" s="2" t="n">
        <v>14</v>
      </c>
      <c r="C56" s="15" t="n">
        <v>0.976528</v>
      </c>
      <c r="D56" s="15" t="n">
        <v>0.944692</v>
      </c>
      <c r="E56" s="15" t="n">
        <v>0.982756</v>
      </c>
      <c r="F56" s="15" t="n">
        <v>0.974115</v>
      </c>
      <c r="G56" s="15" t="n">
        <v>0.036255</v>
      </c>
      <c r="H56" s="15" t="n">
        <v>0.029776</v>
      </c>
      <c r="I56" s="15" t="n">
        <v>0.076516</v>
      </c>
      <c r="J56" s="15" t="n">
        <v>0.042411</v>
      </c>
      <c r="K56" s="15" t="n">
        <v>0.350786</v>
      </c>
      <c r="L56" s="15" t="n">
        <v>0.350786</v>
      </c>
      <c r="M56" s="15" t="n">
        <v>0.507388</v>
      </c>
      <c r="N56" s="15" t="n">
        <v>0.464742</v>
      </c>
    </row>
    <row r="57" customFormat="false" ht="15" hidden="false" customHeight="false" outlineLevel="0" collapsed="false">
      <c r="A57" s="2" t="n">
        <v>3</v>
      </c>
      <c r="B57" s="2" t="n">
        <v>15</v>
      </c>
      <c r="C57" s="15" t="n">
        <v>0.944692</v>
      </c>
      <c r="D57" s="15" t="n">
        <v>0.944692</v>
      </c>
      <c r="E57" s="15" t="n">
        <v>0.99899</v>
      </c>
      <c r="F57" s="15" t="n">
        <v>0.944692</v>
      </c>
      <c r="G57" s="15" t="n">
        <v>0.038437</v>
      </c>
      <c r="H57" s="15" t="n">
        <v>0.029776</v>
      </c>
      <c r="I57" s="15" t="n">
        <v>0.065021</v>
      </c>
      <c r="J57" s="15" t="n">
        <v>0.042183</v>
      </c>
      <c r="K57" s="15" t="n">
        <v>0.39982</v>
      </c>
      <c r="L57" s="15" t="n">
        <v>0.294154</v>
      </c>
      <c r="M57" s="15" t="n">
        <v>0.599119</v>
      </c>
      <c r="N57" s="15" t="n">
        <v>0.373813</v>
      </c>
    </row>
    <row r="58" customFormat="false" ht="15" hidden="false" customHeight="false" outlineLevel="0" collapsed="false">
      <c r="A58" s="2" t="n">
        <v>3</v>
      </c>
      <c r="B58" s="2" t="n">
        <v>16</v>
      </c>
      <c r="C58" s="15" t="n">
        <v>0.994983</v>
      </c>
      <c r="D58" s="15" t="n">
        <v>0.944692</v>
      </c>
      <c r="E58" s="15" t="n">
        <v>0.99899</v>
      </c>
      <c r="F58" s="15" t="n">
        <v>0.962856</v>
      </c>
      <c r="G58" s="15" t="n">
        <v>0.047774</v>
      </c>
      <c r="H58" s="15" t="n">
        <v>0.044748</v>
      </c>
      <c r="I58" s="15" t="n">
        <v>0.076516</v>
      </c>
      <c r="J58" s="15" t="n">
        <v>0.059928</v>
      </c>
      <c r="K58" s="15" t="n">
        <v>0.429358</v>
      </c>
      <c r="L58" s="15" t="n">
        <v>0.313653</v>
      </c>
      <c r="M58" s="15" t="n">
        <v>0.599119</v>
      </c>
      <c r="N58" s="15" t="n">
        <v>0.410867</v>
      </c>
    </row>
    <row r="59" customFormat="false" ht="15" hidden="false" customHeight="false" outlineLevel="0" collapsed="false">
      <c r="A59" s="2" t="n">
        <v>3</v>
      </c>
      <c r="B59" s="2" t="n">
        <v>17</v>
      </c>
      <c r="C59" s="15" t="n">
        <v>0.959847</v>
      </c>
      <c r="D59" s="15" t="n">
        <v>0.944692</v>
      </c>
      <c r="E59" s="15" t="n">
        <v>0.968913</v>
      </c>
      <c r="F59" s="15" t="n">
        <v>0.962856</v>
      </c>
      <c r="G59" s="15" t="n">
        <v>0.039542</v>
      </c>
      <c r="H59" s="15" t="n">
        <v>0.029776</v>
      </c>
      <c r="I59" s="15" t="n">
        <v>0.065021</v>
      </c>
      <c r="J59" s="15" t="n">
        <v>0.042183</v>
      </c>
      <c r="K59" s="15" t="n">
        <v>0.415359</v>
      </c>
      <c r="L59" s="15" t="n">
        <v>0.32051</v>
      </c>
      <c r="M59" s="15" t="n">
        <v>0.473139</v>
      </c>
      <c r="N59" s="15" t="n">
        <v>0.394625</v>
      </c>
    </row>
    <row r="60" customFormat="false" ht="15" hidden="false" customHeight="false" outlineLevel="0" collapsed="false">
      <c r="A60" s="2" t="n">
        <v>3</v>
      </c>
      <c r="B60" s="2" t="n">
        <v>18</v>
      </c>
      <c r="C60" s="15" t="n">
        <v>0.986282</v>
      </c>
      <c r="D60" s="15" t="n">
        <v>0.944692</v>
      </c>
      <c r="E60" s="15" t="n">
        <v>0.99899</v>
      </c>
      <c r="F60" s="15" t="n">
        <v>0.962856</v>
      </c>
      <c r="G60" s="15" t="n">
        <v>0.065021</v>
      </c>
      <c r="H60" s="15" t="n">
        <v>0.029776</v>
      </c>
      <c r="I60" s="15" t="n">
        <v>0.065021</v>
      </c>
      <c r="J60" s="15" t="n">
        <v>0.042183</v>
      </c>
      <c r="K60" s="15" t="n">
        <v>0.459199</v>
      </c>
      <c r="L60" s="15" t="n">
        <v>0.294154</v>
      </c>
      <c r="M60" s="15" t="n">
        <v>0.599119</v>
      </c>
      <c r="N60" s="15" t="n">
        <v>0.373813</v>
      </c>
    </row>
    <row r="61" customFormat="false" ht="15" hidden="false" customHeight="false" outlineLevel="0" collapsed="false">
      <c r="A61" s="2" t="n">
        <v>3</v>
      </c>
      <c r="B61" s="2" t="n">
        <v>19</v>
      </c>
      <c r="C61" s="15" t="n">
        <v>0.9815</v>
      </c>
      <c r="D61" s="15" t="n">
        <v>0.944692</v>
      </c>
      <c r="E61" s="15" t="n">
        <v>0.99899</v>
      </c>
      <c r="F61" s="15" t="n">
        <v>0.967741</v>
      </c>
      <c r="G61" s="15" t="n">
        <v>0.042161</v>
      </c>
      <c r="H61" s="15" t="n">
        <v>0.029776</v>
      </c>
      <c r="I61" s="15" t="n">
        <v>0.065021</v>
      </c>
      <c r="J61" s="15" t="n">
        <v>0.042183</v>
      </c>
      <c r="K61" s="15" t="n">
        <v>0.508781</v>
      </c>
      <c r="L61" s="15" t="n">
        <v>0.403021</v>
      </c>
      <c r="M61" s="15" t="n">
        <v>0.599119</v>
      </c>
      <c r="N61" s="15" t="n">
        <v>0.507543</v>
      </c>
    </row>
    <row r="62" customFormat="false" ht="15" hidden="false" customHeight="false" outlineLevel="0" collapsed="false">
      <c r="A62" s="2" t="n">
        <v>3</v>
      </c>
      <c r="B62" s="2" t="n">
        <v>20</v>
      </c>
      <c r="C62" s="15" t="n">
        <v>0.980861</v>
      </c>
      <c r="D62" s="15" t="n">
        <v>0.944692</v>
      </c>
      <c r="E62" s="15" t="n">
        <v>0.99899</v>
      </c>
      <c r="F62" s="15" t="n">
        <v>0.962856</v>
      </c>
      <c r="G62" s="15" t="n">
        <v>0.036711</v>
      </c>
      <c r="H62" s="15" t="n">
        <v>0.029776</v>
      </c>
      <c r="I62" s="15" t="n">
        <v>0.065021</v>
      </c>
      <c r="J62" s="15" t="n">
        <v>0.042183</v>
      </c>
      <c r="K62" s="15" t="n">
        <v>0.342234</v>
      </c>
      <c r="L62" s="15" t="n">
        <v>0.294154</v>
      </c>
      <c r="M62" s="15" t="n">
        <v>0.404307</v>
      </c>
      <c r="N62" s="15" t="n">
        <v>0.373813</v>
      </c>
    </row>
    <row r="63" customFormat="false" ht="15" hidden="false" customHeight="false" outlineLevel="0" collapsed="false">
      <c r="A63" s="2" t="n">
        <v>4</v>
      </c>
      <c r="B63" s="2" t="n">
        <v>5</v>
      </c>
      <c r="C63" s="15" t="n">
        <v>0.987689</v>
      </c>
      <c r="D63" s="15" t="n">
        <v>0.94305</v>
      </c>
      <c r="E63" s="15" t="n">
        <v>0.99899</v>
      </c>
      <c r="F63" s="15" t="n">
        <v>0.965567</v>
      </c>
      <c r="G63" s="15" t="n">
        <v>0.04994</v>
      </c>
      <c r="H63" s="15" t="n">
        <v>0.036753</v>
      </c>
      <c r="I63" s="15" t="n">
        <v>0.076516</v>
      </c>
      <c r="J63" s="15" t="n">
        <v>0.053735</v>
      </c>
      <c r="K63" s="15" t="n">
        <v>0.561773</v>
      </c>
      <c r="L63" s="15" t="n">
        <v>0.383548</v>
      </c>
      <c r="M63" s="15" t="n">
        <v>0.65721</v>
      </c>
      <c r="N63" s="15" t="n">
        <v>0.521561</v>
      </c>
    </row>
    <row r="64" customFormat="false" ht="15" hidden="false" customHeight="false" outlineLevel="0" collapsed="false">
      <c r="A64" s="2" t="n">
        <v>4</v>
      </c>
      <c r="B64" s="2" t="n">
        <v>6</v>
      </c>
      <c r="C64" s="15" t="n">
        <v>0.982537</v>
      </c>
      <c r="D64" s="15" t="n">
        <v>0.94305</v>
      </c>
      <c r="E64" s="15" t="n">
        <v>0.99899</v>
      </c>
      <c r="F64" s="15" t="n">
        <v>0.965567</v>
      </c>
      <c r="G64" s="15" t="n">
        <v>0.060408</v>
      </c>
      <c r="H64" s="15" t="n">
        <v>0.036753</v>
      </c>
      <c r="I64" s="15" t="n">
        <v>0.076516</v>
      </c>
      <c r="J64" s="15" t="n">
        <v>0.053735</v>
      </c>
      <c r="K64" s="15" t="n">
        <v>0.582478</v>
      </c>
      <c r="L64" s="15" t="n">
        <v>0.383548</v>
      </c>
      <c r="M64" s="15" t="n">
        <v>0.65721</v>
      </c>
      <c r="N64" s="15" t="n">
        <v>0.521561</v>
      </c>
    </row>
    <row r="65" customFormat="false" ht="15" hidden="false" customHeight="false" outlineLevel="0" collapsed="false">
      <c r="A65" s="2" t="n">
        <v>4</v>
      </c>
      <c r="B65" s="2" t="n">
        <v>7</v>
      </c>
      <c r="C65" s="15" t="n">
        <v>0.984455</v>
      </c>
      <c r="D65" s="15" t="n">
        <v>0.94305</v>
      </c>
      <c r="E65" s="15" t="n">
        <v>0.99899</v>
      </c>
      <c r="F65" s="15" t="n">
        <v>0.965567</v>
      </c>
      <c r="G65" s="15" t="n">
        <v>0.036105</v>
      </c>
      <c r="H65" s="15" t="n">
        <v>0.036105</v>
      </c>
      <c r="I65" s="15" t="n">
        <v>0.036105</v>
      </c>
      <c r="J65" s="15" t="n">
        <v>0.036105</v>
      </c>
      <c r="K65" s="15" t="n">
        <v>0.55845</v>
      </c>
      <c r="L65" s="15" t="n">
        <v>0.383548</v>
      </c>
      <c r="M65" s="15" t="n">
        <v>0.55845</v>
      </c>
      <c r="N65" s="15" t="n">
        <v>0.521561</v>
      </c>
    </row>
    <row r="66" customFormat="false" ht="15" hidden="false" customHeight="false" outlineLevel="0" collapsed="false">
      <c r="A66" s="2" t="n">
        <v>4</v>
      </c>
      <c r="B66" s="2" t="n">
        <v>8</v>
      </c>
      <c r="C66" s="15" t="n">
        <v>0.962478</v>
      </c>
      <c r="D66" s="15" t="n">
        <v>0.94305</v>
      </c>
      <c r="E66" s="15" t="n">
        <v>0.993734</v>
      </c>
      <c r="F66" s="15" t="n">
        <v>0.952764</v>
      </c>
      <c r="G66" s="15" t="n">
        <v>0.045631</v>
      </c>
      <c r="H66" s="15" t="n">
        <v>0.036753</v>
      </c>
      <c r="I66" s="15" t="n">
        <v>0.076516</v>
      </c>
      <c r="J66" s="15" t="n">
        <v>0.053735</v>
      </c>
      <c r="K66" s="15" t="n">
        <v>0.383548</v>
      </c>
      <c r="L66" s="15" t="n">
        <v>0.383548</v>
      </c>
      <c r="M66" s="15" t="n">
        <v>0.383548</v>
      </c>
      <c r="N66" s="15" t="n">
        <v>0.383548</v>
      </c>
    </row>
    <row r="67" customFormat="false" ht="15" hidden="false" customHeight="false" outlineLevel="0" collapsed="false">
      <c r="A67" s="2" t="n">
        <v>4</v>
      </c>
      <c r="B67" s="2" t="n">
        <v>9</v>
      </c>
      <c r="C67" s="15" t="n">
        <v>0.981291</v>
      </c>
      <c r="D67" s="15" t="n">
        <v>0.94305</v>
      </c>
      <c r="E67" s="15" t="n">
        <v>0.99899</v>
      </c>
      <c r="F67" s="15" t="n">
        <v>0.965567</v>
      </c>
      <c r="G67" s="15" t="n">
        <v>0.067673</v>
      </c>
      <c r="H67" s="15" t="n">
        <v>0.036753</v>
      </c>
      <c r="I67" s="15" t="n">
        <v>0.076516</v>
      </c>
      <c r="J67" s="15" t="n">
        <v>0.053735</v>
      </c>
      <c r="K67" s="15" t="n">
        <v>0.547275</v>
      </c>
      <c r="L67" s="15" t="n">
        <v>0.383548</v>
      </c>
      <c r="M67" s="15" t="n">
        <v>0.65721</v>
      </c>
      <c r="N67" s="15" t="n">
        <v>0.521561</v>
      </c>
    </row>
    <row r="68" customFormat="false" ht="15" hidden="false" customHeight="false" outlineLevel="0" collapsed="false">
      <c r="A68" s="2" t="n">
        <v>4</v>
      </c>
      <c r="B68" s="2" t="n">
        <v>10</v>
      </c>
      <c r="C68" s="15" t="n">
        <v>0.94305</v>
      </c>
      <c r="D68" s="15" t="n">
        <v>0.94305</v>
      </c>
      <c r="E68" s="15" t="n">
        <v>0.993734</v>
      </c>
      <c r="F68" s="15" t="n">
        <v>0.952764</v>
      </c>
      <c r="G68" s="15" t="n">
        <v>0.054351</v>
      </c>
      <c r="H68" s="15" t="n">
        <v>0.036753</v>
      </c>
      <c r="I68" s="15" t="n">
        <v>0.076516</v>
      </c>
      <c r="J68" s="15" t="n">
        <v>0.053735</v>
      </c>
      <c r="K68" s="15" t="n">
        <v>0.507924</v>
      </c>
      <c r="L68" s="15" t="n">
        <v>0.383548</v>
      </c>
      <c r="M68" s="15" t="n">
        <v>0.507924</v>
      </c>
      <c r="N68" s="15" t="n">
        <v>0.462867</v>
      </c>
    </row>
    <row r="69" customFormat="false" ht="15" hidden="false" customHeight="false" outlineLevel="0" collapsed="false">
      <c r="A69" s="2" t="n">
        <v>4</v>
      </c>
      <c r="B69" s="2" t="n">
        <v>11</v>
      </c>
      <c r="C69" s="15" t="n">
        <v>0.974766</v>
      </c>
      <c r="D69" s="15" t="n">
        <v>0.94305</v>
      </c>
      <c r="E69" s="15" t="n">
        <v>0.99899</v>
      </c>
      <c r="F69" s="15" t="n">
        <v>0.965567</v>
      </c>
      <c r="G69" s="15" t="n">
        <v>0.070271</v>
      </c>
      <c r="H69" s="15" t="n">
        <v>0.036753</v>
      </c>
      <c r="I69" s="15" t="n">
        <v>0.076516</v>
      </c>
      <c r="J69" s="15" t="n">
        <v>0.053735</v>
      </c>
      <c r="K69" s="15" t="n">
        <v>0.630378</v>
      </c>
      <c r="L69" s="15" t="n">
        <v>0.383548</v>
      </c>
      <c r="M69" s="15" t="n">
        <v>0.65721</v>
      </c>
      <c r="N69" s="15" t="n">
        <v>0.521561</v>
      </c>
    </row>
    <row r="70" customFormat="false" ht="15" hidden="false" customHeight="false" outlineLevel="0" collapsed="false">
      <c r="A70" s="2" t="n">
        <v>4</v>
      </c>
      <c r="B70" s="2" t="n">
        <v>12</v>
      </c>
      <c r="C70" s="15" t="n">
        <v>0.973024</v>
      </c>
      <c r="D70" s="15" t="n">
        <v>0.94305</v>
      </c>
      <c r="E70" s="15" t="n">
        <v>0.99899</v>
      </c>
      <c r="F70" s="15" t="n">
        <v>0.965567</v>
      </c>
      <c r="G70" s="15" t="n">
        <v>0.061523</v>
      </c>
      <c r="H70" s="15" t="n">
        <v>0.036753</v>
      </c>
      <c r="I70" s="15" t="n">
        <v>0.076516</v>
      </c>
      <c r="J70" s="15" t="n">
        <v>0.053735</v>
      </c>
      <c r="K70" s="15" t="n">
        <v>0.559904</v>
      </c>
      <c r="L70" s="15" t="n">
        <v>0.383548</v>
      </c>
      <c r="M70" s="15" t="n">
        <v>0.65721</v>
      </c>
      <c r="N70" s="15" t="n">
        <v>0.521561</v>
      </c>
    </row>
    <row r="71" customFormat="false" ht="15" hidden="false" customHeight="false" outlineLevel="0" collapsed="false">
      <c r="A71" s="2" t="n">
        <v>4</v>
      </c>
      <c r="B71" s="2" t="n">
        <v>13</v>
      </c>
      <c r="C71" s="15" t="n">
        <v>0.985301</v>
      </c>
      <c r="D71" s="15" t="n">
        <v>0.94305</v>
      </c>
      <c r="E71" s="15" t="n">
        <v>0.985301</v>
      </c>
      <c r="F71" s="15" t="n">
        <v>0.968998</v>
      </c>
      <c r="G71" s="15" t="n">
        <v>0.062951</v>
      </c>
      <c r="H71" s="15" t="n">
        <v>0.036753</v>
      </c>
      <c r="I71" s="15" t="n">
        <v>0.076516</v>
      </c>
      <c r="J71" s="15" t="n">
        <v>0.053735</v>
      </c>
      <c r="K71" s="15" t="n">
        <v>0.652819</v>
      </c>
      <c r="L71" s="15" t="n">
        <v>0.404089</v>
      </c>
      <c r="M71" s="15" t="n">
        <v>0.65721</v>
      </c>
      <c r="N71" s="15" t="n">
        <v>0.521561</v>
      </c>
    </row>
    <row r="72" customFormat="false" ht="15" hidden="false" customHeight="false" outlineLevel="0" collapsed="false">
      <c r="A72" s="2" t="n">
        <v>4</v>
      </c>
      <c r="B72" s="2" t="n">
        <v>14</v>
      </c>
      <c r="C72" s="15" t="n">
        <v>0.993734</v>
      </c>
      <c r="D72" s="15" t="n">
        <v>0.94305</v>
      </c>
      <c r="E72" s="15" t="n">
        <v>0.993734</v>
      </c>
      <c r="F72" s="15" t="n">
        <v>0.974115</v>
      </c>
      <c r="G72" s="15" t="n">
        <v>0.059724</v>
      </c>
      <c r="H72" s="15" t="n">
        <v>0.036753</v>
      </c>
      <c r="I72" s="15" t="n">
        <v>0.062189</v>
      </c>
      <c r="J72" s="15" t="n">
        <v>0.053735</v>
      </c>
      <c r="K72" s="15" t="n">
        <v>0.65721</v>
      </c>
      <c r="L72" s="15" t="n">
        <v>0.383548</v>
      </c>
      <c r="M72" s="15" t="n">
        <v>0.65721</v>
      </c>
      <c r="N72" s="15" t="n">
        <v>0.521561</v>
      </c>
    </row>
    <row r="73" customFormat="false" ht="15" hidden="false" customHeight="false" outlineLevel="0" collapsed="false">
      <c r="A73" s="2" t="n">
        <v>4</v>
      </c>
      <c r="B73" s="2" t="n">
        <v>15</v>
      </c>
      <c r="C73" s="15" t="n">
        <v>0.981209</v>
      </c>
      <c r="D73" s="15" t="n">
        <v>0.94305</v>
      </c>
      <c r="E73" s="15" t="n">
        <v>0.99899</v>
      </c>
      <c r="F73" s="15" t="n">
        <v>0.965567</v>
      </c>
      <c r="G73" s="15" t="n">
        <v>0.055029</v>
      </c>
      <c r="H73" s="15" t="n">
        <v>0.036753</v>
      </c>
      <c r="I73" s="15" t="n">
        <v>0.076516</v>
      </c>
      <c r="J73" s="15" t="n">
        <v>0.053735</v>
      </c>
      <c r="K73" s="15" t="n">
        <v>0.500991</v>
      </c>
      <c r="L73" s="15" t="n">
        <v>0.383548</v>
      </c>
      <c r="M73" s="15" t="n">
        <v>0.65721</v>
      </c>
      <c r="N73" s="15" t="n">
        <v>0.521561</v>
      </c>
    </row>
    <row r="74" customFormat="false" ht="15" hidden="false" customHeight="false" outlineLevel="0" collapsed="false">
      <c r="A74" s="2" t="n">
        <v>4</v>
      </c>
      <c r="B74" s="2" t="n">
        <v>16</v>
      </c>
      <c r="C74" s="15" t="n">
        <v>0.994413</v>
      </c>
      <c r="D74" s="15" t="n">
        <v>0.94305</v>
      </c>
      <c r="E74" s="15" t="n">
        <v>0.99899</v>
      </c>
      <c r="F74" s="15" t="n">
        <v>0.965567</v>
      </c>
      <c r="G74" s="15" t="n">
        <v>0.051347</v>
      </c>
      <c r="H74" s="15" t="n">
        <v>0.044748</v>
      </c>
      <c r="I74" s="15" t="n">
        <v>0.062189</v>
      </c>
      <c r="J74" s="15" t="n">
        <v>0.059928</v>
      </c>
      <c r="K74" s="15" t="n">
        <v>0.640367</v>
      </c>
      <c r="L74" s="15" t="n">
        <v>0.383548</v>
      </c>
      <c r="M74" s="15" t="n">
        <v>0.65721</v>
      </c>
      <c r="N74" s="15" t="n">
        <v>0.521561</v>
      </c>
    </row>
    <row r="75" customFormat="false" ht="15" hidden="false" customHeight="false" outlineLevel="0" collapsed="false">
      <c r="A75" s="2" t="n">
        <v>4</v>
      </c>
      <c r="B75" s="2" t="n">
        <v>17</v>
      </c>
      <c r="C75" s="15" t="n">
        <v>0.984967</v>
      </c>
      <c r="D75" s="15" t="n">
        <v>0.94305</v>
      </c>
      <c r="E75" s="15" t="n">
        <v>0.993734</v>
      </c>
      <c r="F75" s="15" t="n">
        <v>0.965567</v>
      </c>
      <c r="G75" s="15" t="n">
        <v>0.052097</v>
      </c>
      <c r="H75" s="15" t="n">
        <v>0.036753</v>
      </c>
      <c r="I75" s="15" t="n">
        <v>0.076516</v>
      </c>
      <c r="J75" s="15" t="n">
        <v>0.053735</v>
      </c>
      <c r="K75" s="15" t="n">
        <v>0.652214</v>
      </c>
      <c r="L75" s="15" t="n">
        <v>0.383548</v>
      </c>
      <c r="M75" s="15" t="n">
        <v>0.65721</v>
      </c>
      <c r="N75" s="15" t="n">
        <v>0.521561</v>
      </c>
    </row>
    <row r="76" customFormat="false" ht="15" hidden="false" customHeight="false" outlineLevel="0" collapsed="false">
      <c r="A76" s="2" t="n">
        <v>4</v>
      </c>
      <c r="B76" s="2" t="n">
        <v>18</v>
      </c>
      <c r="C76" s="15" t="n">
        <v>0.985267</v>
      </c>
      <c r="D76" s="15" t="n">
        <v>0.94305</v>
      </c>
      <c r="E76" s="15" t="n">
        <v>0.99899</v>
      </c>
      <c r="F76" s="15" t="n">
        <v>0.965567</v>
      </c>
      <c r="G76" s="15" t="n">
        <v>0.069627</v>
      </c>
      <c r="H76" s="15" t="n">
        <v>0.036753</v>
      </c>
      <c r="I76" s="15" t="n">
        <v>0.076516</v>
      </c>
      <c r="J76" s="15" t="n">
        <v>0.053735</v>
      </c>
      <c r="K76" s="15" t="n">
        <v>0.52919</v>
      </c>
      <c r="L76" s="15" t="n">
        <v>0.383548</v>
      </c>
      <c r="M76" s="15" t="n">
        <v>0.65721</v>
      </c>
      <c r="N76" s="15" t="n">
        <v>0.521561</v>
      </c>
    </row>
    <row r="77" customFormat="false" ht="15" hidden="false" customHeight="false" outlineLevel="0" collapsed="false">
      <c r="A77" s="2" t="n">
        <v>4</v>
      </c>
      <c r="B77" s="2" t="n">
        <v>19</v>
      </c>
      <c r="C77" s="15" t="n">
        <v>0.980311</v>
      </c>
      <c r="D77" s="15" t="n">
        <v>0.94305</v>
      </c>
      <c r="E77" s="15" t="n">
        <v>0.99899</v>
      </c>
      <c r="F77" s="15" t="n">
        <v>0.967741</v>
      </c>
      <c r="G77" s="15" t="n">
        <v>0.044995</v>
      </c>
      <c r="H77" s="15" t="n">
        <v>0.036753</v>
      </c>
      <c r="I77" s="15" t="n">
        <v>0.076516</v>
      </c>
      <c r="J77" s="15" t="n">
        <v>0.053735</v>
      </c>
      <c r="K77" s="15" t="n">
        <v>0.576198</v>
      </c>
      <c r="L77" s="15" t="n">
        <v>0.403021</v>
      </c>
      <c r="M77" s="15" t="n">
        <v>0.65721</v>
      </c>
      <c r="N77" s="15" t="n">
        <v>0.521561</v>
      </c>
    </row>
    <row r="78" customFormat="false" ht="15" hidden="false" customHeight="false" outlineLevel="0" collapsed="false">
      <c r="A78" s="2" t="n">
        <v>4</v>
      </c>
      <c r="B78" s="2" t="n">
        <v>20</v>
      </c>
      <c r="C78" s="15" t="n">
        <v>0.974132</v>
      </c>
      <c r="D78" s="15" t="n">
        <v>0.94305</v>
      </c>
      <c r="E78" s="15" t="n">
        <v>0.99899</v>
      </c>
      <c r="F78" s="15" t="n">
        <v>0.965567</v>
      </c>
      <c r="G78" s="15" t="n">
        <v>0.044688</v>
      </c>
      <c r="H78" s="15" t="n">
        <v>0.036753</v>
      </c>
      <c r="I78" s="15" t="n">
        <v>0.076516</v>
      </c>
      <c r="J78" s="15" t="n">
        <v>0.053735</v>
      </c>
      <c r="K78" s="15" t="n">
        <v>0.597296</v>
      </c>
      <c r="L78" s="15" t="n">
        <v>0.383548</v>
      </c>
      <c r="M78" s="15" t="n">
        <v>0.65721</v>
      </c>
      <c r="N78" s="15" t="n">
        <v>0.521561</v>
      </c>
    </row>
    <row r="79" customFormat="false" ht="15" hidden="false" customHeight="false" outlineLevel="0" collapsed="false">
      <c r="A79" s="2" t="n">
        <v>5</v>
      </c>
      <c r="B79" s="2" t="n">
        <v>6</v>
      </c>
      <c r="C79" s="15" t="n">
        <v>0.865186</v>
      </c>
      <c r="D79" s="15" t="n">
        <v>0.859601</v>
      </c>
      <c r="E79" s="15" t="n">
        <v>0.901948</v>
      </c>
      <c r="F79" s="15" t="n">
        <v>0.875579</v>
      </c>
      <c r="G79" s="15" t="n">
        <v>0.027311</v>
      </c>
      <c r="H79" s="15" t="n">
        <v>0.021284</v>
      </c>
      <c r="I79" s="15" t="n">
        <v>0.027311</v>
      </c>
      <c r="J79" s="15" t="n">
        <v>0.030554</v>
      </c>
      <c r="K79" s="15" t="n">
        <v>0.342849</v>
      </c>
      <c r="L79" s="15" t="n">
        <v>0.255696</v>
      </c>
      <c r="M79" s="15" t="n">
        <v>0.473139</v>
      </c>
      <c r="N79" s="15" t="n">
        <v>0.308777</v>
      </c>
    </row>
    <row r="80" customFormat="false" ht="15" hidden="false" customHeight="false" outlineLevel="0" collapsed="false">
      <c r="A80" s="2" t="n">
        <v>5</v>
      </c>
      <c r="B80" s="2" t="n">
        <v>7</v>
      </c>
      <c r="C80" s="15" t="n">
        <v>0.939444</v>
      </c>
      <c r="D80" s="15" t="n">
        <v>0.924366</v>
      </c>
      <c r="E80" s="15" t="n">
        <v>0.939544</v>
      </c>
      <c r="F80" s="15" t="n">
        <v>0.941259</v>
      </c>
      <c r="G80" s="15" t="n">
        <v>0.041249</v>
      </c>
      <c r="H80" s="15" t="n">
        <v>0.036753</v>
      </c>
      <c r="I80" s="15" t="n">
        <v>0.076516</v>
      </c>
      <c r="J80" s="15" t="n">
        <v>0.053735</v>
      </c>
      <c r="K80" s="15" t="n">
        <v>0.472881</v>
      </c>
      <c r="L80" s="15" t="n">
        <v>0.366746</v>
      </c>
      <c r="M80" s="15" t="n">
        <v>0.65721</v>
      </c>
      <c r="N80" s="15" t="n">
        <v>0.512167</v>
      </c>
    </row>
    <row r="81" customFormat="false" ht="15" hidden="false" customHeight="false" outlineLevel="0" collapsed="false">
      <c r="A81" s="2" t="n">
        <v>5</v>
      </c>
      <c r="B81" s="2" t="n">
        <v>8</v>
      </c>
      <c r="C81" s="15" t="n">
        <v>0.910791</v>
      </c>
      <c r="D81" s="15" t="n">
        <v>0.910791</v>
      </c>
      <c r="E81" s="15" t="n">
        <v>0.99899</v>
      </c>
      <c r="F81" s="15" t="n">
        <v>0.965567</v>
      </c>
      <c r="G81" s="15" t="n">
        <v>0.033781</v>
      </c>
      <c r="H81" s="15" t="n">
        <v>0.030029</v>
      </c>
      <c r="I81" s="15" t="n">
        <v>0.065021</v>
      </c>
      <c r="J81" s="15" t="n">
        <v>0.046603</v>
      </c>
      <c r="K81" s="15" t="n">
        <v>0.398677</v>
      </c>
      <c r="L81" s="15" t="n">
        <v>0.377198</v>
      </c>
      <c r="M81" s="15" t="n">
        <v>0.65721</v>
      </c>
      <c r="N81" s="15" t="n">
        <v>0.521561</v>
      </c>
    </row>
    <row r="82" customFormat="false" ht="15" hidden="false" customHeight="false" outlineLevel="0" collapsed="false">
      <c r="A82" s="2" t="n">
        <v>5</v>
      </c>
      <c r="B82" s="2" t="n">
        <v>9</v>
      </c>
      <c r="C82" s="15" t="n">
        <v>0.901948</v>
      </c>
      <c r="D82" s="15" t="n">
        <v>0.859601</v>
      </c>
      <c r="E82" s="15" t="n">
        <v>0.901948</v>
      </c>
      <c r="F82" s="15" t="n">
        <v>0.875579</v>
      </c>
      <c r="G82" s="15" t="n">
        <v>0.0273</v>
      </c>
      <c r="H82" s="15" t="n">
        <v>0.020808</v>
      </c>
      <c r="I82" s="15" t="n">
        <v>0.027311</v>
      </c>
      <c r="J82" s="15" t="n">
        <v>0.030554</v>
      </c>
      <c r="K82" s="15" t="n">
        <v>0.255696</v>
      </c>
      <c r="L82" s="15" t="n">
        <v>0.255696</v>
      </c>
      <c r="M82" s="15" t="n">
        <v>0.473139</v>
      </c>
      <c r="N82" s="15" t="n">
        <v>0.308777</v>
      </c>
    </row>
    <row r="83" customFormat="false" ht="15" hidden="false" customHeight="false" outlineLevel="0" collapsed="false">
      <c r="A83" s="2" t="n">
        <v>5</v>
      </c>
      <c r="B83" s="2" t="n">
        <v>10</v>
      </c>
      <c r="C83" s="15" t="n">
        <v>0.919731</v>
      </c>
      <c r="D83" s="15" t="n">
        <v>0.910791</v>
      </c>
      <c r="E83" s="15" t="n">
        <v>0.99899</v>
      </c>
      <c r="F83" s="15" t="n">
        <v>0.965567</v>
      </c>
      <c r="G83" s="15" t="n">
        <v>0.032372</v>
      </c>
      <c r="H83" s="15" t="n">
        <v>0.030029</v>
      </c>
      <c r="I83" s="15" t="n">
        <v>0.065021</v>
      </c>
      <c r="J83" s="15" t="n">
        <v>0.046603</v>
      </c>
      <c r="K83" s="15" t="n">
        <v>0.363588</v>
      </c>
      <c r="L83" s="15" t="n">
        <v>0.363588</v>
      </c>
      <c r="M83" s="15" t="n">
        <v>0.65721</v>
      </c>
      <c r="N83" s="15" t="n">
        <v>0.521561</v>
      </c>
    </row>
    <row r="84" customFormat="false" ht="15" hidden="false" customHeight="false" outlineLevel="0" collapsed="false">
      <c r="A84" s="2" t="n">
        <v>5</v>
      </c>
      <c r="B84" s="2" t="n">
        <v>11</v>
      </c>
      <c r="C84" s="15" t="n">
        <v>0.949625</v>
      </c>
      <c r="D84" s="15" t="n">
        <v>0.909305</v>
      </c>
      <c r="E84" s="15" t="n">
        <v>0.987172</v>
      </c>
      <c r="F84" s="15" t="n">
        <v>0.954031</v>
      </c>
      <c r="G84" s="15" t="n">
        <v>0.034337</v>
      </c>
      <c r="H84" s="15" t="n">
        <v>0.019638</v>
      </c>
      <c r="I84" s="15" t="n">
        <v>0.050288</v>
      </c>
      <c r="J84" s="15" t="n">
        <v>0.023517</v>
      </c>
      <c r="K84" s="15" t="n">
        <v>0.395746</v>
      </c>
      <c r="L84" s="15" t="n">
        <v>0.313653</v>
      </c>
      <c r="M84" s="15" t="n">
        <v>0.599119</v>
      </c>
      <c r="N84" s="15" t="n">
        <v>0.410867</v>
      </c>
    </row>
    <row r="85" customFormat="false" ht="15" hidden="false" customHeight="false" outlineLevel="0" collapsed="false">
      <c r="A85" s="2" t="n">
        <v>5</v>
      </c>
      <c r="B85" s="2" t="n">
        <v>12</v>
      </c>
      <c r="C85" s="15" t="n">
        <v>0.959011</v>
      </c>
      <c r="D85" s="15" t="n">
        <v>0.864637</v>
      </c>
      <c r="E85" s="15" t="n">
        <v>0.97909</v>
      </c>
      <c r="F85" s="15" t="n">
        <v>0.91366</v>
      </c>
      <c r="G85" s="15" t="n">
        <v>0.03849</v>
      </c>
      <c r="H85" s="15" t="n">
        <v>0.019282</v>
      </c>
      <c r="I85" s="15" t="n">
        <v>0.050288</v>
      </c>
      <c r="J85" s="15" t="n">
        <v>0.030554</v>
      </c>
      <c r="K85" s="15" t="n">
        <v>0.331734</v>
      </c>
      <c r="L85" s="15" t="n">
        <v>0.255696</v>
      </c>
      <c r="M85" s="15" t="n">
        <v>0.473139</v>
      </c>
      <c r="N85" s="15" t="n">
        <v>0.308777</v>
      </c>
    </row>
    <row r="86" customFormat="false" ht="15" hidden="false" customHeight="false" outlineLevel="0" collapsed="false">
      <c r="A86" s="2" t="n">
        <v>5</v>
      </c>
      <c r="B86" s="2" t="n">
        <v>13</v>
      </c>
      <c r="C86" s="15" t="n">
        <v>0.976227</v>
      </c>
      <c r="D86" s="15" t="n">
        <v>0.933187</v>
      </c>
      <c r="E86" s="15" t="n">
        <v>0.99899</v>
      </c>
      <c r="F86" s="15" t="n">
        <v>0.968998</v>
      </c>
      <c r="G86" s="15" t="n">
        <v>0.028058</v>
      </c>
      <c r="H86" s="15" t="n">
        <v>0.02113</v>
      </c>
      <c r="I86" s="15" t="n">
        <v>0.050288</v>
      </c>
      <c r="J86" s="15" t="n">
        <v>0.025424</v>
      </c>
      <c r="K86" s="15" t="n">
        <v>0.477743</v>
      </c>
      <c r="L86" s="15" t="n">
        <v>0.404089</v>
      </c>
      <c r="M86" s="15" t="n">
        <v>0.493172</v>
      </c>
      <c r="N86" s="15" t="n">
        <v>0.451208</v>
      </c>
    </row>
    <row r="87" customFormat="false" ht="15" hidden="false" customHeight="false" outlineLevel="0" collapsed="false">
      <c r="A87" s="2" t="n">
        <v>5</v>
      </c>
      <c r="B87" s="2" t="n">
        <v>14</v>
      </c>
      <c r="C87" s="15" t="n">
        <v>0.980708</v>
      </c>
      <c r="D87" s="15" t="n">
        <v>0.935884</v>
      </c>
      <c r="E87" s="15" t="n">
        <v>0.99899</v>
      </c>
      <c r="F87" s="15" t="n">
        <v>0.974115</v>
      </c>
      <c r="G87" s="15" t="n">
        <v>0.029385</v>
      </c>
      <c r="H87" s="15" t="n">
        <v>0.028567</v>
      </c>
      <c r="I87" s="15" t="n">
        <v>0.076516</v>
      </c>
      <c r="J87" s="15" t="n">
        <v>0.042411</v>
      </c>
      <c r="K87" s="15" t="n">
        <v>0.446325</v>
      </c>
      <c r="L87" s="15" t="n">
        <v>0.350786</v>
      </c>
      <c r="M87" s="15" t="n">
        <v>0.507388</v>
      </c>
      <c r="N87" s="15" t="n">
        <v>0.464742</v>
      </c>
    </row>
    <row r="88" customFormat="false" ht="15" hidden="false" customHeight="false" outlineLevel="0" collapsed="false">
      <c r="A88" s="2" t="n">
        <v>5</v>
      </c>
      <c r="B88" s="2" t="n">
        <v>15</v>
      </c>
      <c r="C88" s="15" t="n">
        <v>0.97909</v>
      </c>
      <c r="D88" s="15" t="n">
        <v>0.924812</v>
      </c>
      <c r="E88" s="15" t="n">
        <v>0.97909</v>
      </c>
      <c r="F88" s="15" t="n">
        <v>0.962856</v>
      </c>
      <c r="G88" s="15" t="n">
        <v>0.023189</v>
      </c>
      <c r="H88" s="15" t="n">
        <v>0.017778</v>
      </c>
      <c r="I88" s="15" t="n">
        <v>0.050288</v>
      </c>
      <c r="J88" s="15" t="n">
        <v>0.023517</v>
      </c>
      <c r="K88" s="15" t="n">
        <v>0.332642</v>
      </c>
      <c r="L88" s="15" t="n">
        <v>0.29307</v>
      </c>
      <c r="M88" s="15" t="n">
        <v>0.599119</v>
      </c>
      <c r="N88" s="15" t="n">
        <v>0.346582</v>
      </c>
    </row>
    <row r="89" customFormat="false" ht="15" hidden="false" customHeight="false" outlineLevel="0" collapsed="false">
      <c r="A89" s="2" t="n">
        <v>5</v>
      </c>
      <c r="B89" s="2" t="n">
        <v>16</v>
      </c>
      <c r="C89" s="15" t="n">
        <v>0.958991</v>
      </c>
      <c r="D89" s="15" t="n">
        <v>0.909305</v>
      </c>
      <c r="E89" s="15" t="n">
        <v>0.987172</v>
      </c>
      <c r="F89" s="15" t="n">
        <v>0.954031</v>
      </c>
      <c r="G89" s="15" t="n">
        <v>0.045142</v>
      </c>
      <c r="H89" s="15" t="n">
        <v>0.044748</v>
      </c>
      <c r="I89" s="15" t="n">
        <v>0.076516</v>
      </c>
      <c r="J89" s="15" t="n">
        <v>0.059928</v>
      </c>
      <c r="K89" s="15" t="n">
        <v>0.4466</v>
      </c>
      <c r="L89" s="15" t="n">
        <v>0.313653</v>
      </c>
      <c r="M89" s="15" t="n">
        <v>0.599119</v>
      </c>
      <c r="N89" s="15" t="n">
        <v>0.410867</v>
      </c>
    </row>
    <row r="90" customFormat="false" ht="15" hidden="false" customHeight="false" outlineLevel="0" collapsed="false">
      <c r="A90" s="2" t="n">
        <v>5</v>
      </c>
      <c r="B90" s="2" t="n">
        <v>17</v>
      </c>
      <c r="C90" s="15" t="n">
        <v>0.910172</v>
      </c>
      <c r="D90" s="15" t="n">
        <v>0.903745</v>
      </c>
      <c r="E90" s="15" t="n">
        <v>0.99899</v>
      </c>
      <c r="F90" s="15" t="n">
        <v>0.954031</v>
      </c>
      <c r="G90" s="15" t="n">
        <v>0.022785</v>
      </c>
      <c r="H90" s="15" t="n">
        <v>0.017778</v>
      </c>
      <c r="I90" s="15" t="n">
        <v>0.050288</v>
      </c>
      <c r="J90" s="15" t="n">
        <v>0.023517</v>
      </c>
      <c r="K90" s="15" t="n">
        <v>0.361384</v>
      </c>
      <c r="L90" s="15" t="n">
        <v>0.32051</v>
      </c>
      <c r="M90" s="15" t="n">
        <v>0.381608</v>
      </c>
      <c r="N90" s="15" t="n">
        <v>0.394625</v>
      </c>
    </row>
    <row r="91" customFormat="false" ht="15" hidden="false" customHeight="false" outlineLevel="0" collapsed="false">
      <c r="A91" s="2" t="n">
        <v>5</v>
      </c>
      <c r="B91" s="2" t="n">
        <v>18</v>
      </c>
      <c r="C91" s="15" t="n">
        <v>0.965831</v>
      </c>
      <c r="D91" s="15" t="n">
        <v>0.929495</v>
      </c>
      <c r="E91" s="15" t="n">
        <v>0.97909</v>
      </c>
      <c r="F91" s="15" t="n">
        <v>0.961418</v>
      </c>
      <c r="G91" s="15" t="n">
        <v>0.02857</v>
      </c>
      <c r="H91" s="15" t="n">
        <v>0.025696</v>
      </c>
      <c r="I91" s="15" t="n">
        <v>0.035061</v>
      </c>
      <c r="J91" s="15" t="n">
        <v>0.035943</v>
      </c>
      <c r="K91" s="15" t="n">
        <v>0.359324</v>
      </c>
      <c r="L91" s="15" t="n">
        <v>0.29307</v>
      </c>
      <c r="M91" s="15" t="n">
        <v>0.599119</v>
      </c>
      <c r="N91" s="15" t="n">
        <v>0.346582</v>
      </c>
    </row>
    <row r="92" customFormat="false" ht="15" hidden="false" customHeight="false" outlineLevel="0" collapsed="false">
      <c r="A92" s="2" t="n">
        <v>5</v>
      </c>
      <c r="B92" s="2" t="n">
        <v>19</v>
      </c>
      <c r="C92" s="15" t="n">
        <v>0.979608</v>
      </c>
      <c r="D92" s="15" t="n">
        <v>0.919964</v>
      </c>
      <c r="E92" s="15" t="n">
        <v>0.987172</v>
      </c>
      <c r="F92" s="15" t="n">
        <v>0.967741</v>
      </c>
      <c r="G92" s="15" t="n">
        <v>0.028722</v>
      </c>
      <c r="H92" s="15" t="n">
        <v>0.017778</v>
      </c>
      <c r="I92" s="15" t="n">
        <v>0.050288</v>
      </c>
      <c r="J92" s="15" t="n">
        <v>0.027943</v>
      </c>
      <c r="K92" s="15" t="n">
        <v>0.481021</v>
      </c>
      <c r="L92" s="15" t="n">
        <v>0.403021</v>
      </c>
      <c r="M92" s="15" t="n">
        <v>0.599119</v>
      </c>
      <c r="N92" s="15" t="n">
        <v>0.507543</v>
      </c>
    </row>
    <row r="93" customFormat="false" ht="15" hidden="false" customHeight="false" outlineLevel="0" collapsed="false">
      <c r="A93" s="2" t="n">
        <v>5</v>
      </c>
      <c r="B93" s="2" t="n">
        <v>20</v>
      </c>
      <c r="C93" s="15" t="n">
        <v>0.916861</v>
      </c>
      <c r="D93" s="15" t="n">
        <v>0.864637</v>
      </c>
      <c r="E93" s="15" t="n">
        <v>0.97909</v>
      </c>
      <c r="F93" s="15" t="n">
        <v>0.91366</v>
      </c>
      <c r="G93" s="15" t="n">
        <v>0.017778</v>
      </c>
      <c r="H93" s="15" t="n">
        <v>0.017778</v>
      </c>
      <c r="I93" s="15" t="n">
        <v>0.050288</v>
      </c>
      <c r="J93" s="15" t="n">
        <v>0.023517</v>
      </c>
      <c r="K93" s="15" t="n">
        <v>0.304829</v>
      </c>
      <c r="L93" s="15" t="n">
        <v>0.260642</v>
      </c>
      <c r="M93" s="15" t="n">
        <v>0.473139</v>
      </c>
      <c r="N93" s="15" t="n">
        <v>0.308777</v>
      </c>
    </row>
    <row r="94" customFormat="false" ht="15" hidden="false" customHeight="false" outlineLevel="0" collapsed="false">
      <c r="A94" s="2" t="n">
        <v>6</v>
      </c>
      <c r="B94" s="2" t="n">
        <v>7</v>
      </c>
      <c r="C94" s="15" t="n">
        <v>0.935128</v>
      </c>
      <c r="D94" s="15" t="n">
        <v>0.924366</v>
      </c>
      <c r="E94" s="15" t="n">
        <v>0.939544</v>
      </c>
      <c r="F94" s="15" t="n">
        <v>0.941259</v>
      </c>
      <c r="G94" s="15" t="n">
        <v>0.052185</v>
      </c>
      <c r="H94" s="15" t="n">
        <v>0.036753</v>
      </c>
      <c r="I94" s="15" t="n">
        <v>0.076516</v>
      </c>
      <c r="J94" s="15" t="n">
        <v>0.053735</v>
      </c>
      <c r="K94" s="15" t="n">
        <v>0.461154</v>
      </c>
      <c r="L94" s="15" t="n">
        <v>0.366746</v>
      </c>
      <c r="M94" s="15" t="n">
        <v>0.65721</v>
      </c>
      <c r="N94" s="15" t="n">
        <v>0.512167</v>
      </c>
    </row>
    <row r="95" customFormat="false" ht="15" hidden="false" customHeight="false" outlineLevel="0" collapsed="false">
      <c r="A95" s="2" t="n">
        <v>6</v>
      </c>
      <c r="B95" s="2" t="n">
        <v>8</v>
      </c>
      <c r="C95" s="15" t="n">
        <v>0.973389</v>
      </c>
      <c r="D95" s="15" t="n">
        <v>0.910791</v>
      </c>
      <c r="E95" s="15" t="n">
        <v>0.99899</v>
      </c>
      <c r="F95" s="15" t="n">
        <v>0.965567</v>
      </c>
      <c r="G95" s="15" t="n">
        <v>0.06165</v>
      </c>
      <c r="H95" s="15" t="n">
        <v>0.030029</v>
      </c>
      <c r="I95" s="15" t="n">
        <v>0.065021</v>
      </c>
      <c r="J95" s="15" t="n">
        <v>0.046603</v>
      </c>
      <c r="K95" s="15" t="n">
        <v>0.5371</v>
      </c>
      <c r="L95" s="15" t="n">
        <v>0.377198</v>
      </c>
      <c r="M95" s="15" t="n">
        <v>0.65721</v>
      </c>
      <c r="N95" s="15" t="n">
        <v>0.521561</v>
      </c>
    </row>
    <row r="96" customFormat="false" ht="15" hidden="false" customHeight="false" outlineLevel="0" collapsed="false">
      <c r="A96" s="2" t="n">
        <v>6</v>
      </c>
      <c r="B96" s="2" t="n">
        <v>9</v>
      </c>
      <c r="C96" s="15" t="n">
        <v>0.840219</v>
      </c>
      <c r="D96" s="15" t="n">
        <v>0.840219</v>
      </c>
      <c r="E96" s="15" t="n">
        <v>0.844199</v>
      </c>
      <c r="F96" s="15" t="n">
        <v>0.842209</v>
      </c>
      <c r="G96" s="15" t="n">
        <v>0.021284</v>
      </c>
      <c r="H96" s="15" t="n">
        <v>0.021284</v>
      </c>
      <c r="I96" s="15" t="n">
        <v>0.021284</v>
      </c>
      <c r="J96" s="15" t="n">
        <v>0.021284</v>
      </c>
      <c r="K96" s="15" t="n">
        <v>0.190163</v>
      </c>
      <c r="L96" s="15" t="n">
        <v>0.190163</v>
      </c>
      <c r="M96" s="15" t="n">
        <v>0.190163</v>
      </c>
      <c r="N96" s="15" t="n">
        <v>0.190163</v>
      </c>
    </row>
    <row r="97" customFormat="false" ht="15" hidden="false" customHeight="false" outlineLevel="0" collapsed="false">
      <c r="A97" s="2" t="n">
        <v>6</v>
      </c>
      <c r="B97" s="2" t="n">
        <v>10</v>
      </c>
      <c r="C97" s="15" t="n">
        <v>0.974898</v>
      </c>
      <c r="D97" s="15" t="n">
        <v>0.910791</v>
      </c>
      <c r="E97" s="15" t="n">
        <v>0.99899</v>
      </c>
      <c r="F97" s="15" t="n">
        <v>0.965567</v>
      </c>
      <c r="G97" s="15" t="n">
        <v>0.061258</v>
      </c>
      <c r="H97" s="15" t="n">
        <v>0.030029</v>
      </c>
      <c r="I97" s="15" t="n">
        <v>0.065021</v>
      </c>
      <c r="J97" s="15" t="n">
        <v>0.046603</v>
      </c>
      <c r="K97" s="15" t="n">
        <v>0.532414</v>
      </c>
      <c r="L97" s="15" t="n">
        <v>0.363588</v>
      </c>
      <c r="M97" s="15" t="n">
        <v>0.65721</v>
      </c>
      <c r="N97" s="15" t="n">
        <v>0.521561</v>
      </c>
    </row>
    <row r="98" customFormat="false" ht="15" hidden="false" customHeight="false" outlineLevel="0" collapsed="false">
      <c r="A98" s="2" t="n">
        <v>6</v>
      </c>
      <c r="B98" s="2" t="n">
        <v>11</v>
      </c>
      <c r="C98" s="15" t="n">
        <v>0.9644</v>
      </c>
      <c r="D98" s="15" t="n">
        <v>0.909305</v>
      </c>
      <c r="E98" s="15" t="n">
        <v>0.987172</v>
      </c>
      <c r="F98" s="15" t="n">
        <v>0.954031</v>
      </c>
      <c r="G98" s="15" t="n">
        <v>0.039116</v>
      </c>
      <c r="H98" s="15" t="n">
        <v>0.021284</v>
      </c>
      <c r="I98" s="15" t="n">
        <v>0.050288</v>
      </c>
      <c r="J98" s="15" t="n">
        <v>0.030554</v>
      </c>
      <c r="K98" s="15" t="n">
        <v>0.455489</v>
      </c>
      <c r="L98" s="15" t="n">
        <v>0.313653</v>
      </c>
      <c r="M98" s="15" t="n">
        <v>0.599119</v>
      </c>
      <c r="N98" s="15" t="n">
        <v>0.410867</v>
      </c>
    </row>
    <row r="99" customFormat="false" ht="15" hidden="false" customHeight="false" outlineLevel="0" collapsed="false">
      <c r="A99" s="2" t="n">
        <v>6</v>
      </c>
      <c r="B99" s="2" t="n">
        <v>12</v>
      </c>
      <c r="C99" s="15" t="n">
        <v>0.9366</v>
      </c>
      <c r="D99" s="15" t="n">
        <v>0.864637</v>
      </c>
      <c r="E99" s="15" t="n">
        <v>0.97909</v>
      </c>
      <c r="F99" s="15" t="n">
        <v>0.91366</v>
      </c>
      <c r="G99" s="15" t="n">
        <v>0.029901</v>
      </c>
      <c r="H99" s="15" t="n">
        <v>0.021284</v>
      </c>
      <c r="I99" s="15" t="n">
        <v>0.050288</v>
      </c>
      <c r="J99" s="15" t="n">
        <v>0.026033</v>
      </c>
      <c r="K99" s="15" t="n">
        <v>0.280239</v>
      </c>
      <c r="L99" s="15" t="n">
        <v>0.253809</v>
      </c>
      <c r="M99" s="15" t="n">
        <v>0.283532</v>
      </c>
      <c r="N99" s="15" t="n">
        <v>0.271694</v>
      </c>
    </row>
    <row r="100" customFormat="false" ht="15" hidden="false" customHeight="false" outlineLevel="0" collapsed="false">
      <c r="A100" s="2" t="n">
        <v>6</v>
      </c>
      <c r="B100" s="2" t="n">
        <v>13</v>
      </c>
      <c r="C100" s="15" t="n">
        <v>0.968251</v>
      </c>
      <c r="D100" s="15" t="n">
        <v>0.933187</v>
      </c>
      <c r="E100" s="15" t="n">
        <v>0.99899</v>
      </c>
      <c r="F100" s="15" t="n">
        <v>0.968998</v>
      </c>
      <c r="G100" s="15" t="n">
        <v>0.033576</v>
      </c>
      <c r="H100" s="15" t="n">
        <v>0.021284</v>
      </c>
      <c r="I100" s="15" t="n">
        <v>0.050288</v>
      </c>
      <c r="J100" s="15" t="n">
        <v>0.030554</v>
      </c>
      <c r="K100" s="15" t="n">
        <v>0.493172</v>
      </c>
      <c r="L100" s="15" t="n">
        <v>0.404089</v>
      </c>
      <c r="M100" s="15" t="n">
        <v>0.493172</v>
      </c>
      <c r="N100" s="15" t="n">
        <v>0.451208</v>
      </c>
    </row>
    <row r="101" customFormat="false" ht="15" hidden="false" customHeight="false" outlineLevel="0" collapsed="false">
      <c r="A101" s="2" t="n">
        <v>6</v>
      </c>
      <c r="B101" s="2" t="n">
        <v>14</v>
      </c>
      <c r="C101" s="15" t="n">
        <v>0.950268</v>
      </c>
      <c r="D101" s="15" t="n">
        <v>0.935884</v>
      </c>
      <c r="E101" s="15" t="n">
        <v>0.99899</v>
      </c>
      <c r="F101" s="15" t="n">
        <v>0.974115</v>
      </c>
      <c r="G101" s="15" t="n">
        <v>0.046845</v>
      </c>
      <c r="H101" s="15" t="n">
        <v>0.028567</v>
      </c>
      <c r="I101" s="15" t="n">
        <v>0.076516</v>
      </c>
      <c r="J101" s="15" t="n">
        <v>0.042411</v>
      </c>
      <c r="K101" s="15" t="n">
        <v>0.48548</v>
      </c>
      <c r="L101" s="15" t="n">
        <v>0.350786</v>
      </c>
      <c r="M101" s="15" t="n">
        <v>0.507388</v>
      </c>
      <c r="N101" s="15" t="n">
        <v>0.464742</v>
      </c>
    </row>
    <row r="102" customFormat="false" ht="15" hidden="false" customHeight="false" outlineLevel="0" collapsed="false">
      <c r="A102" s="2" t="n">
        <v>6</v>
      </c>
      <c r="B102" s="2" t="n">
        <v>15</v>
      </c>
      <c r="C102" s="15" t="n">
        <v>0.976856</v>
      </c>
      <c r="D102" s="15" t="n">
        <v>0.924812</v>
      </c>
      <c r="E102" s="15" t="n">
        <v>0.97909</v>
      </c>
      <c r="F102" s="15" t="n">
        <v>0.962856</v>
      </c>
      <c r="G102" s="15" t="n">
        <v>0.024282</v>
      </c>
      <c r="H102" s="15" t="n">
        <v>0.021284</v>
      </c>
      <c r="I102" s="15" t="n">
        <v>0.050288</v>
      </c>
      <c r="J102" s="15" t="n">
        <v>0.030554</v>
      </c>
      <c r="K102" s="15" t="n">
        <v>0.34447</v>
      </c>
      <c r="L102" s="15" t="n">
        <v>0.29307</v>
      </c>
      <c r="M102" s="15" t="n">
        <v>0.599119</v>
      </c>
      <c r="N102" s="15" t="n">
        <v>0.346582</v>
      </c>
    </row>
    <row r="103" customFormat="false" ht="15" hidden="false" customHeight="false" outlineLevel="0" collapsed="false">
      <c r="A103" s="2" t="n">
        <v>6</v>
      </c>
      <c r="B103" s="2" t="n">
        <v>16</v>
      </c>
      <c r="C103" s="15" t="n">
        <v>0.958937</v>
      </c>
      <c r="D103" s="15" t="n">
        <v>0.909305</v>
      </c>
      <c r="E103" s="15" t="n">
        <v>0.987172</v>
      </c>
      <c r="F103" s="15" t="n">
        <v>0.954031</v>
      </c>
      <c r="G103" s="15" t="n">
        <v>0.071991</v>
      </c>
      <c r="H103" s="15" t="n">
        <v>0.044748</v>
      </c>
      <c r="I103" s="15" t="n">
        <v>0.076516</v>
      </c>
      <c r="J103" s="15" t="n">
        <v>0.059928</v>
      </c>
      <c r="K103" s="15" t="n">
        <v>0.535054</v>
      </c>
      <c r="L103" s="15" t="n">
        <v>0.313653</v>
      </c>
      <c r="M103" s="15" t="n">
        <v>0.599119</v>
      </c>
      <c r="N103" s="15" t="n">
        <v>0.410867</v>
      </c>
    </row>
    <row r="104" customFormat="false" ht="15" hidden="false" customHeight="false" outlineLevel="0" collapsed="false">
      <c r="A104" s="2" t="n">
        <v>6</v>
      </c>
      <c r="B104" s="2" t="n">
        <v>17</v>
      </c>
      <c r="C104" s="15" t="n">
        <v>0.976993</v>
      </c>
      <c r="D104" s="15" t="n">
        <v>0.903745</v>
      </c>
      <c r="E104" s="15" t="n">
        <v>0.99899</v>
      </c>
      <c r="F104" s="15" t="n">
        <v>0.954031</v>
      </c>
      <c r="G104" s="15" t="n">
        <v>0.035015</v>
      </c>
      <c r="H104" s="15" t="n">
        <v>0.021284</v>
      </c>
      <c r="I104" s="15" t="n">
        <v>0.050288</v>
      </c>
      <c r="J104" s="15" t="n">
        <v>0.030554</v>
      </c>
      <c r="K104" s="15" t="n">
        <v>0.447232</v>
      </c>
      <c r="L104" s="15" t="n">
        <v>0.32051</v>
      </c>
      <c r="M104" s="15" t="n">
        <v>0.473139</v>
      </c>
      <c r="N104" s="15" t="n">
        <v>0.394625</v>
      </c>
    </row>
    <row r="105" customFormat="false" ht="15" hidden="false" customHeight="false" outlineLevel="0" collapsed="false">
      <c r="A105" s="2" t="n">
        <v>6</v>
      </c>
      <c r="B105" s="2" t="n">
        <v>18</v>
      </c>
      <c r="C105" s="15" t="n">
        <v>0.966333</v>
      </c>
      <c r="D105" s="15" t="n">
        <v>0.929495</v>
      </c>
      <c r="E105" s="15" t="n">
        <v>0.97909</v>
      </c>
      <c r="F105" s="15" t="n">
        <v>0.961418</v>
      </c>
      <c r="G105" s="15" t="n">
        <v>0.035061</v>
      </c>
      <c r="H105" s="15" t="n">
        <v>0.025696</v>
      </c>
      <c r="I105" s="15" t="n">
        <v>0.035061</v>
      </c>
      <c r="J105" s="15" t="n">
        <v>0.035943</v>
      </c>
      <c r="K105" s="15" t="n">
        <v>0.413408</v>
      </c>
      <c r="L105" s="15" t="n">
        <v>0.29307</v>
      </c>
      <c r="M105" s="15" t="n">
        <v>0.599119</v>
      </c>
      <c r="N105" s="15" t="n">
        <v>0.346582</v>
      </c>
    </row>
    <row r="106" customFormat="false" ht="15" hidden="false" customHeight="false" outlineLevel="0" collapsed="false">
      <c r="A106" s="2" t="n">
        <v>6</v>
      </c>
      <c r="B106" s="2" t="n">
        <v>19</v>
      </c>
      <c r="C106" s="15" t="n">
        <v>0.969047</v>
      </c>
      <c r="D106" s="15" t="n">
        <v>0.919964</v>
      </c>
      <c r="E106" s="15" t="n">
        <v>0.987172</v>
      </c>
      <c r="F106" s="15" t="n">
        <v>0.967741</v>
      </c>
      <c r="G106" s="15" t="n">
        <v>0.038406</v>
      </c>
      <c r="H106" s="15" t="n">
        <v>0.021284</v>
      </c>
      <c r="I106" s="15" t="n">
        <v>0.050288</v>
      </c>
      <c r="J106" s="15" t="n">
        <v>0.030554</v>
      </c>
      <c r="K106" s="15" t="n">
        <v>0.566065</v>
      </c>
      <c r="L106" s="15" t="n">
        <v>0.403021</v>
      </c>
      <c r="M106" s="15" t="n">
        <v>0.599119</v>
      </c>
      <c r="N106" s="15" t="n">
        <v>0.507543</v>
      </c>
    </row>
    <row r="107" customFormat="false" ht="15" hidden="false" customHeight="false" outlineLevel="0" collapsed="false">
      <c r="A107" s="2" t="n">
        <v>6</v>
      </c>
      <c r="B107" s="2" t="n">
        <v>20</v>
      </c>
      <c r="C107" s="15" t="n">
        <v>0.903666</v>
      </c>
      <c r="D107" s="15" t="n">
        <v>0.864637</v>
      </c>
      <c r="E107" s="15" t="n">
        <v>0.97909</v>
      </c>
      <c r="F107" s="15" t="n">
        <v>0.91366</v>
      </c>
      <c r="G107" s="15" t="n">
        <v>0.028</v>
      </c>
      <c r="H107" s="15" t="n">
        <v>0.021284</v>
      </c>
      <c r="I107" s="15" t="n">
        <v>0.050288</v>
      </c>
      <c r="J107" s="15" t="n">
        <v>0.030554</v>
      </c>
      <c r="K107" s="15" t="n">
        <v>0.283532</v>
      </c>
      <c r="L107" s="15" t="n">
        <v>0.260642</v>
      </c>
      <c r="M107" s="15" t="n">
        <v>0.283532</v>
      </c>
      <c r="N107" s="15" t="n">
        <v>0.271694</v>
      </c>
    </row>
    <row r="108" customFormat="false" ht="15" hidden="false" customHeight="false" outlineLevel="0" collapsed="false">
      <c r="A108" s="2" t="n">
        <v>7</v>
      </c>
      <c r="B108" s="2" t="n">
        <v>8</v>
      </c>
      <c r="C108" s="15" t="n">
        <v>0.987262</v>
      </c>
      <c r="D108" s="15" t="n">
        <v>0.924366</v>
      </c>
      <c r="E108" s="15" t="n">
        <v>0.99899</v>
      </c>
      <c r="F108" s="15" t="n">
        <v>0.965567</v>
      </c>
      <c r="G108" s="15" t="n">
        <v>0.064098</v>
      </c>
      <c r="H108" s="15" t="n">
        <v>0.036753</v>
      </c>
      <c r="I108" s="15" t="n">
        <v>0.076516</v>
      </c>
      <c r="J108" s="15" t="n">
        <v>0.053735</v>
      </c>
      <c r="K108" s="15" t="n">
        <v>0.535534</v>
      </c>
      <c r="L108" s="15" t="n">
        <v>0.377198</v>
      </c>
      <c r="M108" s="15" t="n">
        <v>0.55845</v>
      </c>
      <c r="N108" s="15" t="n">
        <v>0.521561</v>
      </c>
    </row>
    <row r="109" customFormat="false" ht="15" hidden="false" customHeight="false" outlineLevel="0" collapsed="false">
      <c r="A109" s="2" t="n">
        <v>7</v>
      </c>
      <c r="B109" s="2" t="n">
        <v>9</v>
      </c>
      <c r="C109" s="15" t="n">
        <v>0.939544</v>
      </c>
      <c r="D109" s="15" t="n">
        <v>0.924366</v>
      </c>
      <c r="E109" s="15" t="n">
        <v>0.939544</v>
      </c>
      <c r="F109" s="15" t="n">
        <v>0.941259</v>
      </c>
      <c r="G109" s="15" t="n">
        <v>0.054593</v>
      </c>
      <c r="H109" s="15" t="n">
        <v>0.036753</v>
      </c>
      <c r="I109" s="15" t="n">
        <v>0.076516</v>
      </c>
      <c r="J109" s="15" t="n">
        <v>0.053735</v>
      </c>
      <c r="K109" s="15" t="n">
        <v>0.366746</v>
      </c>
      <c r="L109" s="15" t="n">
        <v>0.366746</v>
      </c>
      <c r="M109" s="15" t="n">
        <v>0.65721</v>
      </c>
      <c r="N109" s="15" t="n">
        <v>0.512167</v>
      </c>
    </row>
    <row r="110" customFormat="false" ht="15" hidden="false" customHeight="false" outlineLevel="0" collapsed="false">
      <c r="A110" s="2" t="n">
        <v>7</v>
      </c>
      <c r="B110" s="2" t="n">
        <v>10</v>
      </c>
      <c r="C110" s="15" t="n">
        <v>0.985353</v>
      </c>
      <c r="D110" s="15" t="n">
        <v>0.924366</v>
      </c>
      <c r="E110" s="15" t="n">
        <v>0.99899</v>
      </c>
      <c r="F110" s="15" t="n">
        <v>0.965567</v>
      </c>
      <c r="G110" s="15" t="n">
        <v>0.064107</v>
      </c>
      <c r="H110" s="15" t="n">
        <v>0.036753</v>
      </c>
      <c r="I110" s="15" t="n">
        <v>0.076516</v>
      </c>
      <c r="J110" s="15" t="n">
        <v>0.053735</v>
      </c>
      <c r="K110" s="15" t="n">
        <v>0.529381</v>
      </c>
      <c r="L110" s="15" t="n">
        <v>0.366746</v>
      </c>
      <c r="M110" s="15" t="n">
        <v>0.55845</v>
      </c>
      <c r="N110" s="15" t="n">
        <v>0.521561</v>
      </c>
    </row>
    <row r="111" customFormat="false" ht="15" hidden="false" customHeight="false" outlineLevel="0" collapsed="false">
      <c r="A111" s="2" t="n">
        <v>7</v>
      </c>
      <c r="B111" s="2" t="n">
        <v>11</v>
      </c>
      <c r="C111" s="15" t="n">
        <v>0.961622</v>
      </c>
      <c r="D111" s="15" t="n">
        <v>0.924366</v>
      </c>
      <c r="E111" s="15" t="n">
        <v>0.987172</v>
      </c>
      <c r="F111" s="15" t="n">
        <v>0.954031</v>
      </c>
      <c r="G111" s="15" t="n">
        <v>0.056366</v>
      </c>
      <c r="H111" s="15" t="n">
        <v>0.036753</v>
      </c>
      <c r="I111" s="15" t="n">
        <v>0.076516</v>
      </c>
      <c r="J111" s="15" t="n">
        <v>0.053735</v>
      </c>
      <c r="K111" s="15" t="n">
        <v>0.512231</v>
      </c>
      <c r="L111" s="15" t="n">
        <v>0.366746</v>
      </c>
      <c r="M111" s="15" t="n">
        <v>0.65721</v>
      </c>
      <c r="N111" s="15" t="n">
        <v>0.512167</v>
      </c>
    </row>
    <row r="112" customFormat="false" ht="15" hidden="false" customHeight="false" outlineLevel="0" collapsed="false">
      <c r="A112" s="2" t="n">
        <v>7</v>
      </c>
      <c r="B112" s="2" t="n">
        <v>12</v>
      </c>
      <c r="C112" s="15" t="n">
        <v>0.962193</v>
      </c>
      <c r="D112" s="15" t="n">
        <v>0.924366</v>
      </c>
      <c r="E112" s="15" t="n">
        <v>0.97909</v>
      </c>
      <c r="F112" s="15" t="n">
        <v>0.941259</v>
      </c>
      <c r="G112" s="15" t="n">
        <v>0.052381</v>
      </c>
      <c r="H112" s="15" t="n">
        <v>0.036753</v>
      </c>
      <c r="I112" s="15" t="n">
        <v>0.076516</v>
      </c>
      <c r="J112" s="15" t="n">
        <v>0.053735</v>
      </c>
      <c r="K112" s="15" t="n">
        <v>0.48515</v>
      </c>
      <c r="L112" s="15" t="n">
        <v>0.366746</v>
      </c>
      <c r="M112" s="15" t="n">
        <v>0.65721</v>
      </c>
      <c r="N112" s="15" t="n">
        <v>0.512167</v>
      </c>
    </row>
    <row r="113" customFormat="false" ht="15" hidden="false" customHeight="false" outlineLevel="0" collapsed="false">
      <c r="A113" s="2" t="n">
        <v>7</v>
      </c>
      <c r="B113" s="2" t="n">
        <v>13</v>
      </c>
      <c r="C113" s="15" t="n">
        <v>0.967625</v>
      </c>
      <c r="D113" s="15" t="n">
        <v>0.933187</v>
      </c>
      <c r="E113" s="15" t="n">
        <v>0.99899</v>
      </c>
      <c r="F113" s="15" t="n">
        <v>0.968998</v>
      </c>
      <c r="G113" s="15" t="n">
        <v>0.059294</v>
      </c>
      <c r="H113" s="15" t="n">
        <v>0.036753</v>
      </c>
      <c r="I113" s="15" t="n">
        <v>0.076516</v>
      </c>
      <c r="J113" s="15" t="n">
        <v>0.053735</v>
      </c>
      <c r="K113" s="15" t="n">
        <v>0.628663</v>
      </c>
      <c r="L113" s="15" t="n">
        <v>0.404089</v>
      </c>
      <c r="M113" s="15" t="n">
        <v>0.65721</v>
      </c>
      <c r="N113" s="15" t="n">
        <v>0.512167</v>
      </c>
    </row>
    <row r="114" customFormat="false" ht="15" hidden="false" customHeight="false" outlineLevel="0" collapsed="false">
      <c r="A114" s="2" t="n">
        <v>7</v>
      </c>
      <c r="B114" s="2" t="n">
        <v>14</v>
      </c>
      <c r="C114" s="15" t="n">
        <v>0.98867</v>
      </c>
      <c r="D114" s="15" t="n">
        <v>0.935884</v>
      </c>
      <c r="E114" s="15" t="n">
        <v>0.99899</v>
      </c>
      <c r="F114" s="15" t="n">
        <v>0.974115</v>
      </c>
      <c r="G114" s="15" t="n">
        <v>0.060858</v>
      </c>
      <c r="H114" s="15" t="n">
        <v>0.036753</v>
      </c>
      <c r="I114" s="15" t="n">
        <v>0.062189</v>
      </c>
      <c r="J114" s="15" t="n">
        <v>0.053735</v>
      </c>
      <c r="K114" s="15" t="n">
        <v>0.520743</v>
      </c>
      <c r="L114" s="15" t="n">
        <v>0.366746</v>
      </c>
      <c r="M114" s="15" t="n">
        <v>0.65721</v>
      </c>
      <c r="N114" s="15" t="n">
        <v>0.512167</v>
      </c>
    </row>
    <row r="115" customFormat="false" ht="15" hidden="false" customHeight="false" outlineLevel="0" collapsed="false">
      <c r="A115" s="2" t="n">
        <v>7</v>
      </c>
      <c r="B115" s="2" t="n">
        <v>15</v>
      </c>
      <c r="C115" s="15" t="n">
        <v>0.956084</v>
      </c>
      <c r="D115" s="15" t="n">
        <v>0.924812</v>
      </c>
      <c r="E115" s="15" t="n">
        <v>0.97909</v>
      </c>
      <c r="F115" s="15" t="n">
        <v>0.962856</v>
      </c>
      <c r="G115" s="15" t="n">
        <v>0.046398</v>
      </c>
      <c r="H115" s="15" t="n">
        <v>0.036753</v>
      </c>
      <c r="I115" s="15" t="n">
        <v>0.076516</v>
      </c>
      <c r="J115" s="15" t="n">
        <v>0.053735</v>
      </c>
      <c r="K115" s="15" t="n">
        <v>0.508306</v>
      </c>
      <c r="L115" s="15" t="n">
        <v>0.366746</v>
      </c>
      <c r="M115" s="15" t="n">
        <v>0.65721</v>
      </c>
      <c r="N115" s="15" t="n">
        <v>0.512167</v>
      </c>
    </row>
    <row r="116" customFormat="false" ht="15" hidden="false" customHeight="false" outlineLevel="0" collapsed="false">
      <c r="A116" s="2" t="n">
        <v>7</v>
      </c>
      <c r="B116" s="2" t="n">
        <v>16</v>
      </c>
      <c r="C116" s="15" t="n">
        <v>0.983428</v>
      </c>
      <c r="D116" s="15" t="n">
        <v>0.924366</v>
      </c>
      <c r="E116" s="15" t="n">
        <v>0.987172</v>
      </c>
      <c r="F116" s="15" t="n">
        <v>0.954031</v>
      </c>
      <c r="G116" s="15" t="n">
        <v>0.062189</v>
      </c>
      <c r="H116" s="15" t="n">
        <v>0.044748</v>
      </c>
      <c r="I116" s="15" t="n">
        <v>0.062189</v>
      </c>
      <c r="J116" s="15" t="n">
        <v>0.059928</v>
      </c>
      <c r="K116" s="15" t="n">
        <v>0.599553</v>
      </c>
      <c r="L116" s="15" t="n">
        <v>0.366746</v>
      </c>
      <c r="M116" s="15" t="n">
        <v>0.65721</v>
      </c>
      <c r="N116" s="15" t="n">
        <v>0.512167</v>
      </c>
    </row>
    <row r="117" customFormat="false" ht="15" hidden="false" customHeight="false" outlineLevel="0" collapsed="false">
      <c r="A117" s="2" t="n">
        <v>7</v>
      </c>
      <c r="B117" s="2" t="n">
        <v>17</v>
      </c>
      <c r="C117" s="15" t="n">
        <v>0.9845</v>
      </c>
      <c r="D117" s="15" t="n">
        <v>0.924366</v>
      </c>
      <c r="E117" s="15" t="n">
        <v>0.99899</v>
      </c>
      <c r="F117" s="15" t="n">
        <v>0.954031</v>
      </c>
      <c r="G117" s="15" t="n">
        <v>0.045392</v>
      </c>
      <c r="H117" s="15" t="n">
        <v>0.036753</v>
      </c>
      <c r="I117" s="15" t="n">
        <v>0.076516</v>
      </c>
      <c r="J117" s="15" t="n">
        <v>0.053735</v>
      </c>
      <c r="K117" s="15" t="n">
        <v>0.614799</v>
      </c>
      <c r="L117" s="15" t="n">
        <v>0.366746</v>
      </c>
      <c r="M117" s="15" t="n">
        <v>0.65721</v>
      </c>
      <c r="N117" s="15" t="n">
        <v>0.512167</v>
      </c>
    </row>
    <row r="118" customFormat="false" ht="15" hidden="false" customHeight="false" outlineLevel="0" collapsed="false">
      <c r="A118" s="2" t="n">
        <v>7</v>
      </c>
      <c r="B118" s="2" t="n">
        <v>18</v>
      </c>
      <c r="C118" s="15" t="n">
        <v>0.973429</v>
      </c>
      <c r="D118" s="15" t="n">
        <v>0.929495</v>
      </c>
      <c r="E118" s="15" t="n">
        <v>0.97909</v>
      </c>
      <c r="F118" s="15" t="n">
        <v>0.961418</v>
      </c>
      <c r="G118" s="15" t="n">
        <v>0.060476</v>
      </c>
      <c r="H118" s="15" t="n">
        <v>0.036753</v>
      </c>
      <c r="I118" s="15" t="n">
        <v>0.076516</v>
      </c>
      <c r="J118" s="15" t="n">
        <v>0.053735</v>
      </c>
      <c r="K118" s="15" t="n">
        <v>0.495786</v>
      </c>
      <c r="L118" s="15" t="n">
        <v>0.366746</v>
      </c>
      <c r="M118" s="15" t="n">
        <v>0.65721</v>
      </c>
      <c r="N118" s="15" t="n">
        <v>0.512167</v>
      </c>
    </row>
    <row r="119" customFormat="false" ht="15" hidden="false" customHeight="false" outlineLevel="0" collapsed="false">
      <c r="A119" s="2" t="n">
        <v>7</v>
      </c>
      <c r="B119" s="2" t="n">
        <v>19</v>
      </c>
      <c r="C119" s="15" t="n">
        <v>0.973893</v>
      </c>
      <c r="D119" s="15" t="n">
        <v>0.924366</v>
      </c>
      <c r="E119" s="15" t="n">
        <v>0.987172</v>
      </c>
      <c r="F119" s="15" t="n">
        <v>0.967741</v>
      </c>
      <c r="G119" s="15" t="n">
        <v>0.039649</v>
      </c>
      <c r="H119" s="15" t="n">
        <v>0.036753</v>
      </c>
      <c r="I119" s="15" t="n">
        <v>0.076516</v>
      </c>
      <c r="J119" s="15" t="n">
        <v>0.053735</v>
      </c>
      <c r="K119" s="15" t="n">
        <v>0.570412</v>
      </c>
      <c r="L119" s="15" t="n">
        <v>0.403021</v>
      </c>
      <c r="M119" s="15" t="n">
        <v>0.65721</v>
      </c>
      <c r="N119" s="15" t="n">
        <v>0.512167</v>
      </c>
    </row>
    <row r="120" customFormat="false" ht="15" hidden="false" customHeight="false" outlineLevel="0" collapsed="false">
      <c r="A120" s="2" t="n">
        <v>7</v>
      </c>
      <c r="B120" s="2" t="n">
        <v>20</v>
      </c>
      <c r="C120" s="15" t="n">
        <v>0.946879</v>
      </c>
      <c r="D120" s="15" t="n">
        <v>0.924366</v>
      </c>
      <c r="E120" s="15" t="n">
        <v>0.97909</v>
      </c>
      <c r="F120" s="15" t="n">
        <v>0.941259</v>
      </c>
      <c r="G120" s="15" t="n">
        <v>0.036753</v>
      </c>
      <c r="H120" s="15" t="n">
        <v>0.036753</v>
      </c>
      <c r="I120" s="15" t="n">
        <v>0.076516</v>
      </c>
      <c r="J120" s="15" t="n">
        <v>0.053735</v>
      </c>
      <c r="K120" s="15" t="n">
        <v>0.497568</v>
      </c>
      <c r="L120" s="15" t="n">
        <v>0.366746</v>
      </c>
      <c r="M120" s="15" t="n">
        <v>0.65721</v>
      </c>
      <c r="N120" s="15" t="n">
        <v>0.512167</v>
      </c>
    </row>
    <row r="121" customFormat="false" ht="15" hidden="false" customHeight="false" outlineLevel="0" collapsed="false">
      <c r="A121" s="2" t="n">
        <v>8</v>
      </c>
      <c r="B121" s="2" t="n">
        <v>9</v>
      </c>
      <c r="C121" s="15" t="n">
        <v>0.964441</v>
      </c>
      <c r="D121" s="15" t="n">
        <v>0.910791</v>
      </c>
      <c r="E121" s="15" t="n">
        <v>0.99899</v>
      </c>
      <c r="F121" s="15" t="n">
        <v>0.965567</v>
      </c>
      <c r="G121" s="15" t="n">
        <v>0.048552</v>
      </c>
      <c r="H121" s="15" t="n">
        <v>0.030029</v>
      </c>
      <c r="I121" s="15" t="n">
        <v>0.065021</v>
      </c>
      <c r="J121" s="15" t="n">
        <v>0.046603</v>
      </c>
      <c r="K121" s="15" t="n">
        <v>0.460908</v>
      </c>
      <c r="L121" s="15" t="n">
        <v>0.377198</v>
      </c>
      <c r="M121" s="15" t="n">
        <v>0.65721</v>
      </c>
      <c r="N121" s="15" t="n">
        <v>0.521561</v>
      </c>
    </row>
    <row r="122" customFormat="false" ht="15" hidden="false" customHeight="false" outlineLevel="0" collapsed="false">
      <c r="A122" s="2" t="n">
        <v>8</v>
      </c>
      <c r="B122" s="2" t="n">
        <v>10</v>
      </c>
      <c r="C122" s="15" t="n">
        <v>0.863297</v>
      </c>
      <c r="D122" s="15" t="n">
        <v>0.863297</v>
      </c>
      <c r="E122" s="15" t="n">
        <v>0.863297</v>
      </c>
      <c r="F122" s="15" t="n">
        <v>0.863297</v>
      </c>
      <c r="G122" s="15" t="n">
        <v>0.028208</v>
      </c>
      <c r="H122" s="15" t="n">
        <v>0.028208</v>
      </c>
      <c r="I122" s="15" t="n">
        <v>0.028208</v>
      </c>
      <c r="J122" s="15" t="n">
        <v>0.028208</v>
      </c>
      <c r="K122" s="15" t="n">
        <v>0.417809</v>
      </c>
      <c r="L122" s="15" t="n">
        <v>0.377198</v>
      </c>
      <c r="M122" s="15" t="n">
        <v>0.507924</v>
      </c>
      <c r="N122" s="15" t="n">
        <v>0.462867</v>
      </c>
    </row>
    <row r="123" customFormat="false" ht="15" hidden="false" customHeight="false" outlineLevel="0" collapsed="false">
      <c r="A123" s="2" t="n">
        <v>8</v>
      </c>
      <c r="B123" s="2" t="n">
        <v>11</v>
      </c>
      <c r="C123" s="15" t="n">
        <v>0.930518</v>
      </c>
      <c r="D123" s="15" t="n">
        <v>0.910791</v>
      </c>
      <c r="E123" s="15" t="n">
        <v>0.99899</v>
      </c>
      <c r="F123" s="15" t="n">
        <v>0.965567</v>
      </c>
      <c r="G123" s="15" t="n">
        <v>0.060912</v>
      </c>
      <c r="H123" s="15" t="n">
        <v>0.030029</v>
      </c>
      <c r="I123" s="15" t="n">
        <v>0.065021</v>
      </c>
      <c r="J123" s="15" t="n">
        <v>0.046603</v>
      </c>
      <c r="K123" s="15" t="n">
        <v>0.569424</v>
      </c>
      <c r="L123" s="15" t="n">
        <v>0.377198</v>
      </c>
      <c r="M123" s="15" t="n">
        <v>0.65721</v>
      </c>
      <c r="N123" s="15" t="n">
        <v>0.521561</v>
      </c>
    </row>
    <row r="124" customFormat="false" ht="15" hidden="false" customHeight="false" outlineLevel="0" collapsed="false">
      <c r="A124" s="2" t="n">
        <v>8</v>
      </c>
      <c r="B124" s="2" t="n">
        <v>12</v>
      </c>
      <c r="C124" s="15" t="n">
        <v>0.953147</v>
      </c>
      <c r="D124" s="15" t="n">
        <v>0.910791</v>
      </c>
      <c r="E124" s="15" t="n">
        <v>0.99899</v>
      </c>
      <c r="F124" s="15" t="n">
        <v>0.965567</v>
      </c>
      <c r="G124" s="15" t="n">
        <v>0.045595</v>
      </c>
      <c r="H124" s="15" t="n">
        <v>0.030029</v>
      </c>
      <c r="I124" s="15" t="n">
        <v>0.065021</v>
      </c>
      <c r="J124" s="15" t="n">
        <v>0.046603</v>
      </c>
      <c r="K124" s="15" t="n">
        <v>0.446578</v>
      </c>
      <c r="L124" s="15" t="n">
        <v>0.377198</v>
      </c>
      <c r="M124" s="15" t="n">
        <v>0.65721</v>
      </c>
      <c r="N124" s="15" t="n">
        <v>0.521561</v>
      </c>
    </row>
    <row r="125" customFormat="false" ht="15" hidden="false" customHeight="false" outlineLevel="0" collapsed="false">
      <c r="A125" s="2" t="n">
        <v>8</v>
      </c>
      <c r="B125" s="2" t="n">
        <v>13</v>
      </c>
      <c r="C125" s="15" t="n">
        <v>0.95686</v>
      </c>
      <c r="D125" s="15" t="n">
        <v>0.933187</v>
      </c>
      <c r="E125" s="15" t="n">
        <v>0.993734</v>
      </c>
      <c r="F125" s="15" t="n">
        <v>0.968998</v>
      </c>
      <c r="G125" s="15" t="n">
        <v>0.059309</v>
      </c>
      <c r="H125" s="15" t="n">
        <v>0.030029</v>
      </c>
      <c r="I125" s="15" t="n">
        <v>0.065021</v>
      </c>
      <c r="J125" s="15" t="n">
        <v>0.046603</v>
      </c>
      <c r="K125" s="15" t="n">
        <v>0.603407</v>
      </c>
      <c r="L125" s="15" t="n">
        <v>0.404089</v>
      </c>
      <c r="M125" s="15" t="n">
        <v>0.65721</v>
      </c>
      <c r="N125" s="15" t="n">
        <v>0.521561</v>
      </c>
    </row>
    <row r="126" customFormat="false" ht="15" hidden="false" customHeight="false" outlineLevel="0" collapsed="false">
      <c r="A126" s="2" t="n">
        <v>8</v>
      </c>
      <c r="B126" s="2" t="n">
        <v>14</v>
      </c>
      <c r="C126" s="15" t="n">
        <v>0.978259</v>
      </c>
      <c r="D126" s="15" t="n">
        <v>0.935884</v>
      </c>
      <c r="E126" s="15" t="n">
        <v>0.982756</v>
      </c>
      <c r="F126" s="15" t="n">
        <v>0.974115</v>
      </c>
      <c r="G126" s="15" t="n">
        <v>0.053423</v>
      </c>
      <c r="H126" s="15" t="n">
        <v>0.030029</v>
      </c>
      <c r="I126" s="15" t="n">
        <v>0.076516</v>
      </c>
      <c r="J126" s="15" t="n">
        <v>0.046603</v>
      </c>
      <c r="K126" s="15" t="n">
        <v>0.561308</v>
      </c>
      <c r="L126" s="15" t="n">
        <v>0.377198</v>
      </c>
      <c r="M126" s="15" t="n">
        <v>0.65721</v>
      </c>
      <c r="N126" s="15" t="n">
        <v>0.521561</v>
      </c>
    </row>
    <row r="127" customFormat="false" ht="15" hidden="false" customHeight="false" outlineLevel="0" collapsed="false">
      <c r="A127" s="2" t="n">
        <v>8</v>
      </c>
      <c r="B127" s="2" t="n">
        <v>15</v>
      </c>
      <c r="C127" s="15" t="n">
        <v>0.934739</v>
      </c>
      <c r="D127" s="15" t="n">
        <v>0.924812</v>
      </c>
      <c r="E127" s="15" t="n">
        <v>0.99899</v>
      </c>
      <c r="F127" s="15" t="n">
        <v>0.965567</v>
      </c>
      <c r="G127" s="15" t="n">
        <v>0.039381</v>
      </c>
      <c r="H127" s="15" t="n">
        <v>0.030029</v>
      </c>
      <c r="I127" s="15" t="n">
        <v>0.065021</v>
      </c>
      <c r="J127" s="15" t="n">
        <v>0.046603</v>
      </c>
      <c r="K127" s="15" t="n">
        <v>0.377198</v>
      </c>
      <c r="L127" s="15" t="n">
        <v>0.377198</v>
      </c>
      <c r="M127" s="15" t="n">
        <v>0.65721</v>
      </c>
      <c r="N127" s="15" t="n">
        <v>0.521561</v>
      </c>
    </row>
    <row r="128" customFormat="false" ht="15" hidden="false" customHeight="false" outlineLevel="0" collapsed="false">
      <c r="A128" s="2" t="n">
        <v>8</v>
      </c>
      <c r="B128" s="2" t="n">
        <v>16</v>
      </c>
      <c r="C128" s="15" t="n">
        <v>0.991175</v>
      </c>
      <c r="D128" s="15" t="n">
        <v>0.910791</v>
      </c>
      <c r="E128" s="15" t="n">
        <v>0.99899</v>
      </c>
      <c r="F128" s="15" t="n">
        <v>0.965567</v>
      </c>
      <c r="G128" s="15" t="n">
        <v>0.065226</v>
      </c>
      <c r="H128" s="15" t="n">
        <v>0.044748</v>
      </c>
      <c r="I128" s="15" t="n">
        <v>0.076516</v>
      </c>
      <c r="J128" s="15" t="n">
        <v>0.059928</v>
      </c>
      <c r="K128" s="15" t="n">
        <v>0.602328</v>
      </c>
      <c r="L128" s="15" t="n">
        <v>0.377198</v>
      </c>
      <c r="M128" s="15" t="n">
        <v>0.65721</v>
      </c>
      <c r="N128" s="15" t="n">
        <v>0.521561</v>
      </c>
    </row>
    <row r="129" customFormat="false" ht="15" hidden="false" customHeight="false" outlineLevel="0" collapsed="false">
      <c r="A129" s="2" t="n">
        <v>8</v>
      </c>
      <c r="B129" s="2" t="n">
        <v>17</v>
      </c>
      <c r="C129" s="15" t="n">
        <v>0.946084</v>
      </c>
      <c r="D129" s="15" t="n">
        <v>0.910791</v>
      </c>
      <c r="E129" s="15" t="n">
        <v>0.946084</v>
      </c>
      <c r="F129" s="15" t="n">
        <v>0.965567</v>
      </c>
      <c r="G129" s="15" t="n">
        <v>0.048093</v>
      </c>
      <c r="H129" s="15" t="n">
        <v>0.030029</v>
      </c>
      <c r="I129" s="15" t="n">
        <v>0.065021</v>
      </c>
      <c r="J129" s="15" t="n">
        <v>0.046603</v>
      </c>
      <c r="K129" s="15" t="n">
        <v>0.486102</v>
      </c>
      <c r="L129" s="15" t="n">
        <v>0.377198</v>
      </c>
      <c r="M129" s="15" t="n">
        <v>0.65721</v>
      </c>
      <c r="N129" s="15" t="n">
        <v>0.521561</v>
      </c>
    </row>
    <row r="130" customFormat="false" ht="15" hidden="false" customHeight="false" outlineLevel="0" collapsed="false">
      <c r="A130" s="2" t="n">
        <v>8</v>
      </c>
      <c r="B130" s="2" t="n">
        <v>18</v>
      </c>
      <c r="C130" s="15" t="n">
        <v>0.980018</v>
      </c>
      <c r="D130" s="15" t="n">
        <v>0.929495</v>
      </c>
      <c r="E130" s="15" t="n">
        <v>0.99899</v>
      </c>
      <c r="F130" s="15" t="n">
        <v>0.965567</v>
      </c>
      <c r="G130" s="15" t="n">
        <v>0.062511</v>
      </c>
      <c r="H130" s="15" t="n">
        <v>0.030029</v>
      </c>
      <c r="I130" s="15" t="n">
        <v>0.065021</v>
      </c>
      <c r="J130" s="15" t="n">
        <v>0.046603</v>
      </c>
      <c r="K130" s="15" t="n">
        <v>0.488796</v>
      </c>
      <c r="L130" s="15" t="n">
        <v>0.377198</v>
      </c>
      <c r="M130" s="15" t="n">
        <v>0.65721</v>
      </c>
      <c r="N130" s="15" t="n">
        <v>0.521561</v>
      </c>
    </row>
    <row r="131" customFormat="false" ht="15" hidden="false" customHeight="false" outlineLevel="0" collapsed="false">
      <c r="A131" s="2" t="n">
        <v>8</v>
      </c>
      <c r="B131" s="2" t="n">
        <v>19</v>
      </c>
      <c r="C131" s="15" t="n">
        <v>0.980653</v>
      </c>
      <c r="D131" s="15" t="n">
        <v>0.919964</v>
      </c>
      <c r="E131" s="15" t="n">
        <v>0.99899</v>
      </c>
      <c r="F131" s="15" t="n">
        <v>0.967741</v>
      </c>
      <c r="G131" s="15" t="n">
        <v>0.03994</v>
      </c>
      <c r="H131" s="15" t="n">
        <v>0.030029</v>
      </c>
      <c r="I131" s="15" t="n">
        <v>0.065021</v>
      </c>
      <c r="J131" s="15" t="n">
        <v>0.046603</v>
      </c>
      <c r="K131" s="15" t="n">
        <v>0.472836</v>
      </c>
      <c r="L131" s="15" t="n">
        <v>0.403021</v>
      </c>
      <c r="M131" s="15" t="n">
        <v>0.65721</v>
      </c>
      <c r="N131" s="15" t="n">
        <v>0.521561</v>
      </c>
    </row>
    <row r="132" customFormat="false" ht="15" hidden="false" customHeight="false" outlineLevel="0" collapsed="false">
      <c r="A132" s="2" t="n">
        <v>8</v>
      </c>
      <c r="B132" s="2" t="n">
        <v>20</v>
      </c>
      <c r="C132" s="15" t="n">
        <v>0.953009</v>
      </c>
      <c r="D132" s="15" t="n">
        <v>0.910791</v>
      </c>
      <c r="E132" s="15" t="n">
        <v>0.99899</v>
      </c>
      <c r="F132" s="15" t="n">
        <v>0.965567</v>
      </c>
      <c r="G132" s="15" t="n">
        <v>0.039041</v>
      </c>
      <c r="H132" s="15" t="n">
        <v>0.030029</v>
      </c>
      <c r="I132" s="15" t="n">
        <v>0.065021</v>
      </c>
      <c r="J132" s="15" t="n">
        <v>0.046603</v>
      </c>
      <c r="K132" s="15" t="n">
        <v>0.47938</v>
      </c>
      <c r="L132" s="15" t="n">
        <v>0.377198</v>
      </c>
      <c r="M132" s="15" t="n">
        <v>0.65721</v>
      </c>
      <c r="N132" s="15" t="n">
        <v>0.521561</v>
      </c>
    </row>
    <row r="133" customFormat="false" ht="15" hidden="false" customHeight="false" outlineLevel="0" collapsed="false">
      <c r="A133" s="2" t="n">
        <v>9</v>
      </c>
      <c r="B133" s="2" t="n">
        <v>10</v>
      </c>
      <c r="C133" s="15" t="n">
        <v>0.965971</v>
      </c>
      <c r="D133" s="15" t="n">
        <v>0.910791</v>
      </c>
      <c r="E133" s="15" t="n">
        <v>0.99899</v>
      </c>
      <c r="F133" s="15" t="n">
        <v>0.965567</v>
      </c>
      <c r="G133" s="15" t="n">
        <v>0.048851</v>
      </c>
      <c r="H133" s="15" t="n">
        <v>0.030029</v>
      </c>
      <c r="I133" s="15" t="n">
        <v>0.065021</v>
      </c>
      <c r="J133" s="15" t="n">
        <v>0.046603</v>
      </c>
      <c r="K133" s="15" t="n">
        <v>0.4525</v>
      </c>
      <c r="L133" s="15" t="n">
        <v>0.363588</v>
      </c>
      <c r="M133" s="15" t="n">
        <v>0.65721</v>
      </c>
      <c r="N133" s="15" t="n">
        <v>0.521561</v>
      </c>
    </row>
    <row r="134" customFormat="false" ht="15" hidden="false" customHeight="false" outlineLevel="0" collapsed="false">
      <c r="A134" s="2" t="n">
        <v>9</v>
      </c>
      <c r="B134" s="2" t="n">
        <v>11</v>
      </c>
      <c r="C134" s="15" t="n">
        <v>0.948686</v>
      </c>
      <c r="D134" s="15" t="n">
        <v>0.909305</v>
      </c>
      <c r="E134" s="15" t="n">
        <v>0.987172</v>
      </c>
      <c r="F134" s="15" t="n">
        <v>0.954031</v>
      </c>
      <c r="G134" s="15" t="n">
        <v>0.038321</v>
      </c>
      <c r="H134" s="15" t="n">
        <v>0.020808</v>
      </c>
      <c r="I134" s="15" t="n">
        <v>0.050288</v>
      </c>
      <c r="J134" s="15" t="n">
        <v>0.030554</v>
      </c>
      <c r="K134" s="15" t="n">
        <v>0.375353</v>
      </c>
      <c r="L134" s="15" t="n">
        <v>0.313653</v>
      </c>
      <c r="M134" s="15" t="n">
        <v>0.599119</v>
      </c>
      <c r="N134" s="15" t="n">
        <v>0.410867</v>
      </c>
    </row>
    <row r="135" customFormat="false" ht="15" hidden="false" customHeight="false" outlineLevel="0" collapsed="false">
      <c r="A135" s="2" t="n">
        <v>9</v>
      </c>
      <c r="B135" s="2" t="n">
        <v>12</v>
      </c>
      <c r="C135" s="15" t="n">
        <v>0.923627</v>
      </c>
      <c r="D135" s="15" t="n">
        <v>0.864637</v>
      </c>
      <c r="E135" s="15" t="n">
        <v>0.97909</v>
      </c>
      <c r="F135" s="15" t="n">
        <v>0.91366</v>
      </c>
      <c r="G135" s="15" t="n">
        <v>0.022165</v>
      </c>
      <c r="H135" s="15" t="n">
        <v>0.020808</v>
      </c>
      <c r="I135" s="15" t="n">
        <v>0.050288</v>
      </c>
      <c r="J135" s="15" t="n">
        <v>0.026033</v>
      </c>
      <c r="K135" s="15" t="n">
        <v>0.253809</v>
      </c>
      <c r="L135" s="15" t="n">
        <v>0.253809</v>
      </c>
      <c r="M135" s="15" t="n">
        <v>0.283532</v>
      </c>
      <c r="N135" s="15" t="n">
        <v>0.271694</v>
      </c>
    </row>
    <row r="136" customFormat="false" ht="15" hidden="false" customHeight="false" outlineLevel="0" collapsed="false">
      <c r="A136" s="2" t="n">
        <v>9</v>
      </c>
      <c r="B136" s="2" t="n">
        <v>13</v>
      </c>
      <c r="C136" s="15" t="n">
        <v>0.98613</v>
      </c>
      <c r="D136" s="15" t="n">
        <v>0.933187</v>
      </c>
      <c r="E136" s="15" t="n">
        <v>0.99899</v>
      </c>
      <c r="F136" s="15" t="n">
        <v>0.968998</v>
      </c>
      <c r="G136" s="15" t="n">
        <v>0.032678</v>
      </c>
      <c r="H136" s="15" t="n">
        <v>0.02113</v>
      </c>
      <c r="I136" s="15" t="n">
        <v>0.050288</v>
      </c>
      <c r="J136" s="15" t="n">
        <v>0.030554</v>
      </c>
      <c r="K136" s="15" t="n">
        <v>0.449034</v>
      </c>
      <c r="L136" s="15" t="n">
        <v>0.404089</v>
      </c>
      <c r="M136" s="15" t="n">
        <v>0.493172</v>
      </c>
      <c r="N136" s="15" t="n">
        <v>0.451208</v>
      </c>
    </row>
    <row r="137" customFormat="false" ht="15" hidden="false" customHeight="false" outlineLevel="0" collapsed="false">
      <c r="A137" s="2" t="n">
        <v>9</v>
      </c>
      <c r="B137" s="2" t="n">
        <v>14</v>
      </c>
      <c r="C137" s="15" t="n">
        <v>0.96128</v>
      </c>
      <c r="D137" s="15" t="n">
        <v>0.935884</v>
      </c>
      <c r="E137" s="15" t="n">
        <v>0.99899</v>
      </c>
      <c r="F137" s="15" t="n">
        <v>0.974115</v>
      </c>
      <c r="G137" s="15" t="n">
        <v>0.046593</v>
      </c>
      <c r="H137" s="15" t="n">
        <v>0.028567</v>
      </c>
      <c r="I137" s="15" t="n">
        <v>0.076516</v>
      </c>
      <c r="J137" s="15" t="n">
        <v>0.042411</v>
      </c>
      <c r="K137" s="15" t="n">
        <v>0.383343</v>
      </c>
      <c r="L137" s="15" t="n">
        <v>0.350786</v>
      </c>
      <c r="M137" s="15" t="n">
        <v>0.507388</v>
      </c>
      <c r="N137" s="15" t="n">
        <v>0.464742</v>
      </c>
    </row>
    <row r="138" customFormat="false" ht="15" hidden="false" customHeight="false" outlineLevel="0" collapsed="false">
      <c r="A138" s="2" t="n">
        <v>9</v>
      </c>
      <c r="B138" s="2" t="n">
        <v>15</v>
      </c>
      <c r="C138" s="15" t="n">
        <v>0.953323</v>
      </c>
      <c r="D138" s="15" t="n">
        <v>0.924812</v>
      </c>
      <c r="E138" s="15" t="n">
        <v>0.97909</v>
      </c>
      <c r="F138" s="15" t="n">
        <v>0.962856</v>
      </c>
      <c r="G138" s="15" t="n">
        <v>0.022637</v>
      </c>
      <c r="H138" s="15" t="n">
        <v>0.020808</v>
      </c>
      <c r="I138" s="15" t="n">
        <v>0.050288</v>
      </c>
      <c r="J138" s="15" t="n">
        <v>0.030554</v>
      </c>
      <c r="K138" s="15" t="n">
        <v>0.320505</v>
      </c>
      <c r="L138" s="15" t="n">
        <v>0.29307</v>
      </c>
      <c r="M138" s="15" t="n">
        <v>0.599119</v>
      </c>
      <c r="N138" s="15" t="n">
        <v>0.346582</v>
      </c>
    </row>
    <row r="139" customFormat="false" ht="15" hidden="false" customHeight="false" outlineLevel="0" collapsed="false">
      <c r="A139" s="2" t="n">
        <v>9</v>
      </c>
      <c r="B139" s="2" t="n">
        <v>16</v>
      </c>
      <c r="C139" s="15" t="n">
        <v>0.95691</v>
      </c>
      <c r="D139" s="15" t="n">
        <v>0.909305</v>
      </c>
      <c r="E139" s="15" t="n">
        <v>0.987172</v>
      </c>
      <c r="F139" s="15" t="n">
        <v>0.954031</v>
      </c>
      <c r="G139" s="15" t="n">
        <v>0.066206</v>
      </c>
      <c r="H139" s="15" t="n">
        <v>0.044748</v>
      </c>
      <c r="I139" s="15" t="n">
        <v>0.076516</v>
      </c>
      <c r="J139" s="15" t="n">
        <v>0.059928</v>
      </c>
      <c r="K139" s="15" t="n">
        <v>0.436367</v>
      </c>
      <c r="L139" s="15" t="n">
        <v>0.313653</v>
      </c>
      <c r="M139" s="15" t="n">
        <v>0.599119</v>
      </c>
      <c r="N139" s="15" t="n">
        <v>0.410867</v>
      </c>
    </row>
    <row r="140" customFormat="false" ht="15" hidden="false" customHeight="false" outlineLevel="0" collapsed="false">
      <c r="A140" s="2" t="n">
        <v>9</v>
      </c>
      <c r="B140" s="2" t="n">
        <v>17</v>
      </c>
      <c r="C140" s="15" t="n">
        <v>0.963658</v>
      </c>
      <c r="D140" s="15" t="n">
        <v>0.903745</v>
      </c>
      <c r="E140" s="15" t="n">
        <v>0.99899</v>
      </c>
      <c r="F140" s="15" t="n">
        <v>0.954031</v>
      </c>
      <c r="G140" s="15" t="n">
        <v>0.029633</v>
      </c>
      <c r="H140" s="15" t="n">
        <v>0.020808</v>
      </c>
      <c r="I140" s="15" t="n">
        <v>0.050288</v>
      </c>
      <c r="J140" s="15" t="n">
        <v>0.030554</v>
      </c>
      <c r="K140" s="15" t="n">
        <v>0.41071</v>
      </c>
      <c r="L140" s="15" t="n">
        <v>0.32051</v>
      </c>
      <c r="M140" s="15" t="n">
        <v>0.473139</v>
      </c>
      <c r="N140" s="15" t="n">
        <v>0.394625</v>
      </c>
    </row>
    <row r="141" customFormat="false" ht="15" hidden="false" customHeight="false" outlineLevel="0" collapsed="false">
      <c r="A141" s="2" t="n">
        <v>9</v>
      </c>
      <c r="B141" s="2" t="n">
        <v>18</v>
      </c>
      <c r="C141" s="15" t="n">
        <v>0.941142</v>
      </c>
      <c r="D141" s="15" t="n">
        <v>0.929495</v>
      </c>
      <c r="E141" s="15" t="n">
        <v>0.97909</v>
      </c>
      <c r="F141" s="15" t="n">
        <v>0.961418</v>
      </c>
      <c r="G141" s="15" t="n">
        <v>0.025696</v>
      </c>
      <c r="H141" s="15" t="n">
        <v>0.025696</v>
      </c>
      <c r="I141" s="15" t="n">
        <v>0.035061</v>
      </c>
      <c r="J141" s="15" t="n">
        <v>0.035943</v>
      </c>
      <c r="K141" s="15" t="n">
        <v>0.321254</v>
      </c>
      <c r="L141" s="15" t="n">
        <v>0.29307</v>
      </c>
      <c r="M141" s="15" t="n">
        <v>0.599119</v>
      </c>
      <c r="N141" s="15" t="n">
        <v>0.346582</v>
      </c>
    </row>
    <row r="142" customFormat="false" ht="15" hidden="false" customHeight="false" outlineLevel="0" collapsed="false">
      <c r="A142" s="2" t="n">
        <v>9</v>
      </c>
      <c r="B142" s="2" t="n">
        <v>19</v>
      </c>
      <c r="C142" s="15" t="n">
        <v>0.987172</v>
      </c>
      <c r="D142" s="15" t="n">
        <v>0.919964</v>
      </c>
      <c r="E142" s="15" t="n">
        <v>0.987172</v>
      </c>
      <c r="F142" s="15" t="n">
        <v>0.967741</v>
      </c>
      <c r="G142" s="15" t="n">
        <v>0.032998</v>
      </c>
      <c r="H142" s="15" t="n">
        <v>0.020808</v>
      </c>
      <c r="I142" s="15" t="n">
        <v>0.050288</v>
      </c>
      <c r="J142" s="15" t="n">
        <v>0.030554</v>
      </c>
      <c r="K142" s="15" t="n">
        <v>0.491875</v>
      </c>
      <c r="L142" s="15" t="n">
        <v>0.403021</v>
      </c>
      <c r="M142" s="15" t="n">
        <v>0.599119</v>
      </c>
      <c r="N142" s="15" t="n">
        <v>0.507543</v>
      </c>
    </row>
    <row r="143" customFormat="false" ht="15" hidden="false" customHeight="false" outlineLevel="0" collapsed="false">
      <c r="A143" s="2" t="n">
        <v>9</v>
      </c>
      <c r="B143" s="2" t="n">
        <v>20</v>
      </c>
      <c r="C143" s="15" t="n">
        <v>0.888898</v>
      </c>
      <c r="D143" s="15" t="n">
        <v>0.864637</v>
      </c>
      <c r="E143" s="15" t="n">
        <v>0.97909</v>
      </c>
      <c r="F143" s="15" t="n">
        <v>0.91366</v>
      </c>
      <c r="G143" s="15" t="n">
        <v>0.024259</v>
      </c>
      <c r="H143" s="15" t="n">
        <v>0.020808</v>
      </c>
      <c r="I143" s="15" t="n">
        <v>0.050288</v>
      </c>
      <c r="J143" s="15" t="n">
        <v>0.030554</v>
      </c>
      <c r="K143" s="15" t="n">
        <v>0.269197</v>
      </c>
      <c r="L143" s="15" t="n">
        <v>0.260642</v>
      </c>
      <c r="M143" s="15" t="n">
        <v>0.283532</v>
      </c>
      <c r="N143" s="15" t="n">
        <v>0.271694</v>
      </c>
    </row>
    <row r="144" customFormat="false" ht="15" hidden="false" customHeight="false" outlineLevel="0" collapsed="false">
      <c r="A144" s="2" t="n">
        <v>10</v>
      </c>
      <c r="B144" s="2" t="n">
        <v>11</v>
      </c>
      <c r="C144" s="15" t="n">
        <v>0.950325</v>
      </c>
      <c r="D144" s="15" t="n">
        <v>0.910791</v>
      </c>
      <c r="E144" s="15" t="n">
        <v>0.99899</v>
      </c>
      <c r="F144" s="15" t="n">
        <v>0.965567</v>
      </c>
      <c r="G144" s="15" t="n">
        <v>0.054175</v>
      </c>
      <c r="H144" s="15" t="n">
        <v>0.030029</v>
      </c>
      <c r="I144" s="15" t="n">
        <v>0.065021</v>
      </c>
      <c r="J144" s="15" t="n">
        <v>0.046603</v>
      </c>
      <c r="K144" s="15" t="n">
        <v>0.482707</v>
      </c>
      <c r="L144" s="15" t="n">
        <v>0.363588</v>
      </c>
      <c r="M144" s="15" t="n">
        <v>0.65721</v>
      </c>
      <c r="N144" s="15" t="n">
        <v>0.521561</v>
      </c>
    </row>
    <row r="145" customFormat="false" ht="15" hidden="false" customHeight="false" outlineLevel="0" collapsed="false">
      <c r="A145" s="2" t="n">
        <v>10</v>
      </c>
      <c r="B145" s="2" t="n">
        <v>12</v>
      </c>
      <c r="C145" s="15" t="n">
        <v>0.977615</v>
      </c>
      <c r="D145" s="15" t="n">
        <v>0.910791</v>
      </c>
      <c r="E145" s="15" t="n">
        <v>0.99899</v>
      </c>
      <c r="F145" s="15" t="n">
        <v>0.965567</v>
      </c>
      <c r="G145" s="15" t="n">
        <v>0.053652</v>
      </c>
      <c r="H145" s="15" t="n">
        <v>0.030029</v>
      </c>
      <c r="I145" s="15" t="n">
        <v>0.065021</v>
      </c>
      <c r="J145" s="15" t="n">
        <v>0.046603</v>
      </c>
      <c r="K145" s="15" t="n">
        <v>0.547605</v>
      </c>
      <c r="L145" s="15" t="n">
        <v>0.363588</v>
      </c>
      <c r="M145" s="15" t="n">
        <v>0.65721</v>
      </c>
      <c r="N145" s="15" t="n">
        <v>0.521561</v>
      </c>
    </row>
    <row r="146" customFormat="false" ht="15" hidden="false" customHeight="false" outlineLevel="0" collapsed="false">
      <c r="A146" s="2" t="n">
        <v>10</v>
      </c>
      <c r="B146" s="2" t="n">
        <v>13</v>
      </c>
      <c r="C146" s="15" t="n">
        <v>0.978101</v>
      </c>
      <c r="D146" s="15" t="n">
        <v>0.933187</v>
      </c>
      <c r="E146" s="15" t="n">
        <v>0.993734</v>
      </c>
      <c r="F146" s="15" t="n">
        <v>0.968998</v>
      </c>
      <c r="G146" s="15" t="n">
        <v>0.045553</v>
      </c>
      <c r="H146" s="15" t="n">
        <v>0.030029</v>
      </c>
      <c r="I146" s="15" t="n">
        <v>0.065021</v>
      </c>
      <c r="J146" s="15" t="n">
        <v>0.046603</v>
      </c>
      <c r="K146" s="15" t="n">
        <v>0.572594</v>
      </c>
      <c r="L146" s="15" t="n">
        <v>0.404089</v>
      </c>
      <c r="M146" s="15" t="n">
        <v>0.65721</v>
      </c>
      <c r="N146" s="15" t="n">
        <v>0.521561</v>
      </c>
    </row>
    <row r="147" customFormat="false" ht="15" hidden="false" customHeight="false" outlineLevel="0" collapsed="false">
      <c r="A147" s="2" t="n">
        <v>10</v>
      </c>
      <c r="B147" s="2" t="n">
        <v>14</v>
      </c>
      <c r="C147" s="15" t="n">
        <v>0.982756</v>
      </c>
      <c r="D147" s="15" t="n">
        <v>0.935884</v>
      </c>
      <c r="E147" s="15" t="n">
        <v>0.982756</v>
      </c>
      <c r="F147" s="15" t="n">
        <v>0.974115</v>
      </c>
      <c r="G147" s="15" t="n">
        <v>0.043969</v>
      </c>
      <c r="H147" s="15" t="n">
        <v>0.030029</v>
      </c>
      <c r="I147" s="15" t="n">
        <v>0.076516</v>
      </c>
      <c r="J147" s="15" t="n">
        <v>0.046603</v>
      </c>
      <c r="K147" s="15" t="n">
        <v>0.537072</v>
      </c>
      <c r="L147" s="15" t="n">
        <v>0.363588</v>
      </c>
      <c r="M147" s="15" t="n">
        <v>0.65721</v>
      </c>
      <c r="N147" s="15" t="n">
        <v>0.521561</v>
      </c>
    </row>
    <row r="148" customFormat="false" ht="15" hidden="false" customHeight="false" outlineLevel="0" collapsed="false">
      <c r="A148" s="2" t="n">
        <v>10</v>
      </c>
      <c r="B148" s="2" t="n">
        <v>15</v>
      </c>
      <c r="C148" s="15" t="n">
        <v>0.956917</v>
      </c>
      <c r="D148" s="15" t="n">
        <v>0.924812</v>
      </c>
      <c r="E148" s="15" t="n">
        <v>0.99899</v>
      </c>
      <c r="F148" s="15" t="n">
        <v>0.965567</v>
      </c>
      <c r="G148" s="15" t="n">
        <v>0.047616</v>
      </c>
      <c r="H148" s="15" t="n">
        <v>0.030029</v>
      </c>
      <c r="I148" s="15" t="n">
        <v>0.065021</v>
      </c>
      <c r="J148" s="15" t="n">
        <v>0.046603</v>
      </c>
      <c r="K148" s="15" t="n">
        <v>0.439591</v>
      </c>
      <c r="L148" s="15" t="n">
        <v>0.363588</v>
      </c>
      <c r="M148" s="15" t="n">
        <v>0.65721</v>
      </c>
      <c r="N148" s="15" t="n">
        <v>0.521561</v>
      </c>
    </row>
    <row r="149" customFormat="false" ht="15" hidden="false" customHeight="false" outlineLevel="0" collapsed="false">
      <c r="A149" s="2" t="n">
        <v>10</v>
      </c>
      <c r="B149" s="2" t="n">
        <v>16</v>
      </c>
      <c r="C149" s="15" t="n">
        <v>0.980368</v>
      </c>
      <c r="D149" s="15" t="n">
        <v>0.910791</v>
      </c>
      <c r="E149" s="15" t="n">
        <v>0.99899</v>
      </c>
      <c r="F149" s="15" t="n">
        <v>0.965567</v>
      </c>
      <c r="G149" s="15" t="n">
        <v>0.070579</v>
      </c>
      <c r="H149" s="15" t="n">
        <v>0.044748</v>
      </c>
      <c r="I149" s="15" t="n">
        <v>0.076516</v>
      </c>
      <c r="J149" s="15" t="n">
        <v>0.059928</v>
      </c>
      <c r="K149" s="15" t="n">
        <v>0.523614</v>
      </c>
      <c r="L149" s="15" t="n">
        <v>0.363588</v>
      </c>
      <c r="M149" s="15" t="n">
        <v>0.65721</v>
      </c>
      <c r="N149" s="15" t="n">
        <v>0.521561</v>
      </c>
    </row>
    <row r="150" customFormat="false" ht="15" hidden="false" customHeight="false" outlineLevel="0" collapsed="false">
      <c r="A150" s="2" t="n">
        <v>10</v>
      </c>
      <c r="B150" s="2" t="n">
        <v>17</v>
      </c>
      <c r="C150" s="15" t="n">
        <v>0.93461</v>
      </c>
      <c r="D150" s="15" t="n">
        <v>0.910791</v>
      </c>
      <c r="E150" s="15" t="n">
        <v>0.946084</v>
      </c>
      <c r="F150" s="15" t="n">
        <v>0.965567</v>
      </c>
      <c r="G150" s="15" t="n">
        <v>0.030468</v>
      </c>
      <c r="H150" s="15" t="n">
        <v>0.030029</v>
      </c>
      <c r="I150" s="15" t="n">
        <v>0.065021</v>
      </c>
      <c r="J150" s="15" t="n">
        <v>0.046603</v>
      </c>
      <c r="K150" s="15" t="n">
        <v>0.485457</v>
      </c>
      <c r="L150" s="15" t="n">
        <v>0.363588</v>
      </c>
      <c r="M150" s="15" t="n">
        <v>0.65721</v>
      </c>
      <c r="N150" s="15" t="n">
        <v>0.521561</v>
      </c>
    </row>
    <row r="151" customFormat="false" ht="15" hidden="false" customHeight="false" outlineLevel="0" collapsed="false">
      <c r="A151" s="2" t="n">
        <v>10</v>
      </c>
      <c r="B151" s="2" t="n">
        <v>18</v>
      </c>
      <c r="C151" s="15" t="n">
        <v>0.984604</v>
      </c>
      <c r="D151" s="15" t="n">
        <v>0.929495</v>
      </c>
      <c r="E151" s="15" t="n">
        <v>0.99899</v>
      </c>
      <c r="F151" s="15" t="n">
        <v>0.965567</v>
      </c>
      <c r="G151" s="15" t="n">
        <v>0.045153</v>
      </c>
      <c r="H151" s="15" t="n">
        <v>0.030029</v>
      </c>
      <c r="I151" s="15" t="n">
        <v>0.065021</v>
      </c>
      <c r="J151" s="15" t="n">
        <v>0.046603</v>
      </c>
      <c r="K151" s="15" t="n">
        <v>0.452304</v>
      </c>
      <c r="L151" s="15" t="n">
        <v>0.363588</v>
      </c>
      <c r="M151" s="15" t="n">
        <v>0.65721</v>
      </c>
      <c r="N151" s="15" t="n">
        <v>0.521561</v>
      </c>
    </row>
    <row r="152" customFormat="false" ht="15" hidden="false" customHeight="false" outlineLevel="0" collapsed="false">
      <c r="A152" s="2" t="n">
        <v>10</v>
      </c>
      <c r="B152" s="2" t="n">
        <v>19</v>
      </c>
      <c r="C152" s="15" t="n">
        <v>0.964416</v>
      </c>
      <c r="D152" s="15" t="n">
        <v>0.919964</v>
      </c>
      <c r="E152" s="15" t="n">
        <v>0.99899</v>
      </c>
      <c r="F152" s="15" t="n">
        <v>0.967741</v>
      </c>
      <c r="G152" s="15" t="n">
        <v>0.048961</v>
      </c>
      <c r="H152" s="15" t="n">
        <v>0.030029</v>
      </c>
      <c r="I152" s="15" t="n">
        <v>0.065021</v>
      </c>
      <c r="J152" s="15" t="n">
        <v>0.046603</v>
      </c>
      <c r="K152" s="15" t="n">
        <v>0.516391</v>
      </c>
      <c r="L152" s="15" t="n">
        <v>0.403021</v>
      </c>
      <c r="M152" s="15" t="n">
        <v>0.65721</v>
      </c>
      <c r="N152" s="15" t="n">
        <v>0.521561</v>
      </c>
    </row>
    <row r="153" customFormat="false" ht="15" hidden="false" customHeight="false" outlineLevel="0" collapsed="false">
      <c r="A153" s="2" t="n">
        <v>10</v>
      </c>
      <c r="B153" s="2" t="n">
        <v>20</v>
      </c>
      <c r="C153" s="15" t="n">
        <v>0.963066</v>
      </c>
      <c r="D153" s="15" t="n">
        <v>0.910791</v>
      </c>
      <c r="E153" s="15" t="n">
        <v>0.99899</v>
      </c>
      <c r="F153" s="15" t="n">
        <v>0.965567</v>
      </c>
      <c r="G153" s="15" t="n">
        <v>0.037705</v>
      </c>
      <c r="H153" s="15" t="n">
        <v>0.030029</v>
      </c>
      <c r="I153" s="15" t="n">
        <v>0.065021</v>
      </c>
      <c r="J153" s="15" t="n">
        <v>0.046603</v>
      </c>
      <c r="K153" s="15" t="n">
        <v>0.459853</v>
      </c>
      <c r="L153" s="15" t="n">
        <v>0.363588</v>
      </c>
      <c r="M153" s="15" t="n">
        <v>0.65721</v>
      </c>
      <c r="N153" s="15" t="n">
        <v>0.521561</v>
      </c>
    </row>
    <row r="154" customFormat="false" ht="15" hidden="false" customHeight="false" outlineLevel="0" collapsed="false">
      <c r="A154" s="2" t="n">
        <v>11</v>
      </c>
      <c r="B154" s="2" t="n">
        <v>12</v>
      </c>
      <c r="C154" s="15" t="n">
        <v>0.923476</v>
      </c>
      <c r="D154" s="15" t="n">
        <v>0.909305</v>
      </c>
      <c r="E154" s="15" t="n">
        <v>0.987172</v>
      </c>
      <c r="F154" s="15" t="n">
        <v>0.954031</v>
      </c>
      <c r="G154" s="15" t="n">
        <v>0.03601</v>
      </c>
      <c r="H154" s="15" t="n">
        <v>0.019638</v>
      </c>
      <c r="I154" s="15" t="n">
        <v>0.045656</v>
      </c>
      <c r="J154" s="15" t="n">
        <v>0.030554</v>
      </c>
      <c r="K154" s="15" t="n">
        <v>0.345325</v>
      </c>
      <c r="L154" s="15" t="n">
        <v>0.313653</v>
      </c>
      <c r="M154" s="15" t="n">
        <v>0.599119</v>
      </c>
      <c r="N154" s="15" t="n">
        <v>0.410867</v>
      </c>
    </row>
    <row r="155" customFormat="false" ht="15" hidden="false" customHeight="false" outlineLevel="0" collapsed="false">
      <c r="A155" s="2" t="n">
        <v>11</v>
      </c>
      <c r="B155" s="2" t="n">
        <v>13</v>
      </c>
      <c r="C155" s="15" t="n">
        <v>0.938388</v>
      </c>
      <c r="D155" s="15" t="n">
        <v>0.933187</v>
      </c>
      <c r="E155" s="15" t="n">
        <v>0.99899</v>
      </c>
      <c r="F155" s="15" t="n">
        <v>0.968998</v>
      </c>
      <c r="G155" s="15" t="n">
        <v>0.024397</v>
      </c>
      <c r="H155" s="15" t="n">
        <v>0.02113</v>
      </c>
      <c r="I155" s="15" t="n">
        <v>0.025506</v>
      </c>
      <c r="J155" s="15" t="n">
        <v>0.025424</v>
      </c>
      <c r="K155" s="15" t="n">
        <v>0.404089</v>
      </c>
      <c r="L155" s="15" t="n">
        <v>0.404089</v>
      </c>
      <c r="M155" s="15" t="n">
        <v>0.599119</v>
      </c>
      <c r="N155" s="15" t="n">
        <v>0.451208</v>
      </c>
    </row>
    <row r="156" customFormat="false" ht="15" hidden="false" customHeight="false" outlineLevel="0" collapsed="false">
      <c r="A156" s="2" t="n">
        <v>11</v>
      </c>
      <c r="B156" s="2" t="n">
        <v>14</v>
      </c>
      <c r="C156" s="15" t="n">
        <v>0.935884</v>
      </c>
      <c r="D156" s="15" t="n">
        <v>0.935884</v>
      </c>
      <c r="E156" s="15" t="n">
        <v>0.99899</v>
      </c>
      <c r="F156" s="15" t="n">
        <v>0.974115</v>
      </c>
      <c r="G156" s="15" t="n">
        <v>0.045797</v>
      </c>
      <c r="H156" s="15" t="n">
        <v>0.028567</v>
      </c>
      <c r="I156" s="15" t="n">
        <v>0.076516</v>
      </c>
      <c r="J156" s="15" t="n">
        <v>0.042411</v>
      </c>
      <c r="K156" s="15" t="n">
        <v>0.445512</v>
      </c>
      <c r="L156" s="15" t="n">
        <v>0.350786</v>
      </c>
      <c r="M156" s="15" t="n">
        <v>0.599119</v>
      </c>
      <c r="N156" s="15" t="n">
        <v>0.464742</v>
      </c>
    </row>
    <row r="157" customFormat="false" ht="15" hidden="false" customHeight="false" outlineLevel="0" collapsed="false">
      <c r="A157" s="2" t="n">
        <v>11</v>
      </c>
      <c r="B157" s="2" t="n">
        <v>15</v>
      </c>
      <c r="C157" s="15" t="n">
        <v>0.941023</v>
      </c>
      <c r="D157" s="15" t="n">
        <v>0.924812</v>
      </c>
      <c r="E157" s="15" t="n">
        <v>0.987172</v>
      </c>
      <c r="F157" s="15" t="n">
        <v>0.962856</v>
      </c>
      <c r="G157" s="15" t="n">
        <v>0.021272</v>
      </c>
      <c r="H157" s="15" t="n">
        <v>0.019638</v>
      </c>
      <c r="I157" s="15" t="n">
        <v>0.045656</v>
      </c>
      <c r="J157" s="15" t="n">
        <v>0.021691</v>
      </c>
      <c r="K157" s="15" t="n">
        <v>0.317631</v>
      </c>
      <c r="L157" s="15" t="n">
        <v>0.313653</v>
      </c>
      <c r="M157" s="15" t="n">
        <v>0.38584</v>
      </c>
      <c r="N157" s="15" t="n">
        <v>0.410867</v>
      </c>
    </row>
    <row r="158" customFormat="false" ht="15" hidden="false" customHeight="false" outlineLevel="0" collapsed="false">
      <c r="A158" s="2" t="n">
        <v>11</v>
      </c>
      <c r="B158" s="2" t="n">
        <v>16</v>
      </c>
      <c r="C158" s="15" t="n">
        <v>0.899871</v>
      </c>
      <c r="D158" s="15" t="n">
        <v>0.899871</v>
      </c>
      <c r="E158" s="15" t="n">
        <v>0.899871</v>
      </c>
      <c r="F158" s="15" t="n">
        <v>0.899871</v>
      </c>
      <c r="G158" s="15" t="n">
        <v>0.065541</v>
      </c>
      <c r="H158" s="15" t="n">
        <v>0.044748</v>
      </c>
      <c r="I158" s="15" t="n">
        <v>0.076516</v>
      </c>
      <c r="J158" s="15" t="n">
        <v>0.059928</v>
      </c>
      <c r="K158" s="15" t="n">
        <v>0.26451</v>
      </c>
      <c r="L158" s="15" t="n">
        <v>0.26451</v>
      </c>
      <c r="M158" s="15" t="n">
        <v>0.26451</v>
      </c>
      <c r="N158" s="15" t="n">
        <v>0.26451</v>
      </c>
    </row>
    <row r="159" customFormat="false" ht="15" hidden="false" customHeight="false" outlineLevel="0" collapsed="false">
      <c r="A159" s="2" t="n">
        <v>11</v>
      </c>
      <c r="B159" s="2" t="n">
        <v>17</v>
      </c>
      <c r="C159" s="15" t="n">
        <v>0.909305</v>
      </c>
      <c r="D159" s="15" t="n">
        <v>0.909305</v>
      </c>
      <c r="E159" s="15" t="n">
        <v>0.99899</v>
      </c>
      <c r="F159" s="15" t="n">
        <v>0.939977</v>
      </c>
      <c r="G159" s="15" t="n">
        <v>0.020927</v>
      </c>
      <c r="H159" s="15" t="n">
        <v>0.019638</v>
      </c>
      <c r="I159" s="15" t="n">
        <v>0.020927</v>
      </c>
      <c r="J159" s="15" t="n">
        <v>0.020282</v>
      </c>
      <c r="K159" s="15" t="n">
        <v>0.323848</v>
      </c>
      <c r="L159" s="15" t="n">
        <v>0.32051</v>
      </c>
      <c r="M159" s="15" t="n">
        <v>0.599119</v>
      </c>
      <c r="N159" s="15" t="n">
        <v>0.410867</v>
      </c>
    </row>
    <row r="160" customFormat="false" ht="15" hidden="false" customHeight="false" outlineLevel="0" collapsed="false">
      <c r="A160" s="2" t="n">
        <v>11</v>
      </c>
      <c r="B160" s="2" t="n">
        <v>18</v>
      </c>
      <c r="C160" s="15" t="n">
        <v>0.970163</v>
      </c>
      <c r="D160" s="15" t="n">
        <v>0.929495</v>
      </c>
      <c r="E160" s="15" t="n">
        <v>0.987172</v>
      </c>
      <c r="F160" s="15" t="n">
        <v>0.961418</v>
      </c>
      <c r="G160" s="15" t="n">
        <v>0.047766</v>
      </c>
      <c r="H160" s="15" t="n">
        <v>0.025696</v>
      </c>
      <c r="I160" s="15" t="n">
        <v>0.050288</v>
      </c>
      <c r="J160" s="15" t="n">
        <v>0.035943</v>
      </c>
      <c r="K160" s="15" t="n">
        <v>0.344489</v>
      </c>
      <c r="L160" s="15" t="n">
        <v>0.313653</v>
      </c>
      <c r="M160" s="15" t="n">
        <v>0.38584</v>
      </c>
      <c r="N160" s="15" t="n">
        <v>0.410867</v>
      </c>
    </row>
    <row r="161" customFormat="false" ht="15" hidden="false" customHeight="false" outlineLevel="0" collapsed="false">
      <c r="A161" s="2" t="n">
        <v>11</v>
      </c>
      <c r="B161" s="2" t="n">
        <v>19</v>
      </c>
      <c r="C161" s="15" t="n">
        <v>0.958074</v>
      </c>
      <c r="D161" s="15" t="n">
        <v>0.919964</v>
      </c>
      <c r="E161" s="15" t="n">
        <v>0.958074</v>
      </c>
      <c r="F161" s="15" t="n">
        <v>0.967741</v>
      </c>
      <c r="G161" s="15" t="n">
        <v>0.028867</v>
      </c>
      <c r="H161" s="15" t="n">
        <v>0.019638</v>
      </c>
      <c r="I161" s="15" t="n">
        <v>0.045656</v>
      </c>
      <c r="J161" s="15" t="n">
        <v>0.027943</v>
      </c>
      <c r="K161" s="15" t="n">
        <v>0.53184</v>
      </c>
      <c r="L161" s="15" t="n">
        <v>0.403021</v>
      </c>
      <c r="M161" s="15" t="n">
        <v>0.53184</v>
      </c>
      <c r="N161" s="15" t="n">
        <v>0.507543</v>
      </c>
    </row>
    <row r="162" customFormat="false" ht="15" hidden="false" customHeight="false" outlineLevel="0" collapsed="false">
      <c r="A162" s="2" t="n">
        <v>11</v>
      </c>
      <c r="B162" s="2" t="n">
        <v>20</v>
      </c>
      <c r="C162" s="15" t="n">
        <v>0.909378</v>
      </c>
      <c r="D162" s="15" t="n">
        <v>0.909305</v>
      </c>
      <c r="E162" s="15" t="n">
        <v>0.987172</v>
      </c>
      <c r="F162" s="15" t="n">
        <v>0.954031</v>
      </c>
      <c r="G162" s="15" t="n">
        <v>0.019638</v>
      </c>
      <c r="H162" s="15" t="n">
        <v>0.019638</v>
      </c>
      <c r="I162" s="15" t="n">
        <v>0.020927</v>
      </c>
      <c r="J162" s="15" t="n">
        <v>0.020282</v>
      </c>
      <c r="K162" s="15" t="n">
        <v>0.313653</v>
      </c>
      <c r="L162" s="15" t="n">
        <v>0.313653</v>
      </c>
      <c r="M162" s="15" t="n">
        <v>0.599119</v>
      </c>
      <c r="N162" s="15" t="n">
        <v>0.410867</v>
      </c>
    </row>
    <row r="163" customFormat="false" ht="15" hidden="false" customHeight="false" outlineLevel="0" collapsed="false">
      <c r="A163" s="2" t="n">
        <v>12</v>
      </c>
      <c r="B163" s="2" t="n">
        <v>13</v>
      </c>
      <c r="C163" s="15" t="n">
        <v>0.967312</v>
      </c>
      <c r="D163" s="15" t="n">
        <v>0.933187</v>
      </c>
      <c r="E163" s="15" t="n">
        <v>0.99899</v>
      </c>
      <c r="F163" s="15" t="n">
        <v>0.968998</v>
      </c>
      <c r="G163" s="15" t="n">
        <v>0.045656</v>
      </c>
      <c r="H163" s="15" t="n">
        <v>0.02113</v>
      </c>
      <c r="I163" s="15" t="n">
        <v>0.045656</v>
      </c>
      <c r="J163" s="15" t="n">
        <v>0.030554</v>
      </c>
      <c r="K163" s="15" t="n">
        <v>0.4113</v>
      </c>
      <c r="L163" s="15" t="n">
        <v>0.404089</v>
      </c>
      <c r="M163" s="15" t="n">
        <v>0.493172</v>
      </c>
      <c r="N163" s="15" t="n">
        <v>0.451208</v>
      </c>
    </row>
    <row r="164" customFormat="false" ht="15" hidden="false" customHeight="false" outlineLevel="0" collapsed="false">
      <c r="A164" s="2" t="n">
        <v>12</v>
      </c>
      <c r="B164" s="2" t="n">
        <v>14</v>
      </c>
      <c r="C164" s="15" t="n">
        <v>0.98225</v>
      </c>
      <c r="D164" s="15" t="n">
        <v>0.935884</v>
      </c>
      <c r="E164" s="15" t="n">
        <v>0.99899</v>
      </c>
      <c r="F164" s="15" t="n">
        <v>0.974115</v>
      </c>
      <c r="G164" s="15" t="n">
        <v>0.067827</v>
      </c>
      <c r="H164" s="15" t="n">
        <v>0.028567</v>
      </c>
      <c r="I164" s="15" t="n">
        <v>0.076516</v>
      </c>
      <c r="J164" s="15" t="n">
        <v>0.042411</v>
      </c>
      <c r="K164" s="15" t="n">
        <v>0.507388</v>
      </c>
      <c r="L164" s="15" t="n">
        <v>0.350786</v>
      </c>
      <c r="M164" s="15" t="n">
        <v>0.507388</v>
      </c>
      <c r="N164" s="15" t="n">
        <v>0.464742</v>
      </c>
    </row>
    <row r="165" customFormat="false" ht="15" hidden="false" customHeight="false" outlineLevel="0" collapsed="false">
      <c r="A165" s="2" t="n">
        <v>12</v>
      </c>
      <c r="B165" s="2" t="n">
        <v>15</v>
      </c>
      <c r="C165" s="15" t="n">
        <v>0.935306</v>
      </c>
      <c r="D165" s="15" t="n">
        <v>0.924812</v>
      </c>
      <c r="E165" s="15" t="n">
        <v>0.935306</v>
      </c>
      <c r="F165" s="15" t="n">
        <v>0.962856</v>
      </c>
      <c r="G165" s="15" t="n">
        <v>0.024164</v>
      </c>
      <c r="H165" s="15" t="n">
        <v>0.019282</v>
      </c>
      <c r="I165" s="15" t="n">
        <v>0.029177</v>
      </c>
      <c r="J165" s="15" t="n">
        <v>0.030554</v>
      </c>
      <c r="K165" s="15" t="n">
        <v>0.296166</v>
      </c>
      <c r="L165" s="15" t="n">
        <v>0.29307</v>
      </c>
      <c r="M165" s="15" t="n">
        <v>0.599119</v>
      </c>
      <c r="N165" s="15" t="n">
        <v>0.346582</v>
      </c>
    </row>
    <row r="166" customFormat="false" ht="15" hidden="false" customHeight="false" outlineLevel="0" collapsed="false">
      <c r="A166" s="2" t="n">
        <v>12</v>
      </c>
      <c r="B166" s="2" t="n">
        <v>16</v>
      </c>
      <c r="C166" s="15" t="n">
        <v>0.986582</v>
      </c>
      <c r="D166" s="15" t="n">
        <v>0.909305</v>
      </c>
      <c r="E166" s="15" t="n">
        <v>0.987172</v>
      </c>
      <c r="F166" s="15" t="n">
        <v>0.954031</v>
      </c>
      <c r="G166" s="15" t="n">
        <v>0.076516</v>
      </c>
      <c r="H166" s="15" t="n">
        <v>0.044748</v>
      </c>
      <c r="I166" s="15" t="n">
        <v>0.076516</v>
      </c>
      <c r="J166" s="15" t="n">
        <v>0.059928</v>
      </c>
      <c r="K166" s="15" t="n">
        <v>0.419928</v>
      </c>
      <c r="L166" s="15" t="n">
        <v>0.313653</v>
      </c>
      <c r="M166" s="15" t="n">
        <v>0.599119</v>
      </c>
      <c r="N166" s="15" t="n">
        <v>0.410867</v>
      </c>
    </row>
    <row r="167" customFormat="false" ht="15" hidden="false" customHeight="false" outlineLevel="0" collapsed="false">
      <c r="A167" s="2" t="n">
        <v>12</v>
      </c>
      <c r="B167" s="2" t="n">
        <v>17</v>
      </c>
      <c r="C167" s="15" t="n">
        <v>0.977079</v>
      </c>
      <c r="D167" s="15" t="n">
        <v>0.903745</v>
      </c>
      <c r="E167" s="15" t="n">
        <v>0.99899</v>
      </c>
      <c r="F167" s="15" t="n">
        <v>0.954031</v>
      </c>
      <c r="G167" s="15" t="n">
        <v>0.031365</v>
      </c>
      <c r="H167" s="15" t="n">
        <v>0.019282</v>
      </c>
      <c r="I167" s="15" t="n">
        <v>0.045656</v>
      </c>
      <c r="J167" s="15" t="n">
        <v>0.030554</v>
      </c>
      <c r="K167" s="15" t="n">
        <v>0.394127</v>
      </c>
      <c r="L167" s="15" t="n">
        <v>0.32051</v>
      </c>
      <c r="M167" s="15" t="n">
        <v>0.473139</v>
      </c>
      <c r="N167" s="15" t="n">
        <v>0.394625</v>
      </c>
    </row>
    <row r="168" customFormat="false" ht="15" hidden="false" customHeight="false" outlineLevel="0" collapsed="false">
      <c r="A168" s="2" t="n">
        <v>12</v>
      </c>
      <c r="B168" s="2" t="n">
        <v>18</v>
      </c>
      <c r="C168" s="15" t="n">
        <v>0.966665</v>
      </c>
      <c r="D168" s="15" t="n">
        <v>0.929495</v>
      </c>
      <c r="E168" s="15" t="n">
        <v>0.966665</v>
      </c>
      <c r="F168" s="15" t="n">
        <v>0.961418</v>
      </c>
      <c r="G168" s="15" t="n">
        <v>0.047255</v>
      </c>
      <c r="H168" s="15" t="n">
        <v>0.025696</v>
      </c>
      <c r="I168" s="15" t="n">
        <v>0.050288</v>
      </c>
      <c r="J168" s="15" t="n">
        <v>0.035943</v>
      </c>
      <c r="K168" s="15" t="n">
        <v>0.386938</v>
      </c>
      <c r="L168" s="15" t="n">
        <v>0.29307</v>
      </c>
      <c r="M168" s="15" t="n">
        <v>0.599119</v>
      </c>
      <c r="N168" s="15" t="n">
        <v>0.346582</v>
      </c>
    </row>
    <row r="169" customFormat="false" ht="15" hidden="false" customHeight="false" outlineLevel="0" collapsed="false">
      <c r="A169" s="2" t="n">
        <v>12</v>
      </c>
      <c r="B169" s="2" t="n">
        <v>19</v>
      </c>
      <c r="C169" s="15" t="n">
        <v>0.964571</v>
      </c>
      <c r="D169" s="15" t="n">
        <v>0.919964</v>
      </c>
      <c r="E169" s="15" t="n">
        <v>0.987172</v>
      </c>
      <c r="F169" s="15" t="n">
        <v>0.967741</v>
      </c>
      <c r="G169" s="15" t="n">
        <v>0.029177</v>
      </c>
      <c r="H169" s="15" t="n">
        <v>0.019282</v>
      </c>
      <c r="I169" s="15" t="n">
        <v>0.029177</v>
      </c>
      <c r="J169" s="15" t="n">
        <v>0.030554</v>
      </c>
      <c r="K169" s="15" t="n">
        <v>0.531443</v>
      </c>
      <c r="L169" s="15" t="n">
        <v>0.403021</v>
      </c>
      <c r="M169" s="15" t="n">
        <v>0.599119</v>
      </c>
      <c r="N169" s="15" t="n">
        <v>0.507543</v>
      </c>
    </row>
    <row r="170" customFormat="false" ht="15" hidden="false" customHeight="false" outlineLevel="0" collapsed="false">
      <c r="A170" s="2" t="n">
        <v>12</v>
      </c>
      <c r="B170" s="2" t="n">
        <v>20</v>
      </c>
      <c r="C170" s="15" t="n">
        <v>0.858078</v>
      </c>
      <c r="D170" s="15" t="n">
        <v>0.858078</v>
      </c>
      <c r="E170" s="15" t="n">
        <v>0.858078</v>
      </c>
      <c r="F170" s="15" t="n">
        <v>0.858078</v>
      </c>
      <c r="G170" s="15" t="n">
        <v>0.019282</v>
      </c>
      <c r="H170" s="15" t="n">
        <v>0.019282</v>
      </c>
      <c r="I170" s="15" t="n">
        <v>0.045656</v>
      </c>
      <c r="J170" s="15" t="n">
        <v>0.030554</v>
      </c>
      <c r="K170" s="15" t="n">
        <v>0.260642</v>
      </c>
      <c r="L170" s="15" t="n">
        <v>0.260642</v>
      </c>
      <c r="M170" s="15" t="n">
        <v>0.260642</v>
      </c>
      <c r="N170" s="15" t="n">
        <v>0.260642</v>
      </c>
    </row>
    <row r="171" customFormat="false" ht="15" hidden="false" customHeight="false" outlineLevel="0" collapsed="false">
      <c r="A171" s="2" t="n">
        <v>13</v>
      </c>
      <c r="B171" s="2" t="n">
        <v>14</v>
      </c>
      <c r="C171" s="15" t="n">
        <v>0.985758</v>
      </c>
      <c r="D171" s="15" t="n">
        <v>0.935884</v>
      </c>
      <c r="E171" s="15" t="n">
        <v>0.993734</v>
      </c>
      <c r="F171" s="15" t="n">
        <v>0.974115</v>
      </c>
      <c r="G171" s="15" t="n">
        <v>0.028567</v>
      </c>
      <c r="H171" s="15" t="n">
        <v>0.028567</v>
      </c>
      <c r="I171" s="15" t="n">
        <v>0.076516</v>
      </c>
      <c r="J171" s="15" t="n">
        <v>0.042411</v>
      </c>
      <c r="K171" s="15" t="n">
        <v>0.493287</v>
      </c>
      <c r="L171" s="15" t="n">
        <v>0.404089</v>
      </c>
      <c r="M171" s="15" t="n">
        <v>0.507388</v>
      </c>
      <c r="N171" s="15" t="n">
        <v>0.464742</v>
      </c>
    </row>
    <row r="172" customFormat="false" ht="15" hidden="false" customHeight="false" outlineLevel="0" collapsed="false">
      <c r="A172" s="2" t="n">
        <v>13</v>
      </c>
      <c r="B172" s="2" t="n">
        <v>15</v>
      </c>
      <c r="C172" s="15" t="n">
        <v>0.980941</v>
      </c>
      <c r="D172" s="15" t="n">
        <v>0.933187</v>
      </c>
      <c r="E172" s="15" t="n">
        <v>0.99899</v>
      </c>
      <c r="F172" s="15" t="n">
        <v>0.968998</v>
      </c>
      <c r="G172" s="15" t="n">
        <v>0.03187</v>
      </c>
      <c r="H172" s="15" t="n">
        <v>0.02113</v>
      </c>
      <c r="I172" s="15" t="n">
        <v>0.045656</v>
      </c>
      <c r="J172" s="15" t="n">
        <v>0.025424</v>
      </c>
      <c r="K172" s="15" t="n">
        <v>0.460247</v>
      </c>
      <c r="L172" s="15" t="n">
        <v>0.404089</v>
      </c>
      <c r="M172" s="15" t="n">
        <v>0.599119</v>
      </c>
      <c r="N172" s="15" t="n">
        <v>0.451208</v>
      </c>
    </row>
    <row r="173" customFormat="false" ht="15" hidden="false" customHeight="false" outlineLevel="0" collapsed="false">
      <c r="A173" s="2" t="n">
        <v>13</v>
      </c>
      <c r="B173" s="2" t="n">
        <v>16</v>
      </c>
      <c r="C173" s="15" t="n">
        <v>0.974597</v>
      </c>
      <c r="D173" s="15" t="n">
        <v>0.933187</v>
      </c>
      <c r="E173" s="15" t="n">
        <v>0.99899</v>
      </c>
      <c r="F173" s="15" t="n">
        <v>0.968998</v>
      </c>
      <c r="G173" s="15" t="n">
        <v>0.064547</v>
      </c>
      <c r="H173" s="15" t="n">
        <v>0.044748</v>
      </c>
      <c r="I173" s="15" t="n">
        <v>0.076516</v>
      </c>
      <c r="J173" s="15" t="n">
        <v>0.059928</v>
      </c>
      <c r="K173" s="15" t="n">
        <v>0.481718</v>
      </c>
      <c r="L173" s="15" t="n">
        <v>0.404089</v>
      </c>
      <c r="M173" s="15" t="n">
        <v>0.599119</v>
      </c>
      <c r="N173" s="15" t="n">
        <v>0.451208</v>
      </c>
    </row>
    <row r="174" customFormat="false" ht="15" hidden="false" customHeight="false" outlineLevel="0" collapsed="false">
      <c r="A174" s="2" t="n">
        <v>13</v>
      </c>
      <c r="B174" s="2" t="n">
        <v>17</v>
      </c>
      <c r="C174" s="15" t="n">
        <v>0.956672</v>
      </c>
      <c r="D174" s="15" t="n">
        <v>0.933187</v>
      </c>
      <c r="E174" s="15" t="n">
        <v>0.993734</v>
      </c>
      <c r="F174" s="15" t="n">
        <v>0.968998</v>
      </c>
      <c r="G174" s="15" t="n">
        <v>0.021581</v>
      </c>
      <c r="H174" s="15" t="n">
        <v>0.02113</v>
      </c>
      <c r="I174" s="15" t="n">
        <v>0.025506</v>
      </c>
      <c r="J174" s="15" t="n">
        <v>0.025424</v>
      </c>
      <c r="K174" s="15" t="n">
        <v>0.438619</v>
      </c>
      <c r="L174" s="15" t="n">
        <v>0.404089</v>
      </c>
      <c r="M174" s="15" t="n">
        <v>0.493172</v>
      </c>
      <c r="N174" s="15" t="n">
        <v>0.451208</v>
      </c>
    </row>
    <row r="175" customFormat="false" ht="15" hidden="false" customHeight="false" outlineLevel="0" collapsed="false">
      <c r="A175" s="2" t="n">
        <v>13</v>
      </c>
      <c r="B175" s="2" t="n">
        <v>18</v>
      </c>
      <c r="C175" s="15" t="n">
        <v>0.956651</v>
      </c>
      <c r="D175" s="15" t="n">
        <v>0.933187</v>
      </c>
      <c r="E175" s="15" t="n">
        <v>0.99899</v>
      </c>
      <c r="F175" s="15" t="n">
        <v>0.968998</v>
      </c>
      <c r="G175" s="15" t="n">
        <v>0.025735</v>
      </c>
      <c r="H175" s="15" t="n">
        <v>0.025696</v>
      </c>
      <c r="I175" s="15" t="n">
        <v>0.050288</v>
      </c>
      <c r="J175" s="15" t="n">
        <v>0.035943</v>
      </c>
      <c r="K175" s="15" t="n">
        <v>0.513794</v>
      </c>
      <c r="L175" s="15" t="n">
        <v>0.404089</v>
      </c>
      <c r="M175" s="15" t="n">
        <v>0.599119</v>
      </c>
      <c r="N175" s="15" t="n">
        <v>0.451208</v>
      </c>
    </row>
    <row r="176" customFormat="false" ht="15" hidden="false" customHeight="false" outlineLevel="0" collapsed="false">
      <c r="A176" s="2" t="n">
        <v>13</v>
      </c>
      <c r="B176" s="2" t="n">
        <v>19</v>
      </c>
      <c r="C176" s="15" t="n">
        <v>0.978772</v>
      </c>
      <c r="D176" s="15" t="n">
        <v>0.933187</v>
      </c>
      <c r="E176" s="15" t="n">
        <v>0.99899</v>
      </c>
      <c r="F176" s="15" t="n">
        <v>0.968998</v>
      </c>
      <c r="G176" s="15" t="n">
        <v>0.039276</v>
      </c>
      <c r="H176" s="15" t="n">
        <v>0.02113</v>
      </c>
      <c r="I176" s="15" t="n">
        <v>0.045656</v>
      </c>
      <c r="J176" s="15" t="n">
        <v>0.027943</v>
      </c>
      <c r="K176" s="15" t="n">
        <v>0.599119</v>
      </c>
      <c r="L176" s="15" t="n">
        <v>0.404089</v>
      </c>
      <c r="M176" s="15" t="n">
        <v>0.599119</v>
      </c>
      <c r="N176" s="15" t="n">
        <v>0.507543</v>
      </c>
    </row>
    <row r="177" customFormat="false" ht="15" hidden="false" customHeight="false" outlineLevel="0" collapsed="false">
      <c r="A177" s="2" t="n">
        <v>13</v>
      </c>
      <c r="B177" s="2" t="n">
        <v>20</v>
      </c>
      <c r="C177" s="15" t="n">
        <v>0.933187</v>
      </c>
      <c r="D177" s="15" t="n">
        <v>0.933187</v>
      </c>
      <c r="E177" s="15" t="n">
        <v>0.99899</v>
      </c>
      <c r="F177" s="15" t="n">
        <v>0.968998</v>
      </c>
      <c r="G177" s="15" t="n">
        <v>0.025506</v>
      </c>
      <c r="H177" s="15" t="n">
        <v>0.02113</v>
      </c>
      <c r="I177" s="15" t="n">
        <v>0.025506</v>
      </c>
      <c r="J177" s="15" t="n">
        <v>0.025424</v>
      </c>
      <c r="K177" s="15" t="n">
        <v>0.408201</v>
      </c>
      <c r="L177" s="15" t="n">
        <v>0.404089</v>
      </c>
      <c r="M177" s="15" t="n">
        <v>0.493172</v>
      </c>
      <c r="N177" s="15" t="n">
        <v>0.451208</v>
      </c>
    </row>
    <row r="178" customFormat="false" ht="15" hidden="false" customHeight="false" outlineLevel="0" collapsed="false">
      <c r="A178" s="2" t="n">
        <v>14</v>
      </c>
      <c r="B178" s="2" t="n">
        <v>15</v>
      </c>
      <c r="C178" s="15" t="n">
        <v>0.96155</v>
      </c>
      <c r="D178" s="15" t="n">
        <v>0.935884</v>
      </c>
      <c r="E178" s="15" t="n">
        <v>0.99899</v>
      </c>
      <c r="F178" s="15" t="n">
        <v>0.974115</v>
      </c>
      <c r="G178" s="15" t="n">
        <v>0.038102</v>
      </c>
      <c r="H178" s="15" t="n">
        <v>0.028567</v>
      </c>
      <c r="I178" s="15" t="n">
        <v>0.076516</v>
      </c>
      <c r="J178" s="15" t="n">
        <v>0.042411</v>
      </c>
      <c r="K178" s="15" t="n">
        <v>0.488499</v>
      </c>
      <c r="L178" s="15" t="n">
        <v>0.350786</v>
      </c>
      <c r="M178" s="15" t="n">
        <v>0.599119</v>
      </c>
      <c r="N178" s="15" t="n">
        <v>0.464742</v>
      </c>
    </row>
    <row r="179" customFormat="false" ht="15" hidden="false" customHeight="false" outlineLevel="0" collapsed="false">
      <c r="A179" s="2" t="n">
        <v>14</v>
      </c>
      <c r="B179" s="2" t="n">
        <v>16</v>
      </c>
      <c r="C179" s="15" t="n">
        <v>0.983756</v>
      </c>
      <c r="D179" s="15" t="n">
        <v>0.935884</v>
      </c>
      <c r="E179" s="15" t="n">
        <v>0.99899</v>
      </c>
      <c r="F179" s="15" t="n">
        <v>0.974115</v>
      </c>
      <c r="G179" s="15" t="n">
        <v>0.044748</v>
      </c>
      <c r="H179" s="15" t="n">
        <v>0.044748</v>
      </c>
      <c r="I179" s="15" t="n">
        <v>0.044748</v>
      </c>
      <c r="J179" s="15" t="n">
        <v>0.059928</v>
      </c>
      <c r="K179" s="15" t="n">
        <v>0.549022</v>
      </c>
      <c r="L179" s="15" t="n">
        <v>0.350786</v>
      </c>
      <c r="M179" s="15" t="n">
        <v>0.599119</v>
      </c>
      <c r="N179" s="15" t="n">
        <v>0.464742</v>
      </c>
    </row>
    <row r="180" customFormat="false" ht="15" hidden="false" customHeight="false" outlineLevel="0" collapsed="false">
      <c r="A180" s="2" t="n">
        <v>14</v>
      </c>
      <c r="B180" s="2" t="n">
        <v>17</v>
      </c>
      <c r="C180" s="15" t="n">
        <v>0.982751</v>
      </c>
      <c r="D180" s="15" t="n">
        <v>0.935884</v>
      </c>
      <c r="E180" s="15" t="n">
        <v>0.982756</v>
      </c>
      <c r="F180" s="15" t="n">
        <v>0.974115</v>
      </c>
      <c r="G180" s="15" t="n">
        <v>0.037781</v>
      </c>
      <c r="H180" s="15" t="n">
        <v>0.028567</v>
      </c>
      <c r="I180" s="15" t="n">
        <v>0.076516</v>
      </c>
      <c r="J180" s="15" t="n">
        <v>0.042411</v>
      </c>
      <c r="K180" s="15" t="n">
        <v>0.473688</v>
      </c>
      <c r="L180" s="15" t="n">
        <v>0.350786</v>
      </c>
      <c r="M180" s="15" t="n">
        <v>0.507388</v>
      </c>
      <c r="N180" s="15" t="n">
        <v>0.464742</v>
      </c>
    </row>
    <row r="181" customFormat="false" ht="15" hidden="false" customHeight="false" outlineLevel="0" collapsed="false">
      <c r="A181" s="2" t="n">
        <v>14</v>
      </c>
      <c r="B181" s="2" t="n">
        <v>18</v>
      </c>
      <c r="C181" s="15" t="n">
        <v>0.967651</v>
      </c>
      <c r="D181" s="15" t="n">
        <v>0.935884</v>
      </c>
      <c r="E181" s="15" t="n">
        <v>0.99899</v>
      </c>
      <c r="F181" s="15" t="n">
        <v>0.974115</v>
      </c>
      <c r="G181" s="15" t="n">
        <v>0.04297</v>
      </c>
      <c r="H181" s="15" t="n">
        <v>0.028567</v>
      </c>
      <c r="I181" s="15" t="n">
        <v>0.076516</v>
      </c>
      <c r="J181" s="15" t="n">
        <v>0.042411</v>
      </c>
      <c r="K181" s="15" t="n">
        <v>0.568845</v>
      </c>
      <c r="L181" s="15" t="n">
        <v>0.350786</v>
      </c>
      <c r="M181" s="15" t="n">
        <v>0.599119</v>
      </c>
      <c r="N181" s="15" t="n">
        <v>0.464742</v>
      </c>
    </row>
    <row r="182" customFormat="false" ht="15" hidden="false" customHeight="false" outlineLevel="0" collapsed="false">
      <c r="A182" s="2" t="n">
        <v>14</v>
      </c>
      <c r="B182" s="2" t="n">
        <v>19</v>
      </c>
      <c r="C182" s="15" t="n">
        <v>0.994268</v>
      </c>
      <c r="D182" s="15" t="n">
        <v>0.935884</v>
      </c>
      <c r="E182" s="15" t="n">
        <v>0.99899</v>
      </c>
      <c r="F182" s="15" t="n">
        <v>0.974115</v>
      </c>
      <c r="G182" s="15" t="n">
        <v>0.054507</v>
      </c>
      <c r="H182" s="15" t="n">
        <v>0.028567</v>
      </c>
      <c r="I182" s="15" t="n">
        <v>0.076516</v>
      </c>
      <c r="J182" s="15" t="n">
        <v>0.042411</v>
      </c>
      <c r="K182" s="15" t="n">
        <v>0.588519</v>
      </c>
      <c r="L182" s="15" t="n">
        <v>0.403021</v>
      </c>
      <c r="M182" s="15" t="n">
        <v>0.599119</v>
      </c>
      <c r="N182" s="15" t="n">
        <v>0.507543</v>
      </c>
    </row>
    <row r="183" customFormat="false" ht="15" hidden="false" customHeight="false" outlineLevel="0" collapsed="false">
      <c r="A183" s="2" t="n">
        <v>14</v>
      </c>
      <c r="B183" s="2" t="n">
        <v>20</v>
      </c>
      <c r="C183" s="15" t="n">
        <v>0.962664</v>
      </c>
      <c r="D183" s="15" t="n">
        <v>0.935884</v>
      </c>
      <c r="E183" s="15" t="n">
        <v>0.99899</v>
      </c>
      <c r="F183" s="15" t="n">
        <v>0.974115</v>
      </c>
      <c r="G183" s="15" t="n">
        <v>0.040081</v>
      </c>
      <c r="H183" s="15" t="n">
        <v>0.028567</v>
      </c>
      <c r="I183" s="15" t="n">
        <v>0.076516</v>
      </c>
      <c r="J183" s="15" t="n">
        <v>0.042411</v>
      </c>
      <c r="K183" s="15" t="n">
        <v>0.473633</v>
      </c>
      <c r="L183" s="15" t="n">
        <v>0.350786</v>
      </c>
      <c r="M183" s="15" t="n">
        <v>0.507388</v>
      </c>
      <c r="N183" s="15" t="n">
        <v>0.464742</v>
      </c>
    </row>
    <row r="184" customFormat="false" ht="15" hidden="false" customHeight="false" outlineLevel="0" collapsed="false">
      <c r="A184" s="2" t="n">
        <v>15</v>
      </c>
      <c r="B184" s="2" t="n">
        <v>16</v>
      </c>
      <c r="C184" s="15" t="n">
        <v>0.962829</v>
      </c>
      <c r="D184" s="15" t="n">
        <v>0.924812</v>
      </c>
      <c r="E184" s="15" t="n">
        <v>0.987172</v>
      </c>
      <c r="F184" s="15" t="n">
        <v>0.962856</v>
      </c>
      <c r="G184" s="15" t="n">
        <v>0.051595</v>
      </c>
      <c r="H184" s="15" t="n">
        <v>0.044748</v>
      </c>
      <c r="I184" s="15" t="n">
        <v>0.076516</v>
      </c>
      <c r="J184" s="15" t="n">
        <v>0.059928</v>
      </c>
      <c r="K184" s="15" t="n">
        <v>0.362178</v>
      </c>
      <c r="L184" s="15" t="n">
        <v>0.313653</v>
      </c>
      <c r="M184" s="15" t="n">
        <v>0.38584</v>
      </c>
      <c r="N184" s="15" t="n">
        <v>0.410867</v>
      </c>
    </row>
    <row r="185" customFormat="false" ht="15" hidden="false" customHeight="false" outlineLevel="0" collapsed="false">
      <c r="A185" s="2" t="n">
        <v>15</v>
      </c>
      <c r="B185" s="2" t="n">
        <v>17</v>
      </c>
      <c r="C185" s="15" t="n">
        <v>0.969052</v>
      </c>
      <c r="D185" s="15" t="n">
        <v>0.924812</v>
      </c>
      <c r="E185" s="15" t="n">
        <v>0.99899</v>
      </c>
      <c r="F185" s="15" t="n">
        <v>0.962856</v>
      </c>
      <c r="G185" s="15" t="n">
        <v>0.027726</v>
      </c>
      <c r="H185" s="15" t="n">
        <v>0.016073</v>
      </c>
      <c r="I185" s="15" t="n">
        <v>0.045656</v>
      </c>
      <c r="J185" s="15" t="n">
        <v>0.021691</v>
      </c>
      <c r="K185" s="15" t="n">
        <v>0.425512</v>
      </c>
      <c r="L185" s="15" t="n">
        <v>0.32051</v>
      </c>
      <c r="M185" s="15" t="n">
        <v>0.599119</v>
      </c>
      <c r="N185" s="15" t="n">
        <v>0.394625</v>
      </c>
    </row>
    <row r="186" customFormat="false" ht="15" hidden="false" customHeight="false" outlineLevel="0" collapsed="false">
      <c r="A186" s="2" t="n">
        <v>15</v>
      </c>
      <c r="B186" s="2" t="n">
        <v>18</v>
      </c>
      <c r="C186" s="15" t="n">
        <v>0.965197</v>
      </c>
      <c r="D186" s="15" t="n">
        <v>0.929495</v>
      </c>
      <c r="E186" s="15" t="n">
        <v>0.966665</v>
      </c>
      <c r="F186" s="15" t="n">
        <v>0.962856</v>
      </c>
      <c r="G186" s="15" t="n">
        <v>0.036522</v>
      </c>
      <c r="H186" s="15" t="n">
        <v>0.025696</v>
      </c>
      <c r="I186" s="15" t="n">
        <v>0.050288</v>
      </c>
      <c r="J186" s="15" t="n">
        <v>0.035943</v>
      </c>
      <c r="K186" s="15" t="n">
        <v>0.281525</v>
      </c>
      <c r="L186" s="15" t="n">
        <v>0.281525</v>
      </c>
      <c r="M186" s="15" t="n">
        <v>0.281525</v>
      </c>
      <c r="N186" s="15" t="n">
        <v>0.281525</v>
      </c>
    </row>
    <row r="187" customFormat="false" ht="15" hidden="false" customHeight="false" outlineLevel="0" collapsed="false">
      <c r="A187" s="2" t="n">
        <v>15</v>
      </c>
      <c r="B187" s="2" t="n">
        <v>19</v>
      </c>
      <c r="C187" s="15" t="n">
        <v>0.97458</v>
      </c>
      <c r="D187" s="15" t="n">
        <v>0.924812</v>
      </c>
      <c r="E187" s="15" t="n">
        <v>0.987172</v>
      </c>
      <c r="F187" s="15" t="n">
        <v>0.967741</v>
      </c>
      <c r="G187" s="15" t="n">
        <v>0.022525</v>
      </c>
      <c r="H187" s="15" t="n">
        <v>0.017583</v>
      </c>
      <c r="I187" s="15" t="n">
        <v>0.022525</v>
      </c>
      <c r="J187" s="15" t="n">
        <v>0.027943</v>
      </c>
      <c r="K187" s="15" t="n">
        <v>0.403021</v>
      </c>
      <c r="L187" s="15" t="n">
        <v>0.403021</v>
      </c>
      <c r="M187" s="15" t="n">
        <v>0.53184</v>
      </c>
      <c r="N187" s="15" t="n">
        <v>0.507543</v>
      </c>
    </row>
    <row r="188" customFormat="false" ht="15" hidden="false" customHeight="false" outlineLevel="0" collapsed="false">
      <c r="A188" s="2" t="n">
        <v>15</v>
      </c>
      <c r="B188" s="2" t="n">
        <v>20</v>
      </c>
      <c r="C188" s="15" t="n">
        <v>0.924812</v>
      </c>
      <c r="D188" s="15" t="n">
        <v>0.924812</v>
      </c>
      <c r="E188" s="15" t="n">
        <v>0.935306</v>
      </c>
      <c r="F188" s="15" t="n">
        <v>0.962856</v>
      </c>
      <c r="G188" s="15" t="n">
        <v>0.016073</v>
      </c>
      <c r="H188" s="15" t="n">
        <v>0.016073</v>
      </c>
      <c r="I188" s="15" t="n">
        <v>0.045656</v>
      </c>
      <c r="J188" s="15" t="n">
        <v>0.021691</v>
      </c>
      <c r="K188" s="15" t="n">
        <v>0.29307</v>
      </c>
      <c r="L188" s="15" t="n">
        <v>0.29307</v>
      </c>
      <c r="M188" s="15" t="n">
        <v>0.599119</v>
      </c>
      <c r="N188" s="15" t="n">
        <v>0.346582</v>
      </c>
    </row>
    <row r="189" customFormat="false" ht="15" hidden="false" customHeight="false" outlineLevel="0" collapsed="false">
      <c r="A189" s="2" t="n">
        <v>16</v>
      </c>
      <c r="B189" s="2" t="n">
        <v>17</v>
      </c>
      <c r="C189" s="15" t="n">
        <v>0.970649</v>
      </c>
      <c r="D189" s="15" t="n">
        <v>0.909305</v>
      </c>
      <c r="E189" s="15" t="n">
        <v>0.99899</v>
      </c>
      <c r="F189" s="15" t="n">
        <v>0.939977</v>
      </c>
      <c r="G189" s="15" t="n">
        <v>0.055578</v>
      </c>
      <c r="H189" s="15" t="n">
        <v>0.044748</v>
      </c>
      <c r="I189" s="15" t="n">
        <v>0.076516</v>
      </c>
      <c r="J189" s="15" t="n">
        <v>0.059928</v>
      </c>
      <c r="K189" s="15" t="n">
        <v>0.458533</v>
      </c>
      <c r="L189" s="15" t="n">
        <v>0.32051</v>
      </c>
      <c r="M189" s="15" t="n">
        <v>0.599119</v>
      </c>
      <c r="N189" s="15" t="n">
        <v>0.410867</v>
      </c>
    </row>
    <row r="190" customFormat="false" ht="15" hidden="false" customHeight="false" outlineLevel="0" collapsed="false">
      <c r="A190" s="2" t="n">
        <v>16</v>
      </c>
      <c r="B190" s="2" t="n">
        <v>18</v>
      </c>
      <c r="C190" s="15" t="n">
        <v>0.960993</v>
      </c>
      <c r="D190" s="15" t="n">
        <v>0.929495</v>
      </c>
      <c r="E190" s="15" t="n">
        <v>0.987172</v>
      </c>
      <c r="F190" s="15" t="n">
        <v>0.961418</v>
      </c>
      <c r="G190" s="15" t="n">
        <v>0.072548</v>
      </c>
      <c r="H190" s="15" t="n">
        <v>0.044748</v>
      </c>
      <c r="I190" s="15" t="n">
        <v>0.076516</v>
      </c>
      <c r="J190" s="15" t="n">
        <v>0.059928</v>
      </c>
      <c r="K190" s="15" t="n">
        <v>0.38584</v>
      </c>
      <c r="L190" s="15" t="n">
        <v>0.313653</v>
      </c>
      <c r="M190" s="15" t="n">
        <v>0.38584</v>
      </c>
      <c r="N190" s="15" t="n">
        <v>0.410867</v>
      </c>
    </row>
    <row r="191" customFormat="false" ht="15" hidden="false" customHeight="false" outlineLevel="0" collapsed="false">
      <c r="A191" s="2" t="n">
        <v>16</v>
      </c>
      <c r="B191" s="2" t="n">
        <v>19</v>
      </c>
      <c r="C191" s="15" t="n">
        <v>0.942321</v>
      </c>
      <c r="D191" s="15" t="n">
        <v>0.919964</v>
      </c>
      <c r="E191" s="15" t="n">
        <v>0.958074</v>
      </c>
      <c r="F191" s="15" t="n">
        <v>0.967741</v>
      </c>
      <c r="G191" s="15" t="n">
        <v>0.053317</v>
      </c>
      <c r="H191" s="15" t="n">
        <v>0.044748</v>
      </c>
      <c r="I191" s="15" t="n">
        <v>0.076516</v>
      </c>
      <c r="J191" s="15" t="n">
        <v>0.059928</v>
      </c>
      <c r="K191" s="15" t="n">
        <v>0.408236</v>
      </c>
      <c r="L191" s="15" t="n">
        <v>0.403021</v>
      </c>
      <c r="M191" s="15" t="n">
        <v>0.53184</v>
      </c>
      <c r="N191" s="15" t="n">
        <v>0.507543</v>
      </c>
    </row>
    <row r="192" customFormat="false" ht="15" hidden="false" customHeight="false" outlineLevel="0" collapsed="false">
      <c r="A192" s="2" t="n">
        <v>16</v>
      </c>
      <c r="B192" s="2" t="n">
        <v>20</v>
      </c>
      <c r="C192" s="15" t="n">
        <v>0.977251</v>
      </c>
      <c r="D192" s="15" t="n">
        <v>0.909305</v>
      </c>
      <c r="E192" s="15" t="n">
        <v>0.987172</v>
      </c>
      <c r="F192" s="15" t="n">
        <v>0.954031</v>
      </c>
      <c r="G192" s="15" t="n">
        <v>0.047878</v>
      </c>
      <c r="H192" s="15" t="n">
        <v>0.044748</v>
      </c>
      <c r="I192" s="15" t="n">
        <v>0.076516</v>
      </c>
      <c r="J192" s="15" t="n">
        <v>0.059928</v>
      </c>
      <c r="K192" s="15" t="n">
        <v>0.447331</v>
      </c>
      <c r="L192" s="15" t="n">
        <v>0.313653</v>
      </c>
      <c r="M192" s="15" t="n">
        <v>0.599119</v>
      </c>
      <c r="N192" s="15" t="n">
        <v>0.410867</v>
      </c>
    </row>
    <row r="193" customFormat="false" ht="15" hidden="false" customHeight="false" outlineLevel="0" collapsed="false">
      <c r="A193" s="2" t="n">
        <v>17</v>
      </c>
      <c r="B193" s="2" t="n">
        <v>18</v>
      </c>
      <c r="C193" s="15" t="n">
        <v>0.976455</v>
      </c>
      <c r="D193" s="15" t="n">
        <v>0.929495</v>
      </c>
      <c r="E193" s="15" t="n">
        <v>0.99899</v>
      </c>
      <c r="F193" s="15" t="n">
        <v>0.961418</v>
      </c>
      <c r="G193" s="15" t="n">
        <v>0.03532</v>
      </c>
      <c r="H193" s="15" t="n">
        <v>0.025696</v>
      </c>
      <c r="I193" s="15" t="n">
        <v>0.050288</v>
      </c>
      <c r="J193" s="15" t="n">
        <v>0.035943</v>
      </c>
      <c r="K193" s="15" t="n">
        <v>0.389563</v>
      </c>
      <c r="L193" s="15" t="n">
        <v>0.32051</v>
      </c>
      <c r="M193" s="15" t="n">
        <v>0.599119</v>
      </c>
      <c r="N193" s="15" t="n">
        <v>0.394625</v>
      </c>
    </row>
    <row r="194" customFormat="false" ht="15" hidden="false" customHeight="false" outlineLevel="0" collapsed="false">
      <c r="A194" s="2" t="n">
        <v>17</v>
      </c>
      <c r="B194" s="2" t="n">
        <v>19</v>
      </c>
      <c r="C194" s="15" t="n">
        <v>0.968774</v>
      </c>
      <c r="D194" s="15" t="n">
        <v>0.919964</v>
      </c>
      <c r="E194" s="15" t="n">
        <v>0.99899</v>
      </c>
      <c r="F194" s="15" t="n">
        <v>0.967741</v>
      </c>
      <c r="G194" s="15" t="n">
        <v>0.031718</v>
      </c>
      <c r="H194" s="15" t="n">
        <v>0.017583</v>
      </c>
      <c r="I194" s="15" t="n">
        <v>0.045656</v>
      </c>
      <c r="J194" s="15" t="n">
        <v>0.027943</v>
      </c>
      <c r="K194" s="15" t="n">
        <v>0.55254</v>
      </c>
      <c r="L194" s="15" t="n">
        <v>0.403021</v>
      </c>
      <c r="M194" s="15" t="n">
        <v>0.599119</v>
      </c>
      <c r="N194" s="15" t="n">
        <v>0.507543</v>
      </c>
    </row>
    <row r="195" customFormat="false" ht="15" hidden="false" customHeight="false" outlineLevel="0" collapsed="false">
      <c r="A195" s="2" t="n">
        <v>17</v>
      </c>
      <c r="B195" s="2" t="n">
        <v>20</v>
      </c>
      <c r="C195" s="15" t="n">
        <v>0.903745</v>
      </c>
      <c r="D195" s="15" t="n">
        <v>0.903745</v>
      </c>
      <c r="E195" s="15" t="n">
        <v>0.99899</v>
      </c>
      <c r="F195" s="15" t="n">
        <v>0.954031</v>
      </c>
      <c r="G195" s="15" t="n">
        <v>0.014761</v>
      </c>
      <c r="H195" s="15" t="n">
        <v>0.014761</v>
      </c>
      <c r="I195" s="15" t="n">
        <v>0.014761</v>
      </c>
      <c r="J195" s="15" t="n">
        <v>0.014761</v>
      </c>
      <c r="K195" s="15" t="n">
        <v>0.32051</v>
      </c>
      <c r="L195" s="15" t="n">
        <v>0.32051</v>
      </c>
      <c r="M195" s="15" t="n">
        <v>0.473139</v>
      </c>
      <c r="N195" s="15" t="n">
        <v>0.394625</v>
      </c>
    </row>
    <row r="196" customFormat="false" ht="15" hidden="false" customHeight="false" outlineLevel="0" collapsed="false">
      <c r="A196" s="2" t="n">
        <v>18</v>
      </c>
      <c r="B196" s="2" t="n">
        <v>19</v>
      </c>
      <c r="C196" s="15" t="n">
        <v>0.961486</v>
      </c>
      <c r="D196" s="15" t="n">
        <v>0.929495</v>
      </c>
      <c r="E196" s="15" t="n">
        <v>0.987172</v>
      </c>
      <c r="F196" s="15" t="n">
        <v>0.967741</v>
      </c>
      <c r="G196" s="15" t="n">
        <v>0.050288</v>
      </c>
      <c r="H196" s="15" t="n">
        <v>0.025696</v>
      </c>
      <c r="I196" s="15" t="n">
        <v>0.050288</v>
      </c>
      <c r="J196" s="15" t="n">
        <v>0.035943</v>
      </c>
      <c r="K196" s="15" t="n">
        <v>0.404648</v>
      </c>
      <c r="L196" s="15" t="n">
        <v>0.403021</v>
      </c>
      <c r="M196" s="15" t="n">
        <v>0.53184</v>
      </c>
      <c r="N196" s="15" t="n">
        <v>0.507543</v>
      </c>
    </row>
    <row r="197" customFormat="false" ht="15" hidden="false" customHeight="false" outlineLevel="0" collapsed="false">
      <c r="A197" s="2" t="n">
        <v>18</v>
      </c>
      <c r="B197" s="2" t="n">
        <v>20</v>
      </c>
      <c r="C197" s="15" t="n">
        <v>0.963677</v>
      </c>
      <c r="D197" s="15" t="n">
        <v>0.929495</v>
      </c>
      <c r="E197" s="15" t="n">
        <v>0.966665</v>
      </c>
      <c r="F197" s="15" t="n">
        <v>0.961418</v>
      </c>
      <c r="G197" s="15" t="n">
        <v>0.036325</v>
      </c>
      <c r="H197" s="15" t="n">
        <v>0.025696</v>
      </c>
      <c r="I197" s="15" t="n">
        <v>0.050288</v>
      </c>
      <c r="J197" s="15" t="n">
        <v>0.035943</v>
      </c>
      <c r="K197" s="15" t="n">
        <v>0.398047</v>
      </c>
      <c r="L197" s="15" t="n">
        <v>0.29307</v>
      </c>
      <c r="M197" s="15" t="n">
        <v>0.599119</v>
      </c>
      <c r="N197" s="15" t="n">
        <v>0.346582</v>
      </c>
    </row>
    <row r="198" customFormat="false" ht="15" hidden="false" customHeight="false" outlineLevel="0" collapsed="false">
      <c r="A198" s="2" t="n">
        <v>19</v>
      </c>
      <c r="B198" s="2" t="n">
        <v>20</v>
      </c>
      <c r="C198" s="15" t="n">
        <v>0.97748</v>
      </c>
      <c r="D198" s="15" t="n">
        <v>0.919964</v>
      </c>
      <c r="E198" s="15" t="n">
        <v>0.987172</v>
      </c>
      <c r="F198" s="15" t="n">
        <v>0.967741</v>
      </c>
      <c r="G198" s="15" t="n">
        <v>0.017583</v>
      </c>
      <c r="H198" s="15" t="n">
        <v>0.017583</v>
      </c>
      <c r="I198" s="15" t="n">
        <v>0.045656</v>
      </c>
      <c r="J198" s="15" t="n">
        <v>0.027943</v>
      </c>
      <c r="K198" s="15" t="n">
        <v>0.489485</v>
      </c>
      <c r="L198" s="15" t="n">
        <v>0.403021</v>
      </c>
      <c r="M198" s="15" t="n">
        <v>0.599119</v>
      </c>
      <c r="N198" s="15" t="n">
        <v>0.507543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7.5"/>
    <col collapsed="false" customWidth="true" hidden="false" outlineLevel="0" max="23" min="23" style="0" width="16"/>
    <col collapsed="false" customWidth="true" hidden="false" outlineLevel="0" max="24" min="24" style="0" width="12"/>
    <col collapsed="false" customWidth="true" hidden="false" outlineLevel="0" max="27" min="25" style="0" width="10"/>
  </cols>
  <sheetData>
    <row r="1" customFormat="false" ht="16.15" hidden="false" customHeight="false" outlineLevel="0" collapsed="false">
      <c r="A1" s="9" t="s">
        <v>482</v>
      </c>
    </row>
    <row r="2" customFormat="false" ht="15" hidden="false" customHeight="false" outlineLevel="0" collapsed="false">
      <c r="A2" s="10" t="s">
        <v>483</v>
      </c>
    </row>
    <row r="4" customFormat="false" ht="23.85" hidden="false" customHeight="false" outlineLevel="0" collapsed="false">
      <c r="B4" s="3" t="n">
        <v>1</v>
      </c>
      <c r="C4" s="3" t="n">
        <v>2</v>
      </c>
      <c r="D4" s="3" t="n">
        <v>3</v>
      </c>
      <c r="E4" s="3" t="n">
        <v>4</v>
      </c>
      <c r="F4" s="3" t="n">
        <v>5</v>
      </c>
      <c r="G4" s="3" t="n">
        <v>6</v>
      </c>
      <c r="H4" s="3" t="n">
        <v>7</v>
      </c>
      <c r="I4" s="3" t="n">
        <v>8</v>
      </c>
      <c r="J4" s="3" t="n">
        <v>9</v>
      </c>
      <c r="K4" s="3" t="n">
        <v>10</v>
      </c>
      <c r="L4" s="3" t="n">
        <v>11</v>
      </c>
      <c r="M4" s="3" t="n">
        <v>12</v>
      </c>
      <c r="N4" s="3" t="n">
        <v>13</v>
      </c>
      <c r="O4" s="3" t="n">
        <v>14</v>
      </c>
      <c r="P4" s="3" t="n">
        <v>15</v>
      </c>
      <c r="Q4" s="3" t="n">
        <v>16</v>
      </c>
      <c r="R4" s="3" t="n">
        <v>17</v>
      </c>
      <c r="S4" s="3" t="n">
        <v>18</v>
      </c>
      <c r="T4" s="3" t="n">
        <v>19</v>
      </c>
      <c r="U4" s="3" t="n">
        <v>20</v>
      </c>
      <c r="W4" s="7" t="s">
        <v>484</v>
      </c>
      <c r="X4" s="7" t="s">
        <v>485</v>
      </c>
      <c r="Y4" s="7" t="s">
        <v>486</v>
      </c>
      <c r="Z4" s="7" t="s">
        <v>487</v>
      </c>
      <c r="AA4" s="7" t="s">
        <v>488</v>
      </c>
    </row>
    <row r="5" customFormat="false" ht="15" hidden="false" customHeight="false" outlineLevel="0" collapsed="false">
      <c r="A5" s="3" t="n">
        <v>1</v>
      </c>
      <c r="B5" s="15" t="n">
        <v>0</v>
      </c>
      <c r="C5" s="15" t="n">
        <v>0.410214</v>
      </c>
      <c r="D5" s="15" t="n">
        <v>0.266466</v>
      </c>
      <c r="E5" s="15" t="n">
        <v>0.569279</v>
      </c>
      <c r="F5" s="15" t="n">
        <v>0.366567</v>
      </c>
      <c r="G5" s="15" t="n">
        <v>0.39996</v>
      </c>
      <c r="H5" s="15" t="n">
        <v>0.511916</v>
      </c>
      <c r="I5" s="15" t="n">
        <v>0.465361</v>
      </c>
      <c r="J5" s="15" t="n">
        <v>0.329119</v>
      </c>
      <c r="K5" s="15" t="n">
        <v>0.50261</v>
      </c>
      <c r="L5" s="15" t="n">
        <v>0.397782</v>
      </c>
      <c r="M5" s="15" t="n">
        <v>0.366923</v>
      </c>
      <c r="N5" s="15" t="n">
        <v>0.437904</v>
      </c>
      <c r="O5" s="15" t="n">
        <v>0.406284</v>
      </c>
      <c r="P5" s="15" t="n">
        <v>0.401989</v>
      </c>
      <c r="Q5" s="15" t="n">
        <v>0.509204</v>
      </c>
      <c r="R5" s="15" t="n">
        <v>0.473139</v>
      </c>
      <c r="S5" s="15" t="n">
        <v>0.473504</v>
      </c>
      <c r="T5" s="15" t="n">
        <v>0.518866</v>
      </c>
      <c r="U5" s="15" t="n">
        <v>0.352352</v>
      </c>
      <c r="W5" s="2" t="n">
        <v>1</v>
      </c>
      <c r="X5" s="4" t="n">
        <v>0</v>
      </c>
      <c r="Y5" s="18" t="n">
        <f aca="false">SUMPRODUCT(($B$27:$U$27=X5)*(B5:U5))/(COUNTIF($X$5:$X$24,X5)-1)</f>
        <v>0.4138868125</v>
      </c>
      <c r="Z5" s="18" t="n">
        <f aca="false">SUMPRODUCT(($B$27:$U$27&lt;&gt;X5)*(B5:U5))/(20-COUNTIF($X$5:$X$24,X5))</f>
        <v>0.512416666666667</v>
      </c>
      <c r="AA5" s="18" t="n">
        <f aca="false">(Z5-Y5)/MAX(Y5,Z5)</f>
        <v>0.192284639778826</v>
      </c>
    </row>
    <row r="6" customFormat="false" ht="15" hidden="false" customHeight="false" outlineLevel="0" collapsed="false">
      <c r="A6" s="3" t="n">
        <v>2</v>
      </c>
      <c r="B6" s="15" t="n">
        <v>0.410214</v>
      </c>
      <c r="C6" s="15" t="n">
        <v>0</v>
      </c>
      <c r="D6" s="15" t="n">
        <v>0.410279</v>
      </c>
      <c r="E6" s="15" t="n">
        <v>0.569123</v>
      </c>
      <c r="F6" s="15" t="n">
        <v>0.340546</v>
      </c>
      <c r="G6" s="15" t="n">
        <v>0.389422</v>
      </c>
      <c r="H6" s="15" t="n">
        <v>0.502672</v>
      </c>
      <c r="I6" s="15" t="n">
        <v>0.462351</v>
      </c>
      <c r="J6" s="15" t="n">
        <v>0.30123</v>
      </c>
      <c r="K6" s="15" t="n">
        <v>0.41654</v>
      </c>
      <c r="L6" s="15" t="n">
        <v>0.40162</v>
      </c>
      <c r="M6" s="15" t="n">
        <v>0.381208</v>
      </c>
      <c r="N6" s="15" t="n">
        <v>0.481868</v>
      </c>
      <c r="O6" s="15" t="n">
        <v>0.434294</v>
      </c>
      <c r="P6" s="15" t="n">
        <v>0.397865</v>
      </c>
      <c r="Q6" s="15" t="n">
        <v>0.528395</v>
      </c>
      <c r="R6" s="15" t="n">
        <v>0.381608</v>
      </c>
      <c r="S6" s="15" t="n">
        <v>0.465217</v>
      </c>
      <c r="T6" s="15" t="n">
        <v>0.537687</v>
      </c>
      <c r="U6" s="15" t="n">
        <v>0.369737</v>
      </c>
      <c r="W6" s="2" t="n">
        <v>2</v>
      </c>
      <c r="X6" s="4" t="n">
        <v>0</v>
      </c>
      <c r="Y6" s="18" t="n">
        <f aca="false">SUMPRODUCT(($B$27:$U$27=X6)*(B6:U6))/(COUNTIF($X$5:$X$24,X6)-1)</f>
        <v>0.420866375</v>
      </c>
      <c r="Z6" s="18" t="n">
        <f aca="false">SUMPRODUCT(($B$27:$U$27&lt;&gt;X6)*(B6:U6))/(20-COUNTIF($X$5:$X$24,X6))</f>
        <v>0.482671333333333</v>
      </c>
      <c r="AA6" s="18" t="n">
        <f aca="false">(Z6-Y6)/MAX(Y6,Z6)</f>
        <v>0.128047708792871</v>
      </c>
    </row>
    <row r="7" customFormat="false" ht="15" hidden="false" customHeight="false" outlineLevel="0" collapsed="false">
      <c r="A7" s="3" t="n">
        <v>3</v>
      </c>
      <c r="B7" s="15" t="n">
        <v>0.266466</v>
      </c>
      <c r="C7" s="15" t="n">
        <v>0.410279</v>
      </c>
      <c r="D7" s="15" t="n">
        <v>0</v>
      </c>
      <c r="E7" s="15" t="n">
        <v>0.519003</v>
      </c>
      <c r="F7" s="15" t="n">
        <v>0.296426</v>
      </c>
      <c r="G7" s="15" t="n">
        <v>0.404307</v>
      </c>
      <c r="H7" s="15" t="n">
        <v>0.446089</v>
      </c>
      <c r="I7" s="15" t="n">
        <v>0.458721</v>
      </c>
      <c r="J7" s="15" t="n">
        <v>0.294154</v>
      </c>
      <c r="K7" s="15" t="n">
        <v>0.475453</v>
      </c>
      <c r="L7" s="15" t="n">
        <v>0.409349</v>
      </c>
      <c r="M7" s="15" t="n">
        <v>0.346831</v>
      </c>
      <c r="N7" s="15" t="n">
        <v>0.408007</v>
      </c>
      <c r="O7" s="15" t="n">
        <v>0.350786</v>
      </c>
      <c r="P7" s="15" t="n">
        <v>0.39982</v>
      </c>
      <c r="Q7" s="15" t="n">
        <v>0.429358</v>
      </c>
      <c r="R7" s="15" t="n">
        <v>0.415359</v>
      </c>
      <c r="S7" s="15" t="n">
        <v>0.459199</v>
      </c>
      <c r="T7" s="15" t="n">
        <v>0.508781</v>
      </c>
      <c r="U7" s="15" t="n">
        <v>0.342234</v>
      </c>
      <c r="W7" s="2" t="n">
        <v>3</v>
      </c>
      <c r="X7" s="4" t="n">
        <v>0</v>
      </c>
      <c r="Y7" s="18" t="n">
        <f aca="false">SUMPRODUCT(($B$27:$U$27=X7)*(B7:U7))/(COUNTIF($X$5:$X$24,X7)-1)</f>
        <v>0.3867153125</v>
      </c>
      <c r="Z7" s="18" t="n">
        <f aca="false">SUMPRODUCT(($B$27:$U$27&lt;&gt;X7)*(B7:U7))/(20-COUNTIF($X$5:$X$24,X7))</f>
        <v>0.484392333333333</v>
      </c>
      <c r="AA7" s="18" t="n">
        <f aca="false">(Z7-Y7)/MAX(Y7,Z7)</f>
        <v>0.201648568963037</v>
      </c>
    </row>
    <row r="8" customFormat="false" ht="15" hidden="false" customHeight="false" outlineLevel="0" collapsed="false">
      <c r="A8" s="3" t="n">
        <v>4</v>
      </c>
      <c r="B8" s="15" t="n">
        <v>0.569279</v>
      </c>
      <c r="C8" s="15" t="n">
        <v>0.569123</v>
      </c>
      <c r="D8" s="15" t="n">
        <v>0.519003</v>
      </c>
      <c r="E8" s="15" t="n">
        <v>0</v>
      </c>
      <c r="F8" s="15" t="n">
        <v>0.561773</v>
      </c>
      <c r="G8" s="15" t="n">
        <v>0.582478</v>
      </c>
      <c r="H8" s="15" t="n">
        <v>0.55845</v>
      </c>
      <c r="I8" s="15" t="n">
        <v>0.383548</v>
      </c>
      <c r="J8" s="15" t="n">
        <v>0.547275</v>
      </c>
      <c r="K8" s="15" t="n">
        <v>0.507924</v>
      </c>
      <c r="L8" s="15" t="n">
        <v>0.630378</v>
      </c>
      <c r="M8" s="15" t="n">
        <v>0.559904</v>
      </c>
      <c r="N8" s="15" t="n">
        <v>0.652819</v>
      </c>
      <c r="O8" s="15" t="n">
        <v>0.65721</v>
      </c>
      <c r="P8" s="15" t="n">
        <v>0.500991</v>
      </c>
      <c r="Q8" s="15" t="n">
        <v>0.640367</v>
      </c>
      <c r="R8" s="15" t="n">
        <v>0.652214</v>
      </c>
      <c r="S8" s="15" t="n">
        <v>0.52919</v>
      </c>
      <c r="T8" s="15" t="n">
        <v>0.576198</v>
      </c>
      <c r="U8" s="15" t="n">
        <v>0.597296</v>
      </c>
      <c r="W8" s="2" t="n">
        <v>4</v>
      </c>
      <c r="X8" s="4" t="n">
        <v>1</v>
      </c>
      <c r="Y8" s="18" t="n">
        <f aca="false">SUMPRODUCT(($B$27:$U$27=X8)*(B8:U8))/(COUNTIF($X$5:$X$24,X8)-1)</f>
        <v>0.445736</v>
      </c>
      <c r="Z8" s="18" t="n">
        <f aca="false">SUMPRODUCT(($B$27:$U$27&lt;&gt;X8)*(B8:U8))/(20-COUNTIF($X$5:$X$24,X8))</f>
        <v>0.582585176470588</v>
      </c>
      <c r="AA8" s="18" t="n">
        <f aca="false">(Z8-Y8)/MAX(Y8,Z8)</f>
        <v>0.234899860136584</v>
      </c>
    </row>
    <row r="9" customFormat="false" ht="15" hidden="false" customHeight="false" outlineLevel="0" collapsed="false">
      <c r="A9" s="3" t="n">
        <v>5</v>
      </c>
      <c r="B9" s="15" t="n">
        <v>0.366567</v>
      </c>
      <c r="C9" s="15" t="n">
        <v>0.340546</v>
      </c>
      <c r="D9" s="15" t="n">
        <v>0.296426</v>
      </c>
      <c r="E9" s="15" t="n">
        <v>0.561773</v>
      </c>
      <c r="F9" s="15" t="n">
        <v>0</v>
      </c>
      <c r="G9" s="15" t="n">
        <v>0.342849</v>
      </c>
      <c r="H9" s="15" t="n">
        <v>0.472881</v>
      </c>
      <c r="I9" s="15" t="n">
        <v>0.398677</v>
      </c>
      <c r="J9" s="15" t="n">
        <v>0.255696</v>
      </c>
      <c r="K9" s="15" t="n">
        <v>0.363588</v>
      </c>
      <c r="L9" s="15" t="n">
        <v>0.395746</v>
      </c>
      <c r="M9" s="15" t="n">
        <v>0.331734</v>
      </c>
      <c r="N9" s="15" t="n">
        <v>0.477743</v>
      </c>
      <c r="O9" s="15" t="n">
        <v>0.446325</v>
      </c>
      <c r="P9" s="15" t="n">
        <v>0.332642</v>
      </c>
      <c r="Q9" s="15" t="n">
        <v>0.4466</v>
      </c>
      <c r="R9" s="15" t="n">
        <v>0.361384</v>
      </c>
      <c r="S9" s="15" t="n">
        <v>0.359324</v>
      </c>
      <c r="T9" s="15" t="n">
        <v>0.481021</v>
      </c>
      <c r="U9" s="15" t="n">
        <v>0.304829</v>
      </c>
      <c r="W9" s="2" t="n">
        <v>5</v>
      </c>
      <c r="X9" s="4" t="n">
        <v>0</v>
      </c>
      <c r="Y9" s="18" t="n">
        <f aca="false">SUMPRODUCT(($B$27:$U$27=X9)*(B9:U9))/(COUNTIF($X$5:$X$24,X9)-1)</f>
        <v>0.3757695625</v>
      </c>
      <c r="Z9" s="18" t="n">
        <f aca="false">SUMPRODUCT(($B$27:$U$27&lt;&gt;X9)*(B9:U9))/(20-COUNTIF($X$5:$X$24,X9))</f>
        <v>0.441346</v>
      </c>
      <c r="AA9" s="18" t="n">
        <f aca="false">(Z9-Y9)/MAX(Y9,Z9)</f>
        <v>0.148582829571357</v>
      </c>
    </row>
    <row r="10" customFormat="false" ht="15" hidden="false" customHeight="false" outlineLevel="0" collapsed="false">
      <c r="A10" s="3" t="n">
        <v>6</v>
      </c>
      <c r="B10" s="15" t="n">
        <v>0.39996</v>
      </c>
      <c r="C10" s="15" t="n">
        <v>0.389422</v>
      </c>
      <c r="D10" s="15" t="n">
        <v>0.404307</v>
      </c>
      <c r="E10" s="15" t="n">
        <v>0.582478</v>
      </c>
      <c r="F10" s="15" t="n">
        <v>0.342849</v>
      </c>
      <c r="G10" s="15" t="n">
        <v>0</v>
      </c>
      <c r="H10" s="15" t="n">
        <v>0.461154</v>
      </c>
      <c r="I10" s="15" t="n">
        <v>0.5371</v>
      </c>
      <c r="J10" s="15" t="n">
        <v>0.190163</v>
      </c>
      <c r="K10" s="15" t="n">
        <v>0.532414</v>
      </c>
      <c r="L10" s="15" t="n">
        <v>0.455489</v>
      </c>
      <c r="M10" s="15" t="n">
        <v>0.280239</v>
      </c>
      <c r="N10" s="15" t="n">
        <v>0.493172</v>
      </c>
      <c r="O10" s="15" t="n">
        <v>0.48548</v>
      </c>
      <c r="P10" s="15" t="n">
        <v>0.34447</v>
      </c>
      <c r="Q10" s="15" t="n">
        <v>0.535054</v>
      </c>
      <c r="R10" s="15" t="n">
        <v>0.447232</v>
      </c>
      <c r="S10" s="15" t="n">
        <v>0.413408</v>
      </c>
      <c r="T10" s="15" t="n">
        <v>0.566065</v>
      </c>
      <c r="U10" s="15" t="n">
        <v>0.283532</v>
      </c>
      <c r="W10" s="2" t="n">
        <v>6</v>
      </c>
      <c r="X10" s="4" t="n">
        <v>0</v>
      </c>
      <c r="Y10" s="18" t="n">
        <f aca="false">SUMPRODUCT(($B$27:$U$27=X10)*(B10:U10))/(COUNTIF($X$5:$X$24,X10)-1)</f>
        <v>0.40574975</v>
      </c>
      <c r="Z10" s="18" t="n">
        <f aca="false">SUMPRODUCT(($B$27:$U$27&lt;&gt;X10)*(B10:U10))/(20-COUNTIF($X$5:$X$24,X10))</f>
        <v>0.550664</v>
      </c>
      <c r="AA10" s="18" t="n">
        <f aca="false">(Z10-Y10)/MAX(Y10,Z10)</f>
        <v>0.263162745340171</v>
      </c>
    </row>
    <row r="11" customFormat="false" ht="15" hidden="false" customHeight="false" outlineLevel="0" collapsed="false">
      <c r="A11" s="3" t="n">
        <v>7</v>
      </c>
      <c r="B11" s="15" t="n">
        <v>0.511916</v>
      </c>
      <c r="C11" s="15" t="n">
        <v>0.502672</v>
      </c>
      <c r="D11" s="15" t="n">
        <v>0.446089</v>
      </c>
      <c r="E11" s="15" t="n">
        <v>0.55845</v>
      </c>
      <c r="F11" s="15" t="n">
        <v>0.472881</v>
      </c>
      <c r="G11" s="15" t="n">
        <v>0.461154</v>
      </c>
      <c r="H11" s="15" t="n">
        <v>0</v>
      </c>
      <c r="I11" s="15" t="n">
        <v>0.535534</v>
      </c>
      <c r="J11" s="15" t="n">
        <v>0.366746</v>
      </c>
      <c r="K11" s="15" t="n">
        <v>0.529381</v>
      </c>
      <c r="L11" s="15" t="n">
        <v>0.512231</v>
      </c>
      <c r="M11" s="15" t="n">
        <v>0.48515</v>
      </c>
      <c r="N11" s="15" t="n">
        <v>0.628663</v>
      </c>
      <c r="O11" s="15" t="n">
        <v>0.520743</v>
      </c>
      <c r="P11" s="15" t="n">
        <v>0.508306</v>
      </c>
      <c r="Q11" s="15" t="n">
        <v>0.599553</v>
      </c>
      <c r="R11" s="15" t="n">
        <v>0.614799</v>
      </c>
      <c r="S11" s="15" t="n">
        <v>0.495786</v>
      </c>
      <c r="T11" s="15" t="n">
        <v>0.570412</v>
      </c>
      <c r="U11" s="15" t="n">
        <v>0.497568</v>
      </c>
      <c r="W11" s="2" t="n">
        <v>7</v>
      </c>
      <c r="X11" s="4" t="n">
        <v>0</v>
      </c>
      <c r="Y11" s="18" t="n">
        <f aca="false">SUMPRODUCT(($B$27:$U$27=X11)*(B11:U11))/(COUNTIF($X$5:$X$24,X11)-1)</f>
        <v>0.5121668125</v>
      </c>
      <c r="Z11" s="18" t="n">
        <f aca="false">SUMPRODUCT(($B$27:$U$27&lt;&gt;X11)*(B11:U11))/(20-COUNTIF($X$5:$X$24,X11))</f>
        <v>0.541121666666667</v>
      </c>
      <c r="AA11" s="18" t="n">
        <f aca="false">(Z11-Y11)/MAX(Y11,Z11)</f>
        <v>0.0535089536241079</v>
      </c>
    </row>
    <row r="12" customFormat="false" ht="15" hidden="false" customHeight="false" outlineLevel="0" collapsed="false">
      <c r="A12" s="3" t="n">
        <v>8</v>
      </c>
      <c r="B12" s="15" t="n">
        <v>0.465361</v>
      </c>
      <c r="C12" s="15" t="n">
        <v>0.462351</v>
      </c>
      <c r="D12" s="15" t="n">
        <v>0.458721</v>
      </c>
      <c r="E12" s="15" t="n">
        <v>0.383548</v>
      </c>
      <c r="F12" s="15" t="n">
        <v>0.398677</v>
      </c>
      <c r="G12" s="15" t="n">
        <v>0.5371</v>
      </c>
      <c r="H12" s="15" t="n">
        <v>0.535534</v>
      </c>
      <c r="I12" s="15" t="n">
        <v>0</v>
      </c>
      <c r="J12" s="15" t="n">
        <v>0.460908</v>
      </c>
      <c r="K12" s="15" t="n">
        <v>0.417809</v>
      </c>
      <c r="L12" s="15" t="n">
        <v>0.569424</v>
      </c>
      <c r="M12" s="15" t="n">
        <v>0.446578</v>
      </c>
      <c r="N12" s="15" t="n">
        <v>0.603407</v>
      </c>
      <c r="O12" s="15" t="n">
        <v>0.561308</v>
      </c>
      <c r="P12" s="15" t="n">
        <v>0.377198</v>
      </c>
      <c r="Q12" s="15" t="n">
        <v>0.602328</v>
      </c>
      <c r="R12" s="15" t="n">
        <v>0.486102</v>
      </c>
      <c r="S12" s="15" t="n">
        <v>0.488796</v>
      </c>
      <c r="T12" s="15" t="n">
        <v>0.472836</v>
      </c>
      <c r="U12" s="15" t="n">
        <v>0.47938</v>
      </c>
      <c r="W12" s="2" t="n">
        <v>8</v>
      </c>
      <c r="X12" s="4" t="n">
        <v>1</v>
      </c>
      <c r="Y12" s="18" t="n">
        <f aca="false">SUMPRODUCT(($B$27:$U$27=X12)*(B12:U12))/(COUNTIF($X$5:$X$24,X12)-1)</f>
        <v>0.4006785</v>
      </c>
      <c r="Z12" s="18" t="n">
        <f aca="false">SUMPRODUCT(($B$27:$U$27&lt;&gt;X12)*(B12:U12))/(20-COUNTIF($X$5:$X$24,X12))</f>
        <v>0.494471117647059</v>
      </c>
      <c r="AA12" s="18" t="n">
        <f aca="false">(Z12-Y12)/MAX(Y12,Z12)</f>
        <v>0.189682701981404</v>
      </c>
    </row>
    <row r="13" customFormat="false" ht="15" hidden="false" customHeight="false" outlineLevel="0" collapsed="false">
      <c r="A13" s="3" t="n">
        <v>9</v>
      </c>
      <c r="B13" s="15" t="n">
        <v>0.329119</v>
      </c>
      <c r="C13" s="15" t="n">
        <v>0.30123</v>
      </c>
      <c r="D13" s="15" t="n">
        <v>0.294154</v>
      </c>
      <c r="E13" s="15" t="n">
        <v>0.547275</v>
      </c>
      <c r="F13" s="15" t="n">
        <v>0.255696</v>
      </c>
      <c r="G13" s="15" t="n">
        <v>0.190163</v>
      </c>
      <c r="H13" s="15" t="n">
        <v>0.366746</v>
      </c>
      <c r="I13" s="15" t="n">
        <v>0.460908</v>
      </c>
      <c r="J13" s="15" t="n">
        <v>0</v>
      </c>
      <c r="K13" s="15" t="n">
        <v>0.4525</v>
      </c>
      <c r="L13" s="15" t="n">
        <v>0.375353</v>
      </c>
      <c r="M13" s="15" t="n">
        <v>0.253809</v>
      </c>
      <c r="N13" s="15" t="n">
        <v>0.449034</v>
      </c>
      <c r="O13" s="15" t="n">
        <v>0.383343</v>
      </c>
      <c r="P13" s="15" t="n">
        <v>0.320505</v>
      </c>
      <c r="Q13" s="15" t="n">
        <v>0.436367</v>
      </c>
      <c r="R13" s="15" t="n">
        <v>0.41071</v>
      </c>
      <c r="S13" s="15" t="n">
        <v>0.321254</v>
      </c>
      <c r="T13" s="15" t="n">
        <v>0.491875</v>
      </c>
      <c r="U13" s="15" t="n">
        <v>0.269197</v>
      </c>
      <c r="W13" s="2" t="n">
        <v>9</v>
      </c>
      <c r="X13" s="4" t="n">
        <v>0</v>
      </c>
      <c r="Y13" s="18" t="n">
        <f aca="false">SUMPRODUCT(($B$27:$U$27=X13)*(B13:U13))/(COUNTIF($X$5:$X$24,X13)-1)</f>
        <v>0.3405346875</v>
      </c>
      <c r="Z13" s="18" t="n">
        <f aca="false">SUMPRODUCT(($B$27:$U$27&lt;&gt;X13)*(B13:U13))/(20-COUNTIF($X$5:$X$24,X13))</f>
        <v>0.486894333333333</v>
      </c>
      <c r="AA13" s="18" t="n">
        <f aca="false">(Z13-Y13)/MAX(Y13,Z13)</f>
        <v>0.300598375896755</v>
      </c>
    </row>
    <row r="14" customFormat="false" ht="15" hidden="false" customHeight="false" outlineLevel="0" collapsed="false">
      <c r="A14" s="3" t="n">
        <v>10</v>
      </c>
      <c r="B14" s="15" t="n">
        <v>0.50261</v>
      </c>
      <c r="C14" s="15" t="n">
        <v>0.41654</v>
      </c>
      <c r="D14" s="15" t="n">
        <v>0.475453</v>
      </c>
      <c r="E14" s="15" t="n">
        <v>0.507924</v>
      </c>
      <c r="F14" s="15" t="n">
        <v>0.363588</v>
      </c>
      <c r="G14" s="15" t="n">
        <v>0.532414</v>
      </c>
      <c r="H14" s="15" t="n">
        <v>0.529381</v>
      </c>
      <c r="I14" s="15" t="n">
        <v>0.417809</v>
      </c>
      <c r="J14" s="15" t="n">
        <v>0.4525</v>
      </c>
      <c r="K14" s="15" t="n">
        <v>0</v>
      </c>
      <c r="L14" s="15" t="n">
        <v>0.482707</v>
      </c>
      <c r="M14" s="15" t="n">
        <v>0.547605</v>
      </c>
      <c r="N14" s="15" t="n">
        <v>0.572594</v>
      </c>
      <c r="O14" s="15" t="n">
        <v>0.537072</v>
      </c>
      <c r="P14" s="15" t="n">
        <v>0.439591</v>
      </c>
      <c r="Q14" s="15" t="n">
        <v>0.523614</v>
      </c>
      <c r="R14" s="15" t="n">
        <v>0.485457</v>
      </c>
      <c r="S14" s="15" t="n">
        <v>0.452304</v>
      </c>
      <c r="T14" s="15" t="n">
        <v>0.516391</v>
      </c>
      <c r="U14" s="15" t="n">
        <v>0.459853</v>
      </c>
      <c r="W14" s="2" t="n">
        <v>10</v>
      </c>
      <c r="X14" s="4" t="n">
        <v>1</v>
      </c>
      <c r="Y14" s="18" t="n">
        <f aca="false">SUMPRODUCT(($B$27:$U$27=X14)*(B14:U14))/(COUNTIF($X$5:$X$24,X14)-1)</f>
        <v>0.4628665</v>
      </c>
      <c r="Z14" s="18" t="n">
        <f aca="false">SUMPRODUCT(($B$27:$U$27&lt;&gt;X14)*(B14:U14))/(20-COUNTIF($X$5:$X$24,X14))</f>
        <v>0.487627882352941</v>
      </c>
      <c r="AA14" s="18" t="n">
        <f aca="false">(Z14-Y14)/MAX(Y14,Z14)</f>
        <v>0.0507792586294708</v>
      </c>
    </row>
    <row r="15" customFormat="false" ht="15" hidden="false" customHeight="false" outlineLevel="0" collapsed="false">
      <c r="A15" s="3" t="n">
        <v>11</v>
      </c>
      <c r="B15" s="15" t="n">
        <v>0.397782</v>
      </c>
      <c r="C15" s="15" t="n">
        <v>0.40162</v>
      </c>
      <c r="D15" s="15" t="n">
        <v>0.409349</v>
      </c>
      <c r="E15" s="15" t="n">
        <v>0.630378</v>
      </c>
      <c r="F15" s="15" t="n">
        <v>0.395746</v>
      </c>
      <c r="G15" s="15" t="n">
        <v>0.455489</v>
      </c>
      <c r="H15" s="15" t="n">
        <v>0.512231</v>
      </c>
      <c r="I15" s="15" t="n">
        <v>0.569424</v>
      </c>
      <c r="J15" s="15" t="n">
        <v>0.375353</v>
      </c>
      <c r="K15" s="15" t="n">
        <v>0.482707</v>
      </c>
      <c r="L15" s="15" t="n">
        <v>0</v>
      </c>
      <c r="M15" s="15" t="n">
        <v>0.345325</v>
      </c>
      <c r="N15" s="15" t="n">
        <v>0.404089</v>
      </c>
      <c r="O15" s="15" t="n">
        <v>0.445512</v>
      </c>
      <c r="P15" s="15" t="n">
        <v>0.317631</v>
      </c>
      <c r="Q15" s="15" t="n">
        <v>0.26451</v>
      </c>
      <c r="R15" s="15" t="n">
        <v>0.323848</v>
      </c>
      <c r="S15" s="15" t="n">
        <v>0.344489</v>
      </c>
      <c r="T15" s="15" t="n">
        <v>0.53184</v>
      </c>
      <c r="U15" s="15" t="n">
        <v>0.313653</v>
      </c>
      <c r="W15" s="2" t="n">
        <v>11</v>
      </c>
      <c r="X15" s="4" t="n">
        <v>0</v>
      </c>
      <c r="Y15" s="18" t="n">
        <f aca="false">SUMPRODUCT(($B$27:$U$27=X15)*(B15:U15))/(COUNTIF($X$5:$X$24,X15)-1)</f>
        <v>0.3899041875</v>
      </c>
      <c r="Z15" s="18" t="n">
        <f aca="false">SUMPRODUCT(($B$27:$U$27&lt;&gt;X15)*(B15:U15))/(20-COUNTIF($X$5:$X$24,X15))</f>
        <v>0.560836333333333</v>
      </c>
      <c r="AA15" s="18" t="n">
        <f aca="false">(Z15-Y15)/MAX(Y15,Z15)</f>
        <v>0.304780799092308</v>
      </c>
    </row>
    <row r="16" customFormat="false" ht="15" hidden="false" customHeight="false" outlineLevel="0" collapsed="false">
      <c r="A16" s="3" t="n">
        <v>12</v>
      </c>
      <c r="B16" s="15" t="n">
        <v>0.366923</v>
      </c>
      <c r="C16" s="15" t="n">
        <v>0.381208</v>
      </c>
      <c r="D16" s="15" t="n">
        <v>0.346831</v>
      </c>
      <c r="E16" s="15" t="n">
        <v>0.559904</v>
      </c>
      <c r="F16" s="15" t="n">
        <v>0.331734</v>
      </c>
      <c r="G16" s="15" t="n">
        <v>0.280239</v>
      </c>
      <c r="H16" s="15" t="n">
        <v>0.48515</v>
      </c>
      <c r="I16" s="15" t="n">
        <v>0.446578</v>
      </c>
      <c r="J16" s="15" t="n">
        <v>0.253809</v>
      </c>
      <c r="K16" s="15" t="n">
        <v>0.547605</v>
      </c>
      <c r="L16" s="15" t="n">
        <v>0.345325</v>
      </c>
      <c r="M16" s="15" t="n">
        <v>0</v>
      </c>
      <c r="N16" s="15" t="n">
        <v>0.4113</v>
      </c>
      <c r="O16" s="15" t="n">
        <v>0.507388</v>
      </c>
      <c r="P16" s="15" t="n">
        <v>0.296166</v>
      </c>
      <c r="Q16" s="15" t="n">
        <v>0.419928</v>
      </c>
      <c r="R16" s="15" t="n">
        <v>0.394127</v>
      </c>
      <c r="S16" s="15" t="n">
        <v>0.386938</v>
      </c>
      <c r="T16" s="15" t="n">
        <v>0.531443</v>
      </c>
      <c r="U16" s="15" t="n">
        <v>0.260642</v>
      </c>
      <c r="W16" s="2" t="n">
        <v>12</v>
      </c>
      <c r="X16" s="4" t="n">
        <v>0</v>
      </c>
      <c r="Y16" s="18" t="n">
        <f aca="false">SUMPRODUCT(($B$27:$U$27=X16)*(B16:U16))/(COUNTIF($X$5:$X$24,X16)-1)</f>
        <v>0.3749469375</v>
      </c>
      <c r="Z16" s="18" t="n">
        <f aca="false">SUMPRODUCT(($B$27:$U$27&lt;&gt;X16)*(B16:U16))/(20-COUNTIF($X$5:$X$24,X16))</f>
        <v>0.518029</v>
      </c>
      <c r="AA16" s="18" t="n">
        <f aca="false">(Z16-Y16)/MAX(Y16,Z16)</f>
        <v>0.276204734677016</v>
      </c>
    </row>
    <row r="17" customFormat="false" ht="15" hidden="false" customHeight="false" outlineLevel="0" collapsed="false">
      <c r="A17" s="3" t="n">
        <v>13</v>
      </c>
      <c r="B17" s="15" t="n">
        <v>0.437904</v>
      </c>
      <c r="C17" s="15" t="n">
        <v>0.481868</v>
      </c>
      <c r="D17" s="15" t="n">
        <v>0.408007</v>
      </c>
      <c r="E17" s="15" t="n">
        <v>0.652819</v>
      </c>
      <c r="F17" s="15" t="n">
        <v>0.477743</v>
      </c>
      <c r="G17" s="15" t="n">
        <v>0.493172</v>
      </c>
      <c r="H17" s="15" t="n">
        <v>0.628663</v>
      </c>
      <c r="I17" s="15" t="n">
        <v>0.603407</v>
      </c>
      <c r="J17" s="15" t="n">
        <v>0.449034</v>
      </c>
      <c r="K17" s="15" t="n">
        <v>0.572594</v>
      </c>
      <c r="L17" s="15" t="n">
        <v>0.404089</v>
      </c>
      <c r="M17" s="15" t="n">
        <v>0.4113</v>
      </c>
      <c r="N17" s="15" t="n">
        <v>0</v>
      </c>
      <c r="O17" s="15" t="n">
        <v>0.493287</v>
      </c>
      <c r="P17" s="15" t="n">
        <v>0.460247</v>
      </c>
      <c r="Q17" s="15" t="n">
        <v>0.481718</v>
      </c>
      <c r="R17" s="15" t="n">
        <v>0.438619</v>
      </c>
      <c r="S17" s="15" t="n">
        <v>0.513794</v>
      </c>
      <c r="T17" s="15" t="n">
        <v>0.599119</v>
      </c>
      <c r="U17" s="15" t="n">
        <v>0.408201</v>
      </c>
      <c r="W17" s="2" t="n">
        <v>13</v>
      </c>
      <c r="X17" s="4" t="n">
        <v>0</v>
      </c>
      <c r="Y17" s="18" t="n">
        <f aca="false">SUMPRODUCT(($B$27:$U$27=X17)*(B17:U17))/(COUNTIF($X$5:$X$24,X17)-1)</f>
        <v>0.4741728125</v>
      </c>
      <c r="Z17" s="18" t="n">
        <f aca="false">SUMPRODUCT(($B$27:$U$27&lt;&gt;X17)*(B17:U17))/(20-COUNTIF($X$5:$X$24,X17))</f>
        <v>0.609606666666667</v>
      </c>
      <c r="AA17" s="18" t="n">
        <f aca="false">(Z17-Y17)/MAX(Y17,Z17)</f>
        <v>0.222165966306143</v>
      </c>
    </row>
    <row r="18" customFormat="false" ht="15" hidden="false" customHeight="false" outlineLevel="0" collapsed="false">
      <c r="A18" s="3" t="n">
        <v>14</v>
      </c>
      <c r="B18" s="15" t="n">
        <v>0.406284</v>
      </c>
      <c r="C18" s="15" t="n">
        <v>0.434294</v>
      </c>
      <c r="D18" s="15" t="n">
        <v>0.350786</v>
      </c>
      <c r="E18" s="15" t="n">
        <v>0.65721</v>
      </c>
      <c r="F18" s="15" t="n">
        <v>0.446325</v>
      </c>
      <c r="G18" s="15" t="n">
        <v>0.48548</v>
      </c>
      <c r="H18" s="15" t="n">
        <v>0.520743</v>
      </c>
      <c r="I18" s="15" t="n">
        <v>0.561308</v>
      </c>
      <c r="J18" s="15" t="n">
        <v>0.383343</v>
      </c>
      <c r="K18" s="15" t="n">
        <v>0.537072</v>
      </c>
      <c r="L18" s="15" t="n">
        <v>0.445512</v>
      </c>
      <c r="M18" s="15" t="n">
        <v>0.507388</v>
      </c>
      <c r="N18" s="15" t="n">
        <v>0.493287</v>
      </c>
      <c r="O18" s="15" t="n">
        <v>0</v>
      </c>
      <c r="P18" s="15" t="n">
        <v>0.488499</v>
      </c>
      <c r="Q18" s="15" t="n">
        <v>0.549022</v>
      </c>
      <c r="R18" s="15" t="n">
        <v>0.473688</v>
      </c>
      <c r="S18" s="15" t="n">
        <v>0.568845</v>
      </c>
      <c r="T18" s="15" t="n">
        <v>0.588519</v>
      </c>
      <c r="U18" s="15" t="n">
        <v>0.473633</v>
      </c>
      <c r="W18" s="2" t="n">
        <v>14</v>
      </c>
      <c r="X18" s="4" t="n">
        <v>0</v>
      </c>
      <c r="Y18" s="18" t="n">
        <f aca="false">SUMPRODUCT(($B$27:$U$27=X18)*(B18:U18))/(COUNTIF($X$5:$X$24,X18)-1)</f>
        <v>0.475978</v>
      </c>
      <c r="Z18" s="18" t="n">
        <f aca="false">SUMPRODUCT(($B$27:$U$27&lt;&gt;X18)*(B18:U18))/(20-COUNTIF($X$5:$X$24,X18))</f>
        <v>0.585196666666667</v>
      </c>
      <c r="AA18" s="18" t="n">
        <f aca="false">(Z18-Y18)/MAX(Y18,Z18)</f>
        <v>0.186635831828616</v>
      </c>
    </row>
    <row r="19" customFormat="false" ht="15" hidden="false" customHeight="false" outlineLevel="0" collapsed="false">
      <c r="A19" s="3" t="n">
        <v>15</v>
      </c>
      <c r="B19" s="15" t="n">
        <v>0.401989</v>
      </c>
      <c r="C19" s="15" t="n">
        <v>0.397865</v>
      </c>
      <c r="D19" s="15" t="n">
        <v>0.39982</v>
      </c>
      <c r="E19" s="15" t="n">
        <v>0.500991</v>
      </c>
      <c r="F19" s="15" t="n">
        <v>0.332642</v>
      </c>
      <c r="G19" s="15" t="n">
        <v>0.34447</v>
      </c>
      <c r="H19" s="15" t="n">
        <v>0.508306</v>
      </c>
      <c r="I19" s="15" t="n">
        <v>0.377198</v>
      </c>
      <c r="J19" s="15" t="n">
        <v>0.320505</v>
      </c>
      <c r="K19" s="15" t="n">
        <v>0.439591</v>
      </c>
      <c r="L19" s="15" t="n">
        <v>0.317631</v>
      </c>
      <c r="M19" s="15" t="n">
        <v>0.296166</v>
      </c>
      <c r="N19" s="15" t="n">
        <v>0.460247</v>
      </c>
      <c r="O19" s="15" t="n">
        <v>0.488499</v>
      </c>
      <c r="P19" s="15" t="n">
        <v>0</v>
      </c>
      <c r="Q19" s="15" t="n">
        <v>0.362178</v>
      </c>
      <c r="R19" s="15" t="n">
        <v>0.425512</v>
      </c>
      <c r="S19" s="15" t="n">
        <v>0.281525</v>
      </c>
      <c r="T19" s="15" t="n">
        <v>0.403021</v>
      </c>
      <c r="U19" s="15" t="n">
        <v>0.29307</v>
      </c>
      <c r="W19" s="2" t="n">
        <v>15</v>
      </c>
      <c r="X19" s="4" t="n">
        <v>0</v>
      </c>
      <c r="Y19" s="18" t="n">
        <f aca="false">SUMPRODUCT(($B$27:$U$27=X19)*(B19:U19))/(COUNTIF($X$5:$X$24,X19)-1)</f>
        <v>0.377090375</v>
      </c>
      <c r="Z19" s="18" t="n">
        <f aca="false">SUMPRODUCT(($B$27:$U$27&lt;&gt;X19)*(B19:U19))/(20-COUNTIF($X$5:$X$24,X19))</f>
        <v>0.43926</v>
      </c>
      <c r="AA19" s="18" t="n">
        <f aca="false">(Z19-Y19)/MAX(Y19,Z19)</f>
        <v>0.141532634430633</v>
      </c>
    </row>
    <row r="20" customFormat="false" ht="15" hidden="false" customHeight="false" outlineLevel="0" collapsed="false">
      <c r="A20" s="3" t="n">
        <v>16</v>
      </c>
      <c r="B20" s="15" t="n">
        <v>0.509204</v>
      </c>
      <c r="C20" s="15" t="n">
        <v>0.528395</v>
      </c>
      <c r="D20" s="15" t="n">
        <v>0.429358</v>
      </c>
      <c r="E20" s="15" t="n">
        <v>0.640367</v>
      </c>
      <c r="F20" s="15" t="n">
        <v>0.4466</v>
      </c>
      <c r="G20" s="15" t="n">
        <v>0.535054</v>
      </c>
      <c r="H20" s="15" t="n">
        <v>0.599553</v>
      </c>
      <c r="I20" s="15" t="n">
        <v>0.602328</v>
      </c>
      <c r="J20" s="15" t="n">
        <v>0.436367</v>
      </c>
      <c r="K20" s="15" t="n">
        <v>0.523614</v>
      </c>
      <c r="L20" s="15" t="n">
        <v>0.26451</v>
      </c>
      <c r="M20" s="15" t="n">
        <v>0.419928</v>
      </c>
      <c r="N20" s="15" t="n">
        <v>0.481718</v>
      </c>
      <c r="O20" s="15" t="n">
        <v>0.549022</v>
      </c>
      <c r="P20" s="15" t="n">
        <v>0.362178</v>
      </c>
      <c r="Q20" s="15" t="n">
        <v>0</v>
      </c>
      <c r="R20" s="15" t="n">
        <v>0.458533</v>
      </c>
      <c r="S20" s="15" t="n">
        <v>0.38584</v>
      </c>
      <c r="T20" s="15" t="n">
        <v>0.408236</v>
      </c>
      <c r="U20" s="15" t="n">
        <v>0.447331</v>
      </c>
      <c r="W20" s="2" t="n">
        <v>16</v>
      </c>
      <c r="X20" s="4" t="n">
        <v>0</v>
      </c>
      <c r="Y20" s="18" t="n">
        <f aca="false">SUMPRODUCT(($B$27:$U$27=X20)*(B20:U20))/(COUNTIF($X$5:$X$24,X20)-1)</f>
        <v>0.4538641875</v>
      </c>
      <c r="Z20" s="18" t="n">
        <f aca="false">SUMPRODUCT(($B$27:$U$27&lt;&gt;X20)*(B20:U20))/(20-COUNTIF($X$5:$X$24,X20))</f>
        <v>0.588769666666667</v>
      </c>
      <c r="AA20" s="18" t="n">
        <f aca="false">(Z20-Y20)/MAX(Y20,Z20)</f>
        <v>0.229131164196072</v>
      </c>
    </row>
    <row r="21" customFormat="false" ht="15" hidden="false" customHeight="false" outlineLevel="0" collapsed="false">
      <c r="A21" s="3" t="n">
        <v>17</v>
      </c>
      <c r="B21" s="15" t="n">
        <v>0.473139</v>
      </c>
      <c r="C21" s="15" t="n">
        <v>0.381608</v>
      </c>
      <c r="D21" s="15" t="n">
        <v>0.415359</v>
      </c>
      <c r="E21" s="15" t="n">
        <v>0.652214</v>
      </c>
      <c r="F21" s="15" t="n">
        <v>0.361384</v>
      </c>
      <c r="G21" s="15" t="n">
        <v>0.447232</v>
      </c>
      <c r="H21" s="15" t="n">
        <v>0.614799</v>
      </c>
      <c r="I21" s="15" t="n">
        <v>0.486102</v>
      </c>
      <c r="J21" s="15" t="n">
        <v>0.41071</v>
      </c>
      <c r="K21" s="15" t="n">
        <v>0.485457</v>
      </c>
      <c r="L21" s="15" t="n">
        <v>0.323848</v>
      </c>
      <c r="M21" s="15" t="n">
        <v>0.394127</v>
      </c>
      <c r="N21" s="15" t="n">
        <v>0.438619</v>
      </c>
      <c r="O21" s="15" t="n">
        <v>0.473688</v>
      </c>
      <c r="P21" s="15" t="n">
        <v>0.425512</v>
      </c>
      <c r="Q21" s="15" t="n">
        <v>0.458533</v>
      </c>
      <c r="R21" s="15" t="n">
        <v>0</v>
      </c>
      <c r="S21" s="15" t="n">
        <v>0.389563</v>
      </c>
      <c r="T21" s="15" t="n">
        <v>0.55254</v>
      </c>
      <c r="U21" s="15" t="n">
        <v>0.32051</v>
      </c>
      <c r="W21" s="2" t="n">
        <v>17</v>
      </c>
      <c r="X21" s="4" t="n">
        <v>0</v>
      </c>
      <c r="Y21" s="18" t="n">
        <f aca="false">SUMPRODUCT(($B$27:$U$27=X21)*(B21:U21))/(COUNTIF($X$5:$X$24,X21)-1)</f>
        <v>0.4300731875</v>
      </c>
      <c r="Z21" s="18" t="n">
        <f aca="false">SUMPRODUCT(($B$27:$U$27&lt;&gt;X21)*(B21:U21))/(20-COUNTIF($X$5:$X$24,X21))</f>
        <v>0.541257666666667</v>
      </c>
      <c r="AA21" s="18" t="n">
        <f aca="false">(Z21-Y21)/MAX(Y21,Z21)</f>
        <v>0.20541876081201</v>
      </c>
    </row>
    <row r="22" customFormat="false" ht="15" hidden="false" customHeight="false" outlineLevel="0" collapsed="false">
      <c r="A22" s="3" t="n">
        <v>18</v>
      </c>
      <c r="B22" s="15" t="n">
        <v>0.473504</v>
      </c>
      <c r="C22" s="15" t="n">
        <v>0.465217</v>
      </c>
      <c r="D22" s="15" t="n">
        <v>0.459199</v>
      </c>
      <c r="E22" s="15" t="n">
        <v>0.52919</v>
      </c>
      <c r="F22" s="15" t="n">
        <v>0.359324</v>
      </c>
      <c r="G22" s="15" t="n">
        <v>0.413408</v>
      </c>
      <c r="H22" s="15" t="n">
        <v>0.495786</v>
      </c>
      <c r="I22" s="15" t="n">
        <v>0.488796</v>
      </c>
      <c r="J22" s="15" t="n">
        <v>0.321254</v>
      </c>
      <c r="K22" s="15" t="n">
        <v>0.452304</v>
      </c>
      <c r="L22" s="15" t="n">
        <v>0.344489</v>
      </c>
      <c r="M22" s="15" t="n">
        <v>0.386938</v>
      </c>
      <c r="N22" s="15" t="n">
        <v>0.513794</v>
      </c>
      <c r="O22" s="15" t="n">
        <v>0.568845</v>
      </c>
      <c r="P22" s="15" t="n">
        <v>0.281525</v>
      </c>
      <c r="Q22" s="15" t="n">
        <v>0.38584</v>
      </c>
      <c r="R22" s="15" t="n">
        <v>0.389563</v>
      </c>
      <c r="S22" s="15" t="n">
        <v>0</v>
      </c>
      <c r="T22" s="15" t="n">
        <v>0.404648</v>
      </c>
      <c r="U22" s="15" t="n">
        <v>0.398047</v>
      </c>
      <c r="W22" s="2" t="n">
        <v>18</v>
      </c>
      <c r="X22" s="4" t="n">
        <v>0</v>
      </c>
      <c r="Y22" s="18" t="n">
        <f aca="false">SUMPRODUCT(($B$27:$U$27=X22)*(B22:U22))/(COUNTIF($X$5:$X$24,X22)-1)</f>
        <v>0.4163363125</v>
      </c>
      <c r="Z22" s="18" t="n">
        <f aca="false">SUMPRODUCT(($B$27:$U$27&lt;&gt;X22)*(B22:U22))/(20-COUNTIF($X$5:$X$24,X22))</f>
        <v>0.490096666666667</v>
      </c>
      <c r="AA22" s="18" t="n">
        <f aca="false">(Z22-Y22)/MAX(Y22,Z22)</f>
        <v>0.150501644233451</v>
      </c>
    </row>
    <row r="23" customFormat="false" ht="15" hidden="false" customHeight="false" outlineLevel="0" collapsed="false">
      <c r="A23" s="3" t="n">
        <v>19</v>
      </c>
      <c r="B23" s="15" t="n">
        <v>0.518866</v>
      </c>
      <c r="C23" s="15" t="n">
        <v>0.537687</v>
      </c>
      <c r="D23" s="15" t="n">
        <v>0.508781</v>
      </c>
      <c r="E23" s="15" t="n">
        <v>0.576198</v>
      </c>
      <c r="F23" s="15" t="n">
        <v>0.481021</v>
      </c>
      <c r="G23" s="15" t="n">
        <v>0.566065</v>
      </c>
      <c r="H23" s="15" t="n">
        <v>0.570412</v>
      </c>
      <c r="I23" s="15" t="n">
        <v>0.472836</v>
      </c>
      <c r="J23" s="15" t="n">
        <v>0.491875</v>
      </c>
      <c r="K23" s="15" t="n">
        <v>0.516391</v>
      </c>
      <c r="L23" s="15" t="n">
        <v>0.53184</v>
      </c>
      <c r="M23" s="15" t="n">
        <v>0.531443</v>
      </c>
      <c r="N23" s="15" t="n">
        <v>0.599119</v>
      </c>
      <c r="O23" s="15" t="n">
        <v>0.588519</v>
      </c>
      <c r="P23" s="15" t="n">
        <v>0.403021</v>
      </c>
      <c r="Q23" s="15" t="n">
        <v>0.408236</v>
      </c>
      <c r="R23" s="15" t="n">
        <v>0.55254</v>
      </c>
      <c r="S23" s="15" t="n">
        <v>0.404648</v>
      </c>
      <c r="T23" s="15" t="n">
        <v>0</v>
      </c>
      <c r="U23" s="15" t="n">
        <v>0.489485</v>
      </c>
      <c r="W23" s="2" t="n">
        <v>19</v>
      </c>
      <c r="X23" s="4" t="n">
        <v>0</v>
      </c>
      <c r="Y23" s="18" t="n">
        <f aca="false">SUMPRODUCT(($B$27:$U$27=X23)*(B23:U23))/(COUNTIF($X$5:$X$24,X23)-1)</f>
        <v>0.511472375</v>
      </c>
      <c r="Z23" s="18" t="n">
        <f aca="false">SUMPRODUCT(($B$27:$U$27&lt;&gt;X23)*(B23:U23))/(20-COUNTIF($X$5:$X$24,X23))</f>
        <v>0.521808333333333</v>
      </c>
      <c r="AA23" s="18" t="n">
        <f aca="false">(Z23-Y23)/MAX(Y23,Z23)</f>
        <v>0.0198079594998164</v>
      </c>
    </row>
    <row r="24" customFormat="false" ht="15" hidden="false" customHeight="false" outlineLevel="0" collapsed="false">
      <c r="A24" s="3" t="n">
        <v>20</v>
      </c>
      <c r="B24" s="15" t="n">
        <v>0.352352</v>
      </c>
      <c r="C24" s="15" t="n">
        <v>0.369737</v>
      </c>
      <c r="D24" s="15" t="n">
        <v>0.342234</v>
      </c>
      <c r="E24" s="15" t="n">
        <v>0.597296</v>
      </c>
      <c r="F24" s="15" t="n">
        <v>0.304829</v>
      </c>
      <c r="G24" s="15" t="n">
        <v>0.283532</v>
      </c>
      <c r="H24" s="15" t="n">
        <v>0.497568</v>
      </c>
      <c r="I24" s="15" t="n">
        <v>0.47938</v>
      </c>
      <c r="J24" s="15" t="n">
        <v>0.269197</v>
      </c>
      <c r="K24" s="15" t="n">
        <v>0.459853</v>
      </c>
      <c r="L24" s="15" t="n">
        <v>0.313653</v>
      </c>
      <c r="M24" s="15" t="n">
        <v>0.260642</v>
      </c>
      <c r="N24" s="15" t="n">
        <v>0.408201</v>
      </c>
      <c r="O24" s="15" t="n">
        <v>0.473633</v>
      </c>
      <c r="P24" s="15" t="n">
        <v>0.29307</v>
      </c>
      <c r="Q24" s="15" t="n">
        <v>0.447331</v>
      </c>
      <c r="R24" s="15" t="n">
        <v>0.32051</v>
      </c>
      <c r="S24" s="15" t="n">
        <v>0.398047</v>
      </c>
      <c r="T24" s="15" t="n">
        <v>0.489485</v>
      </c>
      <c r="U24" s="15" t="n">
        <v>0</v>
      </c>
      <c r="W24" s="2" t="n">
        <v>20</v>
      </c>
      <c r="X24" s="4" t="n">
        <v>0</v>
      </c>
      <c r="Y24" s="18" t="n">
        <f aca="false">SUMPRODUCT(($B$27:$U$27=X24)*(B24:U24))/(COUNTIF($X$5:$X$24,X24)-1)</f>
        <v>0.3640013125</v>
      </c>
      <c r="Z24" s="18" t="n">
        <f aca="false">SUMPRODUCT(($B$27:$U$27&lt;&gt;X24)*(B24:U24))/(20-COUNTIF($X$5:$X$24,X24))</f>
        <v>0.512176333333333</v>
      </c>
      <c r="AA24" s="18" t="n">
        <f aca="false">(Z24-Y24)/MAX(Y24,Z24)</f>
        <v>0.289304700724815</v>
      </c>
    </row>
    <row r="26" customFormat="false" ht="15" hidden="false" customHeight="false" outlineLevel="0" collapsed="false">
      <c r="W26" s="3" t="s">
        <v>489</v>
      </c>
      <c r="AA26" s="14" t="n">
        <f aca="false">AVERAGE(AA5:AA24)</f>
        <v>0.189433991925773</v>
      </c>
    </row>
    <row r="27" customFormat="false" ht="15" hidden="false" customHeight="false" outlineLevel="0" collapsed="false">
      <c r="A27" s="3" t="s">
        <v>490</v>
      </c>
      <c r="B27" s="2" t="n">
        <f aca="false">INDEX($X$5:$X$24,1)</f>
        <v>0</v>
      </c>
      <c r="C27" s="2" t="n">
        <f aca="false">INDEX($X$5:$X$24,2)</f>
        <v>0</v>
      </c>
      <c r="D27" s="2" t="n">
        <f aca="false">INDEX($X$5:$X$24,3)</f>
        <v>0</v>
      </c>
      <c r="E27" s="2" t="n">
        <f aca="false">INDEX($X$5:$X$24,4)</f>
        <v>1</v>
      </c>
      <c r="F27" s="2" t="n">
        <f aca="false">INDEX($X$5:$X$24,5)</f>
        <v>0</v>
      </c>
      <c r="G27" s="2" t="n">
        <f aca="false">INDEX($X$5:$X$24,6)</f>
        <v>0</v>
      </c>
      <c r="H27" s="2" t="n">
        <f aca="false">INDEX($X$5:$X$24,7)</f>
        <v>0</v>
      </c>
      <c r="I27" s="2" t="n">
        <f aca="false">INDEX($X$5:$X$24,8)</f>
        <v>1</v>
      </c>
      <c r="J27" s="2" t="n">
        <f aca="false">INDEX($X$5:$X$24,9)</f>
        <v>0</v>
      </c>
      <c r="K27" s="2" t="n">
        <f aca="false">INDEX($X$5:$X$24,10)</f>
        <v>1</v>
      </c>
      <c r="L27" s="2" t="n">
        <f aca="false">INDEX($X$5:$X$24,11)</f>
        <v>0</v>
      </c>
      <c r="M27" s="2" t="n">
        <f aca="false">INDEX($X$5:$X$24,12)</f>
        <v>0</v>
      </c>
      <c r="N27" s="2" t="n">
        <f aca="false">INDEX($X$5:$X$24,13)</f>
        <v>0</v>
      </c>
      <c r="O27" s="2" t="n">
        <f aca="false">INDEX($X$5:$X$24,14)</f>
        <v>0</v>
      </c>
      <c r="P27" s="2" t="n">
        <f aca="false">INDEX($X$5:$X$24,15)</f>
        <v>0</v>
      </c>
      <c r="Q27" s="2" t="n">
        <f aca="false">INDEX($X$5:$X$24,16)</f>
        <v>0</v>
      </c>
      <c r="R27" s="2" t="n">
        <f aca="false">INDEX($X$5:$X$24,17)</f>
        <v>0</v>
      </c>
      <c r="S27" s="2" t="n">
        <f aca="false">INDEX($X$5:$X$24,18)</f>
        <v>0</v>
      </c>
      <c r="T27" s="2" t="n">
        <f aca="false">INDEX($X$5:$X$24,19)</f>
        <v>0</v>
      </c>
      <c r="U27" s="2" t="n">
        <f aca="false">INDEX($X$5:$X$24,20)</f>
        <v>0</v>
      </c>
      <c r="W27" s="3" t="s">
        <v>69</v>
      </c>
      <c r="AA27" s="15" t="n">
        <v>0.1894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8"/>
    <col collapsed="false" customWidth="true" hidden="false" outlineLevel="0" max="4" min="4" style="0" width="54"/>
    <col collapsed="false" customWidth="true" hidden="false" outlineLevel="0" max="6" min="6" style="0" width="38"/>
  </cols>
  <sheetData>
    <row r="1" customFormat="false" ht="16.15" hidden="false" customHeight="false" outlineLevel="0" collapsed="false">
      <c r="A1" s="9" t="s">
        <v>491</v>
      </c>
    </row>
    <row r="2" customFormat="false" ht="15" hidden="false" customHeight="false" outlineLevel="0" collapsed="false">
      <c r="A2" s="10" t="s">
        <v>492</v>
      </c>
    </row>
    <row r="4" customFormat="false" ht="15" hidden="false" customHeight="false" outlineLevel="0" collapsed="false">
      <c r="A4" s="7" t="s">
        <v>493</v>
      </c>
      <c r="B4" s="7" t="n">
        <v>0</v>
      </c>
      <c r="C4" s="7" t="n">
        <v>1</v>
      </c>
      <c r="D4" s="7" t="n">
        <v>2</v>
      </c>
      <c r="E4" s="7" t="n">
        <v>3</v>
      </c>
      <c r="F4" s="7" t="n">
        <v>4</v>
      </c>
      <c r="G4" s="7" t="n">
        <v>5</v>
      </c>
      <c r="H4" s="7" t="n">
        <v>6</v>
      </c>
      <c r="I4" s="7" t="n">
        <v>7</v>
      </c>
      <c r="J4" s="7" t="n">
        <v>8</v>
      </c>
      <c r="K4" s="7" t="n">
        <v>9</v>
      </c>
      <c r="L4" s="7" t="n">
        <v>10</v>
      </c>
      <c r="M4" s="7" t="n">
        <v>11</v>
      </c>
      <c r="N4" s="7" t="n">
        <v>12</v>
      </c>
      <c r="O4" s="7" t="n">
        <v>13</v>
      </c>
      <c r="P4" s="7" t="n">
        <v>14</v>
      </c>
    </row>
    <row r="5" customFormat="false" ht="15" hidden="false" customHeight="false" outlineLevel="0" collapsed="false">
      <c r="A5" s="3" t="s">
        <v>494</v>
      </c>
      <c r="B5" s="4" t="s">
        <v>468</v>
      </c>
      <c r="C5" s="4" t="s">
        <v>495</v>
      </c>
      <c r="D5" s="4" t="s">
        <v>496</v>
      </c>
      <c r="E5" s="4" t="s">
        <v>497</v>
      </c>
      <c r="F5" s="4" t="s">
        <v>498</v>
      </c>
      <c r="G5" s="4" t="s">
        <v>498</v>
      </c>
      <c r="H5" s="4" t="s">
        <v>468</v>
      </c>
      <c r="I5" s="4" t="s">
        <v>499</v>
      </c>
      <c r="J5" s="4" t="s">
        <v>497</v>
      </c>
      <c r="K5" s="4" t="s">
        <v>495</v>
      </c>
      <c r="L5" s="4" t="s">
        <v>500</v>
      </c>
      <c r="M5" s="4" t="s">
        <v>497</v>
      </c>
      <c r="N5" s="4" t="s">
        <v>501</v>
      </c>
      <c r="O5" s="4" t="s">
        <v>468</v>
      </c>
      <c r="P5" s="4" t="s">
        <v>495</v>
      </c>
    </row>
    <row r="6" customFormat="false" ht="15" hidden="false" customHeight="false" outlineLevel="0" collapsed="false">
      <c r="A6" s="3" t="s">
        <v>502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2</v>
      </c>
    </row>
    <row r="7" customFormat="false" ht="15" hidden="false" customHeight="false" outlineLevel="0" collapsed="false">
      <c r="A7" s="3" t="s">
        <v>503</v>
      </c>
      <c r="B7" s="2" t="str">
        <f aca="false">IF(B6=0,"-",IF(LEFT("intelligence in",B6)=MID("intelligence in",0-B6+2,B6),"ok","error"))</f>
        <v>-</v>
      </c>
      <c r="C7" s="2" t="str">
        <f aca="false">IF(C6=0,"-",IF(LEFT("intelligence in",C6)=MID("intelligence in",1-C6+2,C6),"ok","error"))</f>
        <v>-</v>
      </c>
      <c r="D7" s="2" t="str">
        <f aca="false">IF(D6=0,"-",IF(LEFT("intelligence in",D6)=MID("intelligence in",2-D6+2,D6),"ok","error"))</f>
        <v>-</v>
      </c>
      <c r="E7" s="2" t="str">
        <f aca="false">IF(E6=0,"-",IF(LEFT("intelligence in",E6)=MID("intelligence in",3-E6+2,E6),"ok","error"))</f>
        <v>-</v>
      </c>
      <c r="F7" s="2" t="str">
        <f aca="false">IF(F6=0,"-",IF(LEFT("intelligence in",F6)=MID("intelligence in",4-F6+2,F6),"ok","error"))</f>
        <v>-</v>
      </c>
      <c r="G7" s="2" t="str">
        <f aca="false">IF(G6=0,"-",IF(LEFT("intelligence in",G6)=MID("intelligence in",5-G6+2,G6),"ok","error"))</f>
        <v>-</v>
      </c>
      <c r="H7" s="2" t="str">
        <f aca="false">IF(H6=0,"-",IF(LEFT("intelligence in",H6)=MID("intelligence in",6-H6+2,H6),"ok","error"))</f>
        <v>ok</v>
      </c>
      <c r="I7" s="2" t="str">
        <f aca="false">IF(I6=0,"-",IF(LEFT("intelligence in",I6)=MID("intelligence in",7-I6+2,I6),"ok","error"))</f>
        <v>-</v>
      </c>
      <c r="J7" s="2" t="str">
        <f aca="false">IF(J6=0,"-",IF(LEFT("intelligence in",J6)=MID("intelligence in",8-J6+2,J6),"ok","error"))</f>
        <v>-</v>
      </c>
      <c r="K7" s="2" t="str">
        <f aca="false">IF(K6=0,"-",IF(LEFT("intelligence in",K6)=MID("intelligence in",9-K6+2,K6),"ok","error"))</f>
        <v>-</v>
      </c>
      <c r="L7" s="2" t="str">
        <f aca="false">IF(L6=0,"-",IF(LEFT("intelligence in",L6)=MID("intelligence in",10-L6+2,L6),"ok","error"))</f>
        <v>-</v>
      </c>
      <c r="M7" s="2" t="str">
        <f aca="false">IF(M6=0,"-",IF(LEFT("intelligence in",M6)=MID("intelligence in",11-M6+2,M6),"ok","error"))</f>
        <v>-</v>
      </c>
      <c r="N7" s="2" t="str">
        <f aca="false">IF(N6=0,"-",IF(LEFT("intelligence in",N6)=MID("intelligence in",12-N6+2,N6),"ok","error"))</f>
        <v>-</v>
      </c>
      <c r="O7" s="2" t="str">
        <f aca="false">IF(O6=0,"-",IF(LEFT("intelligence in",O6)=MID("intelligence in",13-O6+2,O6),"ok","error"))</f>
        <v>ok</v>
      </c>
      <c r="P7" s="2" t="str">
        <f aca="false">IF(P6=0,"-",IF(LEFT("intelligence in",P6)=MID("intelligence in",14-P6+2,P6),"ok","error"))</f>
        <v>ok</v>
      </c>
    </row>
    <row r="9" customFormat="false" ht="15" hidden="false" customHeight="false" outlineLevel="0" collapsed="false">
      <c r="A9" s="3" t="s">
        <v>504</v>
      </c>
      <c r="B9" s="4" t="s">
        <v>505</v>
      </c>
    </row>
    <row r="10" customFormat="false" ht="15" hidden="false" customHeight="false" outlineLevel="0" collapsed="false">
      <c r="A10" s="3" t="s">
        <v>506</v>
      </c>
      <c r="B10" s="2" t="n">
        <f aca="false">LEN(B9)</f>
        <v>154</v>
      </c>
    </row>
    <row r="12" customFormat="false" ht="15" hidden="false" customHeight="false" outlineLevel="0" collapsed="false">
      <c r="A12" s="7" t="s">
        <v>507</v>
      </c>
      <c r="B12" s="7" t="s">
        <v>508</v>
      </c>
      <c r="C12" s="7" t="s">
        <v>509</v>
      </c>
      <c r="D12" s="7" t="s">
        <v>510</v>
      </c>
      <c r="F12" s="3" t="s">
        <v>511</v>
      </c>
    </row>
    <row r="13" customFormat="false" ht="15" hidden="false" customHeight="false" outlineLevel="0" collapsed="false">
      <c r="A13" s="4" t="n">
        <v>8</v>
      </c>
      <c r="B13" s="2" t="str">
        <f aca="false">MID($B$9,A13+1,1)</f>
        <v>g</v>
      </c>
      <c r="C13" s="4" t="n">
        <v>2</v>
      </c>
      <c r="D13" s="4" t="s">
        <v>512</v>
      </c>
      <c r="F13" s="2" t="s">
        <v>495</v>
      </c>
      <c r="G13" s="2" t="n">
        <f aca="false">B10</f>
        <v>154</v>
      </c>
    </row>
    <row r="14" customFormat="false" ht="15" hidden="false" customHeight="false" outlineLevel="0" collapsed="false">
      <c r="A14" s="4" t="n">
        <v>17</v>
      </c>
      <c r="B14" s="2" t="str">
        <f aca="false">MID($B$9,A14+1,1)</f>
        <v>o</v>
      </c>
      <c r="C14" s="4" t="n">
        <v>1</v>
      </c>
      <c r="D14" s="4" t="s">
        <v>513</v>
      </c>
      <c r="F14" s="2" t="s">
        <v>514</v>
      </c>
      <c r="G14" s="4" t="n">
        <v>15</v>
      </c>
    </row>
    <row r="15" customFormat="false" ht="15" hidden="false" customHeight="false" outlineLevel="0" collapsed="false">
      <c r="A15" s="4" t="n">
        <v>25</v>
      </c>
      <c r="B15" s="2" t="str">
        <f aca="false">MID($B$9,A15+1,1)</f>
        <v>r</v>
      </c>
      <c r="C15" s="4" t="n">
        <v>4</v>
      </c>
      <c r="D15" s="4" t="s">
        <v>515</v>
      </c>
      <c r="F15" s="2" t="s">
        <v>516</v>
      </c>
      <c r="G15" s="13" t="n">
        <f aca="false">G13+G14</f>
        <v>169</v>
      </c>
    </row>
    <row r="16" customFormat="false" ht="15" hidden="false" customHeight="false" outlineLevel="0" collapsed="false">
      <c r="A16" s="4" t="n">
        <v>30</v>
      </c>
      <c r="B16" s="2" t="str">
        <f aca="false">MID($B$9,A16+1,1)</f>
        <v>o</v>
      </c>
      <c r="C16" s="4" t="n">
        <v>1</v>
      </c>
      <c r="D16" s="4" t="s">
        <v>517</v>
      </c>
      <c r="F16" s="2" t="s">
        <v>69</v>
      </c>
      <c r="G16" s="4" t="n">
        <v>169</v>
      </c>
    </row>
    <row r="17" customFormat="false" ht="15" hidden="false" customHeight="false" outlineLevel="0" collapsed="false">
      <c r="A17" s="4" t="n">
        <v>48</v>
      </c>
      <c r="B17" s="2" t="str">
        <f aca="false">MID($B$9,A17+1,1)</f>
        <v>f</v>
      </c>
      <c r="C17" s="4" t="n">
        <v>1</v>
      </c>
      <c r="D17" s="4" t="s">
        <v>517</v>
      </c>
      <c r="F17" s="2" t="s">
        <v>518</v>
      </c>
      <c r="G17" s="2" t="str">
        <f aca="false">IF(MID(B9,56,15)="intelligence in","ok en s = 55","error")</f>
        <v>ok en s = 55</v>
      </c>
    </row>
    <row r="18" customFormat="false" ht="15" hidden="false" customHeight="false" outlineLevel="0" collapsed="false">
      <c r="A18" s="4" t="n">
        <v>50</v>
      </c>
      <c r="B18" s="2" t="str">
        <f aca="false">MID($B$9,A18+1,1)</f>
        <v>c</v>
      </c>
      <c r="C18" s="4" t="n">
        <v>1</v>
      </c>
      <c r="D18" s="4" t="s">
        <v>517</v>
      </c>
    </row>
    <row r="19" customFormat="false" ht="15" hidden="false" customHeight="false" outlineLevel="0" collapsed="false">
      <c r="A19" s="4" t="n">
        <v>52</v>
      </c>
      <c r="B19" s="2" t="str">
        <f aca="false">MID($B$9,A19+1,1)</f>
        <v>a</v>
      </c>
      <c r="C19" s="4" t="n">
        <v>1</v>
      </c>
      <c r="D19" s="4" t="s">
        <v>517</v>
      </c>
    </row>
    <row r="20" customFormat="false" ht="15" hidden="false" customHeight="false" outlineLevel="0" collapsed="false">
      <c r="A20" s="4" t="n">
        <v>69</v>
      </c>
      <c r="B20" s="2" t="str">
        <f aca="false">MID($B$9,A20+1,1)</f>
        <v>n</v>
      </c>
      <c r="C20" s="4" t="n">
        <v>15</v>
      </c>
      <c r="D20" s="4" t="s">
        <v>519</v>
      </c>
    </row>
    <row r="21" customFormat="false" ht="15" hidden="false" customHeight="false" outlineLevel="0" collapsed="false">
      <c r="A21" s="4" t="n">
        <v>70</v>
      </c>
      <c r="B21" s="2" t="str">
        <f aca="false">MID($B$9,A21+1,1)</f>
        <v> </v>
      </c>
      <c r="C21" s="4" t="n">
        <v>2</v>
      </c>
      <c r="D21" s="4" t="s">
        <v>512</v>
      </c>
    </row>
    <row r="22" customFormat="false" ht="15" hidden="false" customHeight="false" outlineLevel="0" collapsed="false">
      <c r="A22" s="4" t="n">
        <v>78</v>
      </c>
      <c r="B22" s="2" t="str">
        <f aca="false">MID($B$9,A22+1,1)</f>
        <v>o</v>
      </c>
      <c r="C22" s="4" t="n">
        <v>1</v>
      </c>
      <c r="D22" s="4" t="s">
        <v>520</v>
      </c>
    </row>
    <row r="23" customFormat="false" ht="15" hidden="false" customHeight="false" outlineLevel="0" collapsed="false">
      <c r="A23" s="4" t="n">
        <v>84</v>
      </c>
      <c r="B23" s="2" t="str">
        <f aca="false">MID($B$9,A23+1,1)</f>
        <v>e</v>
      </c>
      <c r="C23" s="4" t="n">
        <v>1</v>
      </c>
      <c r="D23" s="4" t="s">
        <v>520</v>
      </c>
    </row>
    <row r="24" customFormat="false" ht="15" hidden="false" customHeight="false" outlineLevel="0" collapsed="false">
      <c r="A24" s="4" t="n">
        <v>89</v>
      </c>
      <c r="B24" s="2" t="str">
        <f aca="false">MID($B$9,A24+1,1)</f>
        <v>s</v>
      </c>
      <c r="C24" s="4" t="n">
        <v>1</v>
      </c>
      <c r="D24" s="4" t="s">
        <v>520</v>
      </c>
    </row>
    <row r="25" customFormat="false" ht="15" hidden="false" customHeight="false" outlineLevel="0" collapsed="false">
      <c r="A25" s="4" t="n">
        <v>119</v>
      </c>
      <c r="B25" s="2" t="str">
        <f aca="false">MID($B$9,A25+1,1)</f>
        <v>g</v>
      </c>
      <c r="C25" s="4" t="n">
        <v>2</v>
      </c>
      <c r="D25" s="4" t="s">
        <v>521</v>
      </c>
    </row>
    <row r="26" customFormat="false" ht="15" hidden="false" customHeight="false" outlineLevel="0" collapsed="false">
      <c r="A26" s="4" t="n">
        <v>123</v>
      </c>
      <c r="B26" s="2" t="str">
        <f aca="false">MID($B$9,A26+1,1)</f>
        <v>e</v>
      </c>
      <c r="C26" s="4" t="n">
        <v>1</v>
      </c>
      <c r="D26" s="4" t="s">
        <v>520</v>
      </c>
    </row>
    <row r="27" customFormat="false" ht="15" hidden="false" customHeight="false" outlineLevel="0" collapsed="false">
      <c r="A27" s="4" t="n">
        <v>130</v>
      </c>
      <c r="B27" s="2" t="str">
        <f aca="false">MID($B$9,A27+1,1)</f>
        <v> </v>
      </c>
      <c r="C27" s="4" t="n">
        <v>2</v>
      </c>
      <c r="D27" s="4" t="s">
        <v>521</v>
      </c>
    </row>
    <row r="28" customFormat="false" ht="15" hidden="false" customHeight="false" outlineLevel="0" collapsed="false">
      <c r="A28" s="4" t="n">
        <v>138</v>
      </c>
      <c r="B28" s="2" t="str">
        <f aca="false">MID($B$9,A28+1,1)</f>
        <v>o</v>
      </c>
      <c r="C28" s="4" t="n">
        <v>1</v>
      </c>
      <c r="D28" s="4" t="s">
        <v>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7" min="5" style="0" width="14"/>
    <col collapsed="false" customWidth="true" hidden="false" outlineLevel="0" max="8" min="8" style="0" width="8"/>
    <col collapsed="false" customWidth="true" hidden="false" outlineLevel="0" max="9" min="9" style="0" width="16"/>
  </cols>
  <sheetData>
    <row r="1" customFormat="false" ht="16.15" hidden="false" customHeight="false" outlineLevel="0" collapsed="false">
      <c r="A1" s="9" t="s">
        <v>522</v>
      </c>
    </row>
    <row r="2" customFormat="false" ht="15" hidden="false" customHeight="false" outlineLevel="0" collapsed="false">
      <c r="A2" s="10" t="s">
        <v>523</v>
      </c>
    </row>
    <row r="4" customFormat="false" ht="15" hidden="false" customHeight="false" outlineLevel="0" collapsed="false">
      <c r="A4" s="7" t="s">
        <v>469</v>
      </c>
      <c r="B4" s="25" t="n">
        <v>0</v>
      </c>
      <c r="C4" s="25" t="n">
        <v>1</v>
      </c>
      <c r="D4" s="25" t="n">
        <v>2</v>
      </c>
      <c r="E4" s="25" t="n">
        <v>3</v>
      </c>
      <c r="F4" s="25" t="n">
        <v>4</v>
      </c>
      <c r="G4" s="25" t="n">
        <v>5</v>
      </c>
      <c r="H4" s="25" t="n">
        <v>6</v>
      </c>
      <c r="I4" s="25" t="n">
        <v>7</v>
      </c>
      <c r="J4" s="25" t="n">
        <v>8</v>
      </c>
      <c r="K4" s="25" t="n">
        <v>9</v>
      </c>
      <c r="L4" s="25" t="n">
        <v>10</v>
      </c>
      <c r="M4" s="25" t="n">
        <v>11</v>
      </c>
      <c r="N4" s="25" t="n">
        <v>12</v>
      </c>
      <c r="O4" s="25" t="n">
        <v>13</v>
      </c>
      <c r="P4" s="25" t="n">
        <v>14</v>
      </c>
    </row>
    <row r="5" customFormat="false" ht="15" hidden="false" customHeight="false" outlineLevel="0" collapsed="false">
      <c r="A5" s="3" t="s">
        <v>524</v>
      </c>
      <c r="B5" s="4" t="s">
        <v>468</v>
      </c>
      <c r="C5" s="4" t="s">
        <v>495</v>
      </c>
      <c r="D5" s="4" t="s">
        <v>496</v>
      </c>
      <c r="E5" s="4" t="s">
        <v>497</v>
      </c>
      <c r="F5" s="4" t="s">
        <v>498</v>
      </c>
      <c r="G5" s="4" t="s">
        <v>498</v>
      </c>
      <c r="H5" s="4" t="s">
        <v>468</v>
      </c>
      <c r="I5" s="4" t="s">
        <v>499</v>
      </c>
      <c r="J5" s="4" t="s">
        <v>497</v>
      </c>
      <c r="K5" s="4" t="s">
        <v>495</v>
      </c>
      <c r="L5" s="4" t="s">
        <v>500</v>
      </c>
      <c r="M5" s="4" t="s">
        <v>497</v>
      </c>
      <c r="N5" s="4" t="s">
        <v>525</v>
      </c>
      <c r="O5" s="4" t="s">
        <v>468</v>
      </c>
      <c r="P5" s="4" t="s">
        <v>495</v>
      </c>
    </row>
    <row r="7" customFormat="false" ht="15" hidden="false" customHeight="false" outlineLevel="0" collapsed="false">
      <c r="A7" s="7" t="s">
        <v>526</v>
      </c>
      <c r="B7" s="7" t="s">
        <v>527</v>
      </c>
      <c r="D7" s="3" t="s">
        <v>528</v>
      </c>
    </row>
    <row r="8" customFormat="false" ht="15" hidden="false" customHeight="false" outlineLevel="0" collapsed="false">
      <c r="A8" s="4" t="s">
        <v>468</v>
      </c>
      <c r="B8" s="2" t="n">
        <f aca="false">SUMPRODUCT(MAX(($B$5:$P$5=A8)*($B$4:$P$4+1)))-1</f>
        <v>13</v>
      </c>
      <c r="D8" s="7" t="s">
        <v>469</v>
      </c>
      <c r="E8" s="7" t="n">
        <v>0</v>
      </c>
      <c r="F8" s="7" t="n">
        <v>1</v>
      </c>
      <c r="G8" s="7" t="n">
        <v>2</v>
      </c>
      <c r="H8" s="7" t="n">
        <v>3</v>
      </c>
      <c r="I8" s="7" t="n">
        <v>4</v>
      </c>
      <c r="J8" s="7" t="n">
        <v>5</v>
      </c>
      <c r="K8" s="7" t="n">
        <v>6</v>
      </c>
      <c r="L8" s="7" t="n">
        <v>7</v>
      </c>
      <c r="M8" s="7" t="n">
        <v>8</v>
      </c>
      <c r="N8" s="7" t="n">
        <v>9</v>
      </c>
      <c r="O8" s="7" t="n">
        <v>10</v>
      </c>
      <c r="P8" s="7" t="n">
        <v>11</v>
      </c>
      <c r="Q8" s="7" t="n">
        <v>12</v>
      </c>
      <c r="R8" s="7" t="n">
        <v>13</v>
      </c>
      <c r="S8" s="7" t="n">
        <v>14</v>
      </c>
      <c r="T8" s="7" t="n">
        <v>15</v>
      </c>
    </row>
    <row r="9" customFormat="false" ht="15" hidden="false" customHeight="false" outlineLevel="0" collapsed="false">
      <c r="A9" s="4" t="s">
        <v>495</v>
      </c>
      <c r="B9" s="2" t="n">
        <f aca="false">SUMPRODUCT(MAX(($B$5:$P$5=A9)*($B$4:$P$4+1)))-1</f>
        <v>14</v>
      </c>
      <c r="D9" s="3" t="s">
        <v>529</v>
      </c>
      <c r="E9" s="4" t="n">
        <v>13</v>
      </c>
      <c r="F9" s="4" t="n">
        <v>14</v>
      </c>
      <c r="G9" s="4" t="n">
        <v>15</v>
      </c>
      <c r="H9" s="4" t="n">
        <v>15</v>
      </c>
      <c r="I9" s="4" t="n">
        <v>15</v>
      </c>
      <c r="J9" s="4" t="n">
        <v>15</v>
      </c>
      <c r="K9" s="4" t="n">
        <v>15</v>
      </c>
      <c r="L9" s="4" t="n">
        <v>15</v>
      </c>
      <c r="M9" s="4" t="n">
        <v>15</v>
      </c>
      <c r="N9" s="4" t="n">
        <v>14</v>
      </c>
      <c r="O9" s="4" t="n">
        <v>15</v>
      </c>
      <c r="P9" s="4" t="n">
        <v>15</v>
      </c>
      <c r="Q9" s="4" t="n">
        <v>15</v>
      </c>
      <c r="R9" s="4" t="n">
        <v>15</v>
      </c>
      <c r="S9" s="4" t="n">
        <v>15</v>
      </c>
      <c r="T9" s="4" t="n">
        <v>16</v>
      </c>
    </row>
    <row r="10" customFormat="false" ht="15" hidden="false" customHeight="false" outlineLevel="0" collapsed="false">
      <c r="A10" s="4" t="s">
        <v>496</v>
      </c>
      <c r="B10" s="2" t="n">
        <f aca="false">SUMPRODUCT(MAX(($B$5:$P$5=A10)*($B$4:$P$4+1)))-1</f>
        <v>2</v>
      </c>
      <c r="D10" s="3" t="s">
        <v>530</v>
      </c>
      <c r="E10" s="4" t="n">
        <v>13</v>
      </c>
      <c r="F10" s="4" t="n">
        <v>13</v>
      </c>
      <c r="G10" s="4" t="n">
        <v>13</v>
      </c>
      <c r="H10" s="4" t="n">
        <v>13</v>
      </c>
      <c r="I10" s="4" t="n">
        <v>13</v>
      </c>
      <c r="J10" s="4" t="n">
        <v>13</v>
      </c>
      <c r="K10" s="4" t="n">
        <v>13</v>
      </c>
      <c r="L10" s="4" t="n">
        <v>13</v>
      </c>
      <c r="M10" s="4" t="n">
        <v>13</v>
      </c>
      <c r="N10" s="4" t="n">
        <v>13</v>
      </c>
      <c r="O10" s="4" t="n">
        <v>13</v>
      </c>
      <c r="P10" s="4" t="n">
        <v>13</v>
      </c>
      <c r="Q10" s="4" t="n">
        <v>13</v>
      </c>
      <c r="R10" s="4" t="n">
        <v>13</v>
      </c>
      <c r="S10" s="4" t="n">
        <v>5</v>
      </c>
      <c r="T10" s="4" t="n">
        <v>1</v>
      </c>
    </row>
    <row r="11" customFormat="false" ht="15" hidden="false" customHeight="false" outlineLevel="0" collapsed="false">
      <c r="A11" s="4" t="s">
        <v>497</v>
      </c>
      <c r="B11" s="2" t="n">
        <f aca="false">SUMPRODUCT(MAX(($B$5:$P$5=A11)*($B$4:$P$4+1)))-1</f>
        <v>11</v>
      </c>
    </row>
    <row r="12" customFormat="false" ht="15" hidden="false" customHeight="false" outlineLevel="0" collapsed="false">
      <c r="A12" s="4" t="s">
        <v>498</v>
      </c>
      <c r="B12" s="2" t="n">
        <f aca="false">SUMPRODUCT(MAX(($B$5:$P$5=A12)*($B$4:$P$4+1)))-1</f>
        <v>5</v>
      </c>
    </row>
    <row r="13" customFormat="false" ht="15" hidden="false" customHeight="false" outlineLevel="0" collapsed="false">
      <c r="A13" s="4" t="s">
        <v>499</v>
      </c>
      <c r="B13" s="2" t="n">
        <f aca="false">SUMPRODUCT(MAX(($B$5:$P$5=A13)*($B$4:$P$4+1)))-1</f>
        <v>7</v>
      </c>
    </row>
    <row r="14" customFormat="false" ht="15" hidden="false" customHeight="false" outlineLevel="0" collapsed="false">
      <c r="A14" s="4" t="s">
        <v>500</v>
      </c>
      <c r="B14" s="2" t="n">
        <f aca="false">SUMPRODUCT(MAX(($B$5:$P$5=A14)*($B$4:$P$4+1)))-1</f>
        <v>10</v>
      </c>
    </row>
    <row r="15" customFormat="false" ht="15" hidden="false" customHeight="false" outlineLevel="0" collapsed="false">
      <c r="A15" s="4" t="s">
        <v>525</v>
      </c>
      <c r="B15" s="2" t="n">
        <f aca="false">SUMPRODUCT(MAX(($B$5:$P$5=A15)*($B$4:$P$4+1)))-1</f>
        <v>12</v>
      </c>
    </row>
    <row r="16" customFormat="false" ht="15" hidden="false" customHeight="false" outlineLevel="0" collapsed="false">
      <c r="A16" s="2" t="s">
        <v>531</v>
      </c>
      <c r="B16" s="2" t="n">
        <v>-1</v>
      </c>
    </row>
    <row r="20" customFormat="false" ht="15" hidden="false" customHeight="false" outlineLevel="0" collapsed="false">
      <c r="A20" s="3" t="s">
        <v>532</v>
      </c>
      <c r="B20" s="4" t="s">
        <v>505</v>
      </c>
    </row>
    <row r="22" customFormat="false" ht="23.85" hidden="false" customHeight="false" outlineLevel="0" collapsed="false">
      <c r="A22" s="7" t="s">
        <v>533</v>
      </c>
      <c r="B22" s="7" t="s">
        <v>534</v>
      </c>
      <c r="C22" s="7" t="s">
        <v>535</v>
      </c>
      <c r="D22" s="7" t="s">
        <v>536</v>
      </c>
      <c r="E22" s="7" t="s">
        <v>537</v>
      </c>
      <c r="F22" s="7" t="s">
        <v>538</v>
      </c>
      <c r="G22" s="7" t="s">
        <v>539</v>
      </c>
      <c r="H22" s="7" t="s">
        <v>540</v>
      </c>
      <c r="I22" s="7" t="s">
        <v>541</v>
      </c>
    </row>
    <row r="23" customFormat="false" ht="15" hidden="false" customHeight="false" outlineLevel="0" collapsed="false">
      <c r="A23" s="4" t="n">
        <v>0</v>
      </c>
      <c r="B23" s="2" t="str">
        <f aca="false">MID($B$20,A23+1,15)</f>
        <v>according to va</v>
      </c>
      <c r="C23" s="4" t="n">
        <v>14</v>
      </c>
      <c r="D23" s="2" t="str">
        <f aca="false">MID($B$20,A23+C23+1,1)</f>
        <v>a</v>
      </c>
      <c r="E23" s="2" t="n">
        <f aca="false">IFERROR(VLOOKUP(D23,$A$8:$B$15,2,FALSE()),-1)</f>
        <v>-1</v>
      </c>
      <c r="F23" s="2" t="n">
        <f aca="false">C23-E23</f>
        <v>15</v>
      </c>
      <c r="G23" s="2" t="n">
        <f aca="false">INDEX($E$10:$T$10,C23+2)</f>
        <v>1</v>
      </c>
      <c r="H23" s="2" t="n">
        <f aca="false">MAX(F23,G23)</f>
        <v>15</v>
      </c>
      <c r="I23" s="2" t="n">
        <f aca="false">14-C23+1</f>
        <v>1</v>
      </c>
    </row>
    <row r="24" customFormat="false" ht="15" hidden="false" customHeight="false" outlineLevel="0" collapsed="false">
      <c r="A24" s="2" t="n">
        <f aca="false">A23+H23</f>
        <v>15</v>
      </c>
      <c r="B24" s="2" t="str">
        <f aca="false">MID($B$20,A24+1,15)</f>
        <v>rious internati</v>
      </c>
      <c r="C24" s="4" t="n">
        <v>14</v>
      </c>
      <c r="D24" s="2" t="str">
        <f aca="false">MID($B$20,A24+C24+1,1)</f>
        <v>i</v>
      </c>
      <c r="E24" s="2" t="n">
        <f aca="false">IFERROR(VLOOKUP(D24,$A$8:$B$15,2,FALSE()),-1)</f>
        <v>13</v>
      </c>
      <c r="F24" s="2" t="n">
        <f aca="false">C24-E24</f>
        <v>1</v>
      </c>
      <c r="G24" s="2" t="n">
        <f aca="false">INDEX($E$10:$T$10,C24+2)</f>
        <v>1</v>
      </c>
      <c r="H24" s="2" t="n">
        <f aca="false">MAX(F24,G24)</f>
        <v>1</v>
      </c>
      <c r="I24" s="2" t="n">
        <f aca="false">14-C24+1</f>
        <v>1</v>
      </c>
    </row>
    <row r="25" customFormat="false" ht="15" hidden="false" customHeight="false" outlineLevel="0" collapsed="false">
      <c r="A25" s="2" t="n">
        <f aca="false">A24+H24</f>
        <v>16</v>
      </c>
      <c r="B25" s="2" t="str">
        <f aca="false">MID($B$20,A25+1,15)</f>
        <v>ious internatio</v>
      </c>
      <c r="C25" s="4" t="n">
        <v>14</v>
      </c>
      <c r="D25" s="2" t="str">
        <f aca="false">MID($B$20,A25+C25+1,1)</f>
        <v>o</v>
      </c>
      <c r="E25" s="2" t="n">
        <f aca="false">IFERROR(VLOOKUP(D25,$A$8:$B$15,2,FALSE()),-1)</f>
        <v>-1</v>
      </c>
      <c r="F25" s="2" t="n">
        <f aca="false">C25-E25</f>
        <v>15</v>
      </c>
      <c r="G25" s="2" t="n">
        <f aca="false">INDEX($E$10:$T$10,C25+2)</f>
        <v>1</v>
      </c>
      <c r="H25" s="2" t="n">
        <f aca="false">MAX(F25,G25)</f>
        <v>15</v>
      </c>
      <c r="I25" s="2" t="n">
        <f aca="false">14-C25+1</f>
        <v>1</v>
      </c>
    </row>
    <row r="26" customFormat="false" ht="15" hidden="false" customHeight="false" outlineLevel="0" collapsed="false">
      <c r="A26" s="2" t="n">
        <f aca="false">A25+H25</f>
        <v>31</v>
      </c>
      <c r="B26" s="2" t="str">
        <f aca="false">MID($B$20,A26+1,15)</f>
        <v>nal reports, ar</v>
      </c>
      <c r="C26" s="4" t="n">
        <v>14</v>
      </c>
      <c r="D26" s="2" t="str">
        <f aca="false">MID($B$20,A26+C26+1,1)</f>
        <v>r</v>
      </c>
      <c r="E26" s="2" t="n">
        <f aca="false">IFERROR(VLOOKUP(D26,$A$8:$B$15,2,FALSE()),-1)</f>
        <v>-1</v>
      </c>
      <c r="F26" s="2" t="n">
        <f aca="false">C26-E26</f>
        <v>15</v>
      </c>
      <c r="G26" s="2" t="n">
        <f aca="false">INDEX($E$10:$T$10,C26+2)</f>
        <v>1</v>
      </c>
      <c r="H26" s="2" t="n">
        <f aca="false">MAX(F26,G26)</f>
        <v>15</v>
      </c>
      <c r="I26" s="2" t="n">
        <f aca="false">14-C26+1</f>
        <v>1</v>
      </c>
    </row>
    <row r="27" customFormat="false" ht="15" hidden="false" customHeight="false" outlineLevel="0" collapsed="false">
      <c r="A27" s="2" t="n">
        <f aca="false">A26+H26</f>
        <v>46</v>
      </c>
      <c r="B27" s="2" t="str">
        <f aca="false">MID($B$20,A27+1,15)</f>
        <v>tificial intell</v>
      </c>
      <c r="C27" s="4" t="n">
        <v>14</v>
      </c>
      <c r="D27" s="2" t="str">
        <f aca="false">MID($B$20,A27+C27+1,1)</f>
        <v>l</v>
      </c>
      <c r="E27" s="2" t="n">
        <f aca="false">IFERROR(VLOOKUP(D27,$A$8:$B$15,2,FALSE()),-1)</f>
        <v>5</v>
      </c>
      <c r="F27" s="2" t="n">
        <f aca="false">C27-E27</f>
        <v>9</v>
      </c>
      <c r="G27" s="2" t="n">
        <f aca="false">INDEX($E$10:$T$10,C27+2)</f>
        <v>1</v>
      </c>
      <c r="H27" s="2" t="n">
        <f aca="false">MAX(F27,G27)</f>
        <v>9</v>
      </c>
      <c r="I27" s="2" t="n">
        <f aca="false">14-C27+1</f>
        <v>1</v>
      </c>
    </row>
    <row r="28" customFormat="false" ht="15" hidden="false" customHeight="false" outlineLevel="0" collapsed="false">
      <c r="A28" s="2" t="n">
        <f aca="false">A27+H27</f>
        <v>55</v>
      </c>
      <c r="B28" s="16" t="str">
        <f aca="false">MID($B$20,A28+1,15)</f>
        <v>intelligence in</v>
      </c>
      <c r="C28" s="4" t="s">
        <v>542</v>
      </c>
      <c r="H28" s="2" t="n">
        <f aca="false">E10</f>
        <v>13</v>
      </c>
      <c r="I28" s="2" t="n">
        <v>15</v>
      </c>
    </row>
    <row r="29" customFormat="false" ht="15" hidden="false" customHeight="false" outlineLevel="0" collapsed="false">
      <c r="A29" s="2" t="n">
        <f aca="false">A28+H28</f>
        <v>68</v>
      </c>
      <c r="B29" s="2" t="str">
        <f aca="false">MID($B$20,A29+1,15)</f>
        <v>in education (a</v>
      </c>
      <c r="C29" s="4" t="n">
        <v>14</v>
      </c>
      <c r="D29" s="2" t="str">
        <f aca="false">MID($B$20,A29+C29+1,1)</f>
        <v>a</v>
      </c>
      <c r="E29" s="2" t="n">
        <f aca="false">IFERROR(VLOOKUP(D29,$A$8:$B$15,2,FALSE()),-1)</f>
        <v>-1</v>
      </c>
      <c r="F29" s="2" t="n">
        <f aca="false">C29-E29</f>
        <v>15</v>
      </c>
      <c r="G29" s="2" t="n">
        <f aca="false">INDEX($E$10:$T$10,C29+2)</f>
        <v>1</v>
      </c>
      <c r="H29" s="2" t="n">
        <f aca="false">MAX(F29,G29)</f>
        <v>15</v>
      </c>
      <c r="I29" s="2" t="n">
        <f aca="false">14-C29+1</f>
        <v>1</v>
      </c>
    </row>
    <row r="30" customFormat="false" ht="15" hidden="false" customHeight="false" outlineLevel="0" collapsed="false">
      <c r="A30" s="2" t="n">
        <f aca="false">A29+H29</f>
        <v>83</v>
      </c>
      <c r="B30" s="2" t="str">
        <f aca="false">MID($B$20,A30+1,15)</f>
        <v>ied) is one of </v>
      </c>
      <c r="C30" s="4" t="n">
        <v>14</v>
      </c>
      <c r="D30" s="2" t="str">
        <f aca="false">MID($B$20,A30+C30+1,1)</f>
        <v> </v>
      </c>
      <c r="E30" s="2" t="n">
        <f aca="false">IFERROR(VLOOKUP(D30,$A$8:$B$15,2,FALSE()),-1)</f>
        <v>12</v>
      </c>
      <c r="F30" s="2" t="n">
        <f aca="false">C30-E30</f>
        <v>2</v>
      </c>
      <c r="G30" s="2" t="n">
        <f aca="false">INDEX($E$10:$T$10,C30+2)</f>
        <v>1</v>
      </c>
      <c r="H30" s="2" t="n">
        <f aca="false">MAX(F30,G30)</f>
        <v>2</v>
      </c>
      <c r="I30" s="2" t="n">
        <f aca="false">14-C30+1</f>
        <v>1</v>
      </c>
    </row>
    <row r="31" customFormat="false" ht="15" hidden="false" customHeight="false" outlineLevel="0" collapsed="false">
      <c r="A31" s="2" t="n">
        <f aca="false">A30+H30</f>
        <v>85</v>
      </c>
      <c r="B31" s="2" t="str">
        <f aca="false">MID($B$20,A31+1,15)</f>
        <v>d) is one of th</v>
      </c>
      <c r="C31" s="4" t="n">
        <v>14</v>
      </c>
      <c r="D31" s="2" t="str">
        <f aca="false">MID($B$20,A31+C31+1,1)</f>
        <v>h</v>
      </c>
      <c r="E31" s="2" t="n">
        <f aca="false">IFERROR(VLOOKUP(D31,$A$8:$B$15,2,FALSE()),-1)</f>
        <v>-1</v>
      </c>
      <c r="F31" s="2" t="n">
        <f aca="false">C31-E31</f>
        <v>15</v>
      </c>
      <c r="G31" s="2" t="n">
        <f aca="false">INDEX($E$10:$T$10,C31+2)</f>
        <v>1</v>
      </c>
      <c r="H31" s="2" t="n">
        <f aca="false">MAX(F31,G31)</f>
        <v>15</v>
      </c>
      <c r="I31" s="2" t="n">
        <f aca="false">14-C31+1</f>
        <v>1</v>
      </c>
    </row>
    <row r="32" customFormat="false" ht="15" hidden="false" customHeight="false" outlineLevel="0" collapsed="false">
      <c r="A32" s="2" t="n">
        <f aca="false">A31+H31</f>
        <v>100</v>
      </c>
      <c r="B32" s="2" t="str">
        <f aca="false">MID($B$20,A32+1,15)</f>
        <v>e currently eme</v>
      </c>
      <c r="C32" s="4" t="n">
        <v>14</v>
      </c>
      <c r="D32" s="2" t="str">
        <f aca="false">MID($B$20,A32+C32+1,1)</f>
        <v>e</v>
      </c>
      <c r="E32" s="2" t="n">
        <f aca="false">IFERROR(VLOOKUP(D32,$A$8:$B$15,2,FALSE()),-1)</f>
        <v>11</v>
      </c>
      <c r="F32" s="2" t="n">
        <f aca="false">C32-E32</f>
        <v>3</v>
      </c>
      <c r="G32" s="2" t="n">
        <f aca="false">INDEX($E$10:$T$10,C32+2)</f>
        <v>1</v>
      </c>
      <c r="H32" s="2" t="n">
        <f aca="false">MAX(F32,G32)</f>
        <v>3</v>
      </c>
      <c r="I32" s="2" t="n">
        <f aca="false">14-C32+1</f>
        <v>1</v>
      </c>
    </row>
    <row r="33" customFormat="false" ht="15" hidden="false" customHeight="false" outlineLevel="0" collapsed="false">
      <c r="A33" s="2" t="n">
        <f aca="false">A32+H32</f>
        <v>103</v>
      </c>
      <c r="B33" s="2" t="str">
        <f aca="false">MID($B$20,A33+1,15)</f>
        <v>urrently emergi</v>
      </c>
      <c r="C33" s="4" t="n">
        <v>14</v>
      </c>
      <c r="D33" s="2" t="str">
        <f aca="false">MID($B$20,A33+C33+1,1)</f>
        <v>i</v>
      </c>
      <c r="E33" s="2" t="n">
        <f aca="false">IFERROR(VLOOKUP(D33,$A$8:$B$15,2,FALSE()),-1)</f>
        <v>13</v>
      </c>
      <c r="F33" s="2" t="n">
        <f aca="false">C33-E33</f>
        <v>1</v>
      </c>
      <c r="G33" s="2" t="n">
        <f aca="false">INDEX($E$10:$T$10,C33+2)</f>
        <v>1</v>
      </c>
      <c r="H33" s="2" t="n">
        <f aca="false">MAX(F33,G33)</f>
        <v>1</v>
      </c>
      <c r="I33" s="2" t="n">
        <f aca="false">14-C33+1</f>
        <v>1</v>
      </c>
    </row>
    <row r="34" customFormat="false" ht="15" hidden="false" customHeight="false" outlineLevel="0" collapsed="false">
      <c r="A34" s="2" t="n">
        <f aca="false">A33+H33</f>
        <v>104</v>
      </c>
      <c r="B34" s="2" t="str">
        <f aca="false">MID($B$20,A34+1,15)</f>
        <v>rrently emergin</v>
      </c>
      <c r="C34" s="4" t="n">
        <v>12</v>
      </c>
      <c r="D34" s="2" t="str">
        <f aca="false">MID($B$20,A34+C34+1,1)</f>
        <v>g</v>
      </c>
      <c r="E34" s="2" t="n">
        <f aca="false">IFERROR(VLOOKUP(D34,$A$8:$B$15,2,FALSE()),-1)</f>
        <v>7</v>
      </c>
      <c r="F34" s="2" t="n">
        <f aca="false">C34-E34</f>
        <v>5</v>
      </c>
      <c r="G34" s="2" t="n">
        <f aca="false">INDEX($E$10:$T$10,C34+2)</f>
        <v>13</v>
      </c>
      <c r="H34" s="2" t="n">
        <f aca="false">MAX(F34,G34)</f>
        <v>13</v>
      </c>
      <c r="I34" s="2" t="n">
        <f aca="false">14-C34+1</f>
        <v>3</v>
      </c>
    </row>
    <row r="35" customFormat="false" ht="15" hidden="false" customHeight="false" outlineLevel="0" collapsed="false">
      <c r="A35" s="2" t="n">
        <f aca="false">A34+H34</f>
        <v>117</v>
      </c>
      <c r="B35" s="2" t="str">
        <f aca="false">MID($B$20,A35+1,15)</f>
        <v>ing fields in e</v>
      </c>
      <c r="C35" s="4" t="n">
        <v>14</v>
      </c>
      <c r="D35" s="2" t="str">
        <f aca="false">MID($B$20,A35+C35+1,1)</f>
        <v>e</v>
      </c>
      <c r="E35" s="2" t="n">
        <f aca="false">IFERROR(VLOOKUP(D35,$A$8:$B$15,2,FALSE()),-1)</f>
        <v>11</v>
      </c>
      <c r="F35" s="2" t="n">
        <f aca="false">C35-E35</f>
        <v>3</v>
      </c>
      <c r="G35" s="2" t="n">
        <f aca="false">INDEX($E$10:$T$10,C35+2)</f>
        <v>1</v>
      </c>
      <c r="H35" s="2" t="n">
        <f aca="false">MAX(F35,G35)</f>
        <v>3</v>
      </c>
      <c r="I35" s="2" t="n">
        <f aca="false">14-C35+1</f>
        <v>1</v>
      </c>
    </row>
    <row r="36" customFormat="false" ht="15" hidden="false" customHeight="false" outlineLevel="0" collapsed="false">
      <c r="A36" s="2" t="n">
        <f aca="false">A35+H35</f>
        <v>120</v>
      </c>
      <c r="B36" s="2" t="str">
        <f aca="false">MID($B$20,A36+1,15)</f>
        <v> fields in educ</v>
      </c>
      <c r="C36" s="4" t="n">
        <v>14</v>
      </c>
      <c r="D36" s="2" t="str">
        <f aca="false">MID($B$20,A36+C36+1,1)</f>
        <v>c</v>
      </c>
      <c r="E36" s="2" t="n">
        <f aca="false">IFERROR(VLOOKUP(D36,$A$8:$B$15,2,FALSE()),-1)</f>
        <v>10</v>
      </c>
      <c r="F36" s="2" t="n">
        <f aca="false">C36-E36</f>
        <v>4</v>
      </c>
      <c r="G36" s="2" t="n">
        <f aca="false">INDEX($E$10:$T$10,C36+2)</f>
        <v>1</v>
      </c>
      <c r="H36" s="2" t="n">
        <f aca="false">MAX(F36,G36)</f>
        <v>4</v>
      </c>
      <c r="I36" s="2" t="n">
        <f aca="false">14-C36+1</f>
        <v>1</v>
      </c>
    </row>
    <row r="37" customFormat="false" ht="15" hidden="false" customHeight="false" outlineLevel="0" collapsed="false">
      <c r="A37" s="2" t="n">
        <f aca="false">A36+H36</f>
        <v>124</v>
      </c>
      <c r="B37" s="2" t="str">
        <f aca="false">MID($B$20,A37+1,15)</f>
        <v>lds in educatio</v>
      </c>
      <c r="C37" s="4" t="n">
        <v>14</v>
      </c>
      <c r="D37" s="2" t="str">
        <f aca="false">MID($B$20,A37+C37+1,1)</f>
        <v>o</v>
      </c>
      <c r="E37" s="2" t="n">
        <f aca="false">IFERROR(VLOOKUP(D37,$A$8:$B$15,2,FALSE()),-1)</f>
        <v>-1</v>
      </c>
      <c r="F37" s="2" t="n">
        <f aca="false">C37-E37</f>
        <v>15</v>
      </c>
      <c r="G37" s="2" t="n">
        <f aca="false">INDEX($E$10:$T$10,C37+2)</f>
        <v>1</v>
      </c>
      <c r="H37" s="2" t="n">
        <f aca="false">MAX(F37,G37)</f>
        <v>15</v>
      </c>
      <c r="I37" s="2" t="n">
        <f aca="false">14-C37+1</f>
        <v>1</v>
      </c>
    </row>
    <row r="38" customFormat="false" ht="15" hidden="false" customHeight="false" outlineLevel="0" collapsed="false">
      <c r="A38" s="2" t="n">
        <f aca="false">A37+H37</f>
        <v>139</v>
      </c>
      <c r="B38" s="2" t="str">
        <f aca="false">MID($B$20,A38+1,15)</f>
        <v>nal technology.</v>
      </c>
      <c r="C38" s="4" t="n">
        <v>14</v>
      </c>
      <c r="D38" s="2" t="str">
        <f aca="false">MID($B$20,A38+C38+1,1)</f>
        <v>.</v>
      </c>
      <c r="E38" s="2" t="n">
        <f aca="false">IFERROR(VLOOKUP(D38,$A$8:$B$15,2,FALSE()),-1)</f>
        <v>-1</v>
      </c>
      <c r="F38" s="2" t="n">
        <f aca="false">C38-E38</f>
        <v>15</v>
      </c>
      <c r="G38" s="2" t="n">
        <f aca="false">INDEX($E$10:$T$10,C38+2)</f>
        <v>1</v>
      </c>
      <c r="H38" s="2" t="n">
        <f aca="false">MAX(F38,G38)</f>
        <v>15</v>
      </c>
      <c r="I38" s="2" t="n">
        <f aca="false">14-C38+1</f>
        <v>1</v>
      </c>
    </row>
    <row r="40" customFormat="false" ht="15" hidden="false" customHeight="false" outlineLevel="0" collapsed="false">
      <c r="A40" s="3" t="s">
        <v>543</v>
      </c>
      <c r="I40" s="13" t="n">
        <f aca="false">SUM(I23:I38)</f>
        <v>32</v>
      </c>
    </row>
    <row r="41" customFormat="false" ht="15" hidden="false" customHeight="false" outlineLevel="0" collapsed="false">
      <c r="A41" s="2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8" min="7" style="0" width="14"/>
    <col collapsed="false" customWidth="true" hidden="false" outlineLevel="0" max="9" min="9" style="0" width="44"/>
    <col collapsed="false" customWidth="true" hidden="false" outlineLevel="0" max="10" min="10" style="0" width="10"/>
  </cols>
  <sheetData>
    <row r="1" customFormat="false" ht="16.15" hidden="false" customHeight="false" outlineLevel="0" collapsed="false">
      <c r="A1" s="9" t="s">
        <v>545</v>
      </c>
    </row>
    <row r="2" customFormat="false" ht="15" hidden="false" customHeight="false" outlineLevel="0" collapsed="false">
      <c r="A2" s="10" t="s">
        <v>546</v>
      </c>
    </row>
    <row r="4" customFormat="false" ht="15" hidden="false" customHeight="false" outlineLevel="0" collapsed="false">
      <c r="A4" s="3" t="s">
        <v>547</v>
      </c>
      <c r="B4" s="4" t="n">
        <v>256</v>
      </c>
    </row>
    <row r="5" customFormat="false" ht="15" hidden="false" customHeight="false" outlineLevel="0" collapsed="false">
      <c r="A5" s="3" t="s">
        <v>493</v>
      </c>
      <c r="B5" s="4" t="n">
        <v>97</v>
      </c>
    </row>
    <row r="6" customFormat="false" ht="15" hidden="false" customHeight="false" outlineLevel="0" collapsed="false">
      <c r="A6" s="3" t="s">
        <v>548</v>
      </c>
      <c r="B6" s="2" t="n">
        <f aca="false">LEN(B8)</f>
        <v>15</v>
      </c>
    </row>
    <row r="7" customFormat="false" ht="15" hidden="false" customHeight="false" outlineLevel="0" collapsed="false">
      <c r="A7" s="3" t="s">
        <v>532</v>
      </c>
      <c r="B7" s="4" t="s">
        <v>505</v>
      </c>
    </row>
    <row r="8" customFormat="false" ht="15" hidden="false" customHeight="false" outlineLevel="0" collapsed="false">
      <c r="A8" s="3" t="s">
        <v>549</v>
      </c>
      <c r="B8" s="4" t="s">
        <v>550</v>
      </c>
    </row>
    <row r="10" customFormat="false" ht="23.85" hidden="false" customHeight="false" outlineLevel="0" collapsed="false">
      <c r="A10" s="7" t="s">
        <v>551</v>
      </c>
      <c r="B10" s="7" t="s">
        <v>552</v>
      </c>
      <c r="C10" s="7" t="s">
        <v>553</v>
      </c>
      <c r="D10" s="7" t="s">
        <v>554</v>
      </c>
      <c r="E10" s="7" t="s">
        <v>555</v>
      </c>
      <c r="F10" s="7" t="s">
        <v>556</v>
      </c>
    </row>
    <row r="11" customFormat="false" ht="15" hidden="false" customHeight="false" outlineLevel="0" collapsed="false">
      <c r="A11" s="2" t="n">
        <v>0</v>
      </c>
      <c r="B11" s="2" t="str">
        <f aca="false">MID($B$8,A11+1,1)</f>
        <v>i</v>
      </c>
      <c r="C11" s="2" t="n">
        <f aca="false">CODE(B11)</f>
        <v>105</v>
      </c>
      <c r="D11" s="2" t="n">
        <f aca="false">MOD($B$4*0+C11,$B$5)</f>
        <v>8</v>
      </c>
      <c r="E11" s="2" t="n">
        <f aca="false">1</f>
        <v>1</v>
      </c>
      <c r="F11" s="2" t="n">
        <f aca="false">MOD($B$4*0+CODE(MID($B$7,A11+1,1)),$B$5)</f>
        <v>0</v>
      </c>
      <c r="G11" s="3" t="s">
        <v>557</v>
      </c>
      <c r="H11" s="13" t="n">
        <f aca="false">D25</f>
        <v>64</v>
      </c>
      <c r="I11" s="2" t="s">
        <v>558</v>
      </c>
    </row>
    <row r="12" customFormat="false" ht="15" hidden="false" customHeight="false" outlineLevel="0" collapsed="false">
      <c r="A12" s="2" t="n">
        <v>1</v>
      </c>
      <c r="B12" s="2" t="str">
        <f aca="false">MID($B$8,A12+1,1)</f>
        <v>n</v>
      </c>
      <c r="C12" s="2" t="n">
        <f aca="false">CODE(B12)</f>
        <v>110</v>
      </c>
      <c r="D12" s="2" t="n">
        <f aca="false">MOD($B$4*D11+C12,$B$5)</f>
        <v>24</v>
      </c>
      <c r="E12" s="2" t="n">
        <f aca="false">MOD(E11*$B$4,$B$5)</f>
        <v>62</v>
      </c>
      <c r="F12" s="2" t="n">
        <f aca="false">MOD($B$4*F11+CODE(MID($B$7,A12+1,1)),$B$5)</f>
        <v>2</v>
      </c>
      <c r="G12" s="3" t="s">
        <v>559</v>
      </c>
      <c r="H12" s="13" t="n">
        <f aca="false">E25</f>
        <v>61</v>
      </c>
      <c r="I12" s="2" t="s">
        <v>560</v>
      </c>
    </row>
    <row r="13" customFormat="false" ht="15" hidden="false" customHeight="false" outlineLevel="0" collapsed="false">
      <c r="A13" s="2" t="n">
        <v>2</v>
      </c>
      <c r="B13" s="2" t="str">
        <f aca="false">MID($B$8,A13+1,1)</f>
        <v>t</v>
      </c>
      <c r="C13" s="2" t="n">
        <f aca="false">CODE(B13)</f>
        <v>116</v>
      </c>
      <c r="D13" s="2" t="n">
        <f aca="false">MOD($B$4*D12+C13,$B$5)</f>
        <v>52</v>
      </c>
      <c r="E13" s="2" t="n">
        <f aca="false">MOD(E12*$B$4,$B$5)</f>
        <v>61</v>
      </c>
      <c r="F13" s="2" t="n">
        <f aca="false">MOD($B$4*F12+CODE(MID($B$7,A13+1,1)),$B$5)</f>
        <v>29</v>
      </c>
      <c r="G13" s="3" t="s">
        <v>561</v>
      </c>
      <c r="H13" s="13" t="n">
        <f aca="false">F25</f>
        <v>13</v>
      </c>
      <c r="I13" s="2" t="s">
        <v>562</v>
      </c>
    </row>
    <row r="14" customFormat="false" ht="15" hidden="false" customHeight="false" outlineLevel="0" collapsed="false">
      <c r="A14" s="2" t="n">
        <v>3</v>
      </c>
      <c r="B14" s="2" t="str">
        <f aca="false">MID($B$8,A14+1,1)</f>
        <v>e</v>
      </c>
      <c r="C14" s="2" t="n">
        <f aca="false">CODE(B14)</f>
        <v>101</v>
      </c>
      <c r="D14" s="2" t="n">
        <f aca="false">MOD($B$4*D13+C14,$B$5)</f>
        <v>27</v>
      </c>
      <c r="E14" s="2" t="n">
        <f aca="false">MOD(E13*$B$4,$B$5)</f>
        <v>96</v>
      </c>
      <c r="F14" s="2" t="n">
        <f aca="false">MOD($B$4*F13+CODE(MID($B$7,A14+1,1)),$B$5)</f>
        <v>66</v>
      </c>
    </row>
    <row r="15" customFormat="false" ht="15" hidden="false" customHeight="false" outlineLevel="0" collapsed="false">
      <c r="A15" s="2" t="n">
        <v>4</v>
      </c>
      <c r="B15" s="2" t="str">
        <f aca="false">MID($B$8,A15+1,1)</f>
        <v>l</v>
      </c>
      <c r="C15" s="2" t="n">
        <f aca="false">CODE(B15)</f>
        <v>108</v>
      </c>
      <c r="D15" s="2" t="n">
        <f aca="false">MOD($B$4*D14+C15,$B$5)</f>
        <v>36</v>
      </c>
      <c r="E15" s="2" t="n">
        <f aca="false">MOD(E14*$B$4,$B$5)</f>
        <v>35</v>
      </c>
      <c r="F15" s="2" t="n">
        <f aca="false">MOD($B$4*F14+CODE(MID($B$7,A15+1,1)),$B$5)</f>
        <v>35</v>
      </c>
    </row>
    <row r="16" customFormat="false" ht="15" hidden="false" customHeight="false" outlineLevel="0" collapsed="false">
      <c r="A16" s="2" t="n">
        <v>5</v>
      </c>
      <c r="B16" s="2" t="str">
        <f aca="false">MID($B$8,A16+1,1)</f>
        <v>l</v>
      </c>
      <c r="C16" s="2" t="n">
        <f aca="false">CODE(B16)</f>
        <v>108</v>
      </c>
      <c r="D16" s="2" t="n">
        <f aca="false">MOD($B$4*D15+C16,$B$5)</f>
        <v>12</v>
      </c>
      <c r="E16" s="2" t="n">
        <f aca="false">MOD(E15*$B$4,$B$5)</f>
        <v>36</v>
      </c>
      <c r="F16" s="2" t="n">
        <f aca="false">MOD($B$4*F15+CODE(MID($B$7,A16+1,1)),$B$5)</f>
        <v>39</v>
      </c>
    </row>
    <row r="17" customFormat="false" ht="15" hidden="false" customHeight="false" outlineLevel="0" collapsed="false">
      <c r="A17" s="2" t="n">
        <v>6</v>
      </c>
      <c r="B17" s="2" t="str">
        <f aca="false">MID($B$8,A17+1,1)</f>
        <v>i</v>
      </c>
      <c r="C17" s="2" t="n">
        <f aca="false">CODE(B17)</f>
        <v>105</v>
      </c>
      <c r="D17" s="2" t="n">
        <f aca="false">MOD($B$4*D16+C17,$B$5)</f>
        <v>73</v>
      </c>
      <c r="E17" s="2" t="n">
        <f aca="false">MOD(E16*$B$4,$B$5)</f>
        <v>1</v>
      </c>
      <c r="F17" s="2" t="n">
        <f aca="false">MOD($B$4*F16+CODE(MID($B$7,A17+1,1)),$B$5)</f>
        <v>1</v>
      </c>
    </row>
    <row r="18" customFormat="false" ht="15" hidden="false" customHeight="false" outlineLevel="0" collapsed="false">
      <c r="A18" s="2" t="n">
        <v>7</v>
      </c>
      <c r="B18" s="2" t="str">
        <f aca="false">MID($B$8,A18+1,1)</f>
        <v>g</v>
      </c>
      <c r="C18" s="2" t="n">
        <f aca="false">CODE(B18)</f>
        <v>103</v>
      </c>
      <c r="D18" s="2" t="n">
        <f aca="false">MOD($B$4*D17+C18,$B$5)</f>
        <v>70</v>
      </c>
      <c r="E18" s="2" t="n">
        <f aca="false">MOD(E17*$B$4,$B$5)</f>
        <v>62</v>
      </c>
      <c r="F18" s="2" t="n">
        <f aca="false">MOD($B$4*F17+CODE(MID($B$7,A18+1,1)),$B$5)</f>
        <v>75</v>
      </c>
    </row>
    <row r="19" customFormat="false" ht="15" hidden="false" customHeight="false" outlineLevel="0" collapsed="false">
      <c r="A19" s="2" t="n">
        <v>8</v>
      </c>
      <c r="B19" s="2" t="str">
        <f aca="false">MID($B$8,A19+1,1)</f>
        <v>e</v>
      </c>
      <c r="C19" s="2" t="n">
        <f aca="false">CODE(B19)</f>
        <v>101</v>
      </c>
      <c r="D19" s="2" t="n">
        <f aca="false">MOD($B$4*D18+C19,$B$5)</f>
        <v>76</v>
      </c>
      <c r="E19" s="2" t="n">
        <f aca="false">MOD(E18*$B$4,$B$5)</f>
        <v>61</v>
      </c>
      <c r="F19" s="2" t="n">
        <f aca="false">MOD($B$4*F18+CODE(MID($B$7,A19+1,1)),$B$5)</f>
        <v>0</v>
      </c>
    </row>
    <row r="20" customFormat="false" ht="15" hidden="false" customHeight="false" outlineLevel="0" collapsed="false">
      <c r="A20" s="2" t="n">
        <v>9</v>
      </c>
      <c r="B20" s="2" t="str">
        <f aca="false">MID($B$8,A20+1,1)</f>
        <v>n</v>
      </c>
      <c r="C20" s="2" t="n">
        <f aca="false">CODE(B20)</f>
        <v>110</v>
      </c>
      <c r="D20" s="2" t="n">
        <f aca="false">MOD($B$4*D19+C20,$B$5)</f>
        <v>69</v>
      </c>
      <c r="E20" s="2" t="n">
        <f aca="false">MOD(E19*$B$4,$B$5)</f>
        <v>96</v>
      </c>
      <c r="F20" s="2" t="n">
        <f aca="false">MOD($B$4*F19+CODE(MID($B$7,A20+1,1)),$B$5)</f>
        <v>32</v>
      </c>
    </row>
    <row r="21" customFormat="false" ht="15" hidden="false" customHeight="false" outlineLevel="0" collapsed="false">
      <c r="A21" s="2" t="n">
        <v>10</v>
      </c>
      <c r="B21" s="2" t="str">
        <f aca="false">MID($B$8,A21+1,1)</f>
        <v>c</v>
      </c>
      <c r="C21" s="2" t="n">
        <f aca="false">CODE(B21)</f>
        <v>99</v>
      </c>
      <c r="D21" s="2" t="n">
        <f aca="false">MOD($B$4*D20+C21,$B$5)</f>
        <v>12</v>
      </c>
      <c r="E21" s="2" t="n">
        <f aca="false">MOD(E20*$B$4,$B$5)</f>
        <v>35</v>
      </c>
      <c r="F21" s="2" t="n">
        <f aca="false">MOD($B$4*F20+CODE(MID($B$7,A21+1,1)),$B$5)</f>
        <v>63</v>
      </c>
    </row>
    <row r="22" customFormat="false" ht="15" hidden="false" customHeight="false" outlineLevel="0" collapsed="false">
      <c r="A22" s="2" t="n">
        <v>11</v>
      </c>
      <c r="B22" s="2" t="str">
        <f aca="false">MID($B$8,A22+1,1)</f>
        <v>e</v>
      </c>
      <c r="C22" s="2" t="n">
        <f aca="false">CODE(B22)</f>
        <v>101</v>
      </c>
      <c r="D22" s="2" t="n">
        <f aca="false">MOD($B$4*D21+C22,$B$5)</f>
        <v>69</v>
      </c>
      <c r="E22" s="2" t="n">
        <f aca="false">MOD(E21*$B$4,$B$5)</f>
        <v>36</v>
      </c>
      <c r="F22" s="2" t="n">
        <f aca="false">MOD($B$4*F21+CODE(MID($B$7,A22+1,1)),$B$5)</f>
        <v>40</v>
      </c>
    </row>
    <row r="23" customFormat="false" ht="15" hidden="false" customHeight="false" outlineLevel="0" collapsed="false">
      <c r="A23" s="2" t="n">
        <v>12</v>
      </c>
      <c r="B23" s="2" t="str">
        <f aca="false">MID($B$8,A23+1,1)</f>
        <v> </v>
      </c>
      <c r="C23" s="2" t="n">
        <f aca="false">CODE(B23)</f>
        <v>32</v>
      </c>
      <c r="D23" s="2" t="n">
        <f aca="false">MOD($B$4*D22+C23,$B$5)</f>
        <v>42</v>
      </c>
      <c r="E23" s="2" t="n">
        <f aca="false">MOD(E22*$B$4,$B$5)</f>
        <v>1</v>
      </c>
      <c r="F23" s="2" t="n">
        <f aca="false">MOD($B$4*F22+CODE(MID($B$7,A23+1,1)),$B$5)</f>
        <v>87</v>
      </c>
    </row>
    <row r="24" customFormat="false" ht="15" hidden="false" customHeight="false" outlineLevel="0" collapsed="false">
      <c r="A24" s="2" t="n">
        <v>13</v>
      </c>
      <c r="B24" s="2" t="str">
        <f aca="false">MID($B$8,A24+1,1)</f>
        <v>i</v>
      </c>
      <c r="C24" s="2" t="n">
        <f aca="false">CODE(B24)</f>
        <v>105</v>
      </c>
      <c r="D24" s="2" t="n">
        <f aca="false">MOD($B$4*D23+C24,$B$5)</f>
        <v>90</v>
      </c>
      <c r="E24" s="2" t="n">
        <f aca="false">MOD(E23*$B$4,$B$5)</f>
        <v>62</v>
      </c>
      <c r="F24" s="2" t="n">
        <f aca="false">MOD($B$4*F23+CODE(MID($B$7,A24+1,1)),$B$5)</f>
        <v>80</v>
      </c>
    </row>
    <row r="25" customFormat="false" ht="15" hidden="false" customHeight="false" outlineLevel="0" collapsed="false">
      <c r="A25" s="2" t="n">
        <v>14</v>
      </c>
      <c r="B25" s="2" t="str">
        <f aca="false">MID($B$8,A25+1,1)</f>
        <v>n</v>
      </c>
      <c r="C25" s="2" t="n">
        <f aca="false">CODE(B25)</f>
        <v>110</v>
      </c>
      <c r="D25" s="2" t="n">
        <f aca="false">MOD($B$4*D24+C25,$B$5)</f>
        <v>64</v>
      </c>
      <c r="E25" s="2" t="n">
        <f aca="false">MOD(E24*$B$4,$B$5)</f>
        <v>61</v>
      </c>
      <c r="F25" s="2" t="n">
        <f aca="false">MOD($B$4*F24+CODE(MID($B$7,A25+1,1)),$B$5)</f>
        <v>13</v>
      </c>
    </row>
    <row r="28" customFormat="false" ht="23.85" hidden="false" customHeight="false" outlineLevel="0" collapsed="false">
      <c r="A28" s="7" t="s">
        <v>533</v>
      </c>
      <c r="B28" s="7" t="s">
        <v>563</v>
      </c>
      <c r="C28" s="7" t="s">
        <v>564</v>
      </c>
      <c r="D28" s="7" t="s">
        <v>565</v>
      </c>
      <c r="E28" s="7" t="s">
        <v>566</v>
      </c>
      <c r="F28" s="7" t="s">
        <v>567</v>
      </c>
      <c r="G28" s="7" t="s">
        <v>568</v>
      </c>
      <c r="H28" s="7" t="s">
        <v>569</v>
      </c>
      <c r="I28" s="3" t="s">
        <v>570</v>
      </c>
    </row>
    <row r="29" customFormat="false" ht="15" hidden="false" customHeight="false" outlineLevel="0" collapsed="false">
      <c r="A29" s="2" t="n">
        <v>0</v>
      </c>
      <c r="B29" s="2" t="str">
        <f aca="false">MID($B$7,A29+1,$B$6)</f>
        <v>according to va</v>
      </c>
      <c r="C29" s="2" t="n">
        <f aca="false">CODE(MID($B$7,A29+1,1))</f>
        <v>97</v>
      </c>
      <c r="D29" s="2" t="n">
        <f aca="false">IF(A29+$B$6&lt;LEN($B$7),CODE(MID($B$7,A29+$B$6+1,1)),"")</f>
        <v>114</v>
      </c>
      <c r="E29" s="2" t="n">
        <f aca="false">H13</f>
        <v>13</v>
      </c>
      <c r="F29" s="2" t="str">
        <f aca="false">IF(E29=$H$11,"sí","")</f>
        <v/>
      </c>
      <c r="G29" s="2" t="str">
        <f aca="false">IF(F29="sí",IF(EXACT(B29,$B$8),"OCURRENCIA","COLISIÓN"),"")</f>
        <v/>
      </c>
      <c r="H29" s="2" t="n">
        <f aca="false">IF(F29&lt;&gt;"sí",0,IFERROR(MATCH(0,INDEX(--(MID(B29,ROW($A$1:$A$15),1)=MID($B$8,ROW($A$1:$A$15),1)),0),0),$B$6))</f>
        <v>0</v>
      </c>
      <c r="I29" s="2" t="s">
        <v>571</v>
      </c>
      <c r="J29" s="2" t="n">
        <f aca="false">COUNT(A29:A168)</f>
        <v>140</v>
      </c>
    </row>
    <row r="30" customFormat="false" ht="15" hidden="false" customHeight="false" outlineLevel="0" collapsed="false">
      <c r="A30" s="2" t="n">
        <v>1</v>
      </c>
      <c r="B30" s="2" t="str">
        <f aca="false">MID($B$7,A30+1,$B$6)</f>
        <v>ccording to var</v>
      </c>
      <c r="C30" s="2" t="n">
        <f aca="false">CODE(MID($B$7,A30+1,1))</f>
        <v>99</v>
      </c>
      <c r="D30" s="2" t="n">
        <f aca="false">IF(A30+$B$6&lt;LEN($B$7),CODE(MID($B$7,A30+$B$6+1,1)),"")</f>
        <v>105</v>
      </c>
      <c r="E30" s="2" t="n">
        <f aca="false">MOD($B$4*(E29-C29*$H$12)+D29,$B$5)</f>
        <v>47</v>
      </c>
      <c r="F30" s="2" t="str">
        <f aca="false">IF(E30=$H$11,"sí","")</f>
        <v/>
      </c>
      <c r="G30" s="2" t="str">
        <f aca="false">IF(F30="sí",IF(EXACT(B30,$B$8),"OCURRENCIA","COLISIÓN"),"")</f>
        <v/>
      </c>
      <c r="H30" s="2" t="n">
        <f aca="false">IF(F30&lt;&gt;"sí",0,IFERROR(MATCH(0,INDEX(--(MID(B30,ROW($A$1:$A$15),1)=MID($B$8,ROW($A$1:$A$15),1)),0),0),$B$6))</f>
        <v>0</v>
      </c>
      <c r="I30" s="2" t="s">
        <v>572</v>
      </c>
      <c r="J30" s="2" t="n">
        <f aca="false">COUNTIF(F29:F168,"sí")</f>
        <v>2</v>
      </c>
    </row>
    <row r="31" customFormat="false" ht="15" hidden="false" customHeight="false" outlineLevel="0" collapsed="false">
      <c r="A31" s="2" t="n">
        <v>2</v>
      </c>
      <c r="B31" s="2" t="str">
        <f aca="false">MID($B$7,A31+1,$B$6)</f>
        <v>cording to vari</v>
      </c>
      <c r="C31" s="2" t="n">
        <f aca="false">CODE(MID($B$7,A31+1,1))</f>
        <v>99</v>
      </c>
      <c r="D31" s="2" t="n">
        <f aca="false">IF(A31+$B$6&lt;LEN($B$7),CODE(MID($B$7,A31+$B$6+1,1)),"")</f>
        <v>111</v>
      </c>
      <c r="E31" s="2" t="n">
        <f aca="false">MOD($B$4*(E30-C30*$H$12)+D30,$B$5)</f>
        <v>14</v>
      </c>
      <c r="F31" s="2" t="str">
        <f aca="false">IF(E31=$H$11,"sí","")</f>
        <v/>
      </c>
      <c r="G31" s="2" t="str">
        <f aca="false">IF(F31="sí",IF(EXACT(B31,$B$8),"OCURRENCIA","COLISIÓN"),"")</f>
        <v/>
      </c>
      <c r="H31" s="2" t="n">
        <f aca="false">IF(F31&lt;&gt;"sí",0,IFERROR(MATCH(0,INDEX(--(MID(B31,ROW($A$1:$A$15),1)=MID($B$8,ROW($A$1:$A$15),1)),0),0),$B$6))</f>
        <v>0</v>
      </c>
      <c r="I31" s="2" t="s">
        <v>573</v>
      </c>
      <c r="J31" s="16" t="n">
        <f aca="false">COUNTIF(G29:G168,"OCURRENCIA")</f>
        <v>1</v>
      </c>
    </row>
    <row r="32" customFormat="false" ht="15" hidden="false" customHeight="false" outlineLevel="0" collapsed="false">
      <c r="A32" s="2" t="n">
        <v>3</v>
      </c>
      <c r="B32" s="2" t="str">
        <f aca="false">MID($B$7,A32+1,$B$6)</f>
        <v>ording to vario</v>
      </c>
      <c r="C32" s="2" t="n">
        <f aca="false">CODE(MID($B$7,A32+1,1))</f>
        <v>111</v>
      </c>
      <c r="D32" s="2" t="n">
        <f aca="false">IF(A32+$B$6&lt;LEN($B$7),CODE(MID($B$7,A32+$B$6+1,1)),"")</f>
        <v>117</v>
      </c>
      <c r="E32" s="2" t="n">
        <f aca="false">MOD($B$4*(E31-C31*$H$12)+D31,$B$5)</f>
        <v>11</v>
      </c>
      <c r="F32" s="2" t="str">
        <f aca="false">IF(E32=$H$11,"sí","")</f>
        <v/>
      </c>
      <c r="G32" s="2" t="str">
        <f aca="false">IF(F32="sí",IF(EXACT(B32,$B$8),"OCURRENCIA","COLISIÓN"),"")</f>
        <v/>
      </c>
      <c r="H32" s="2" t="n">
        <f aca="false">IF(F32&lt;&gt;"sí",0,IFERROR(MATCH(0,INDEX(--(MID(B32,ROW($A$1:$A$15),1)=MID($B$8,ROW($A$1:$A$15),1)),0),0),$B$6))</f>
        <v>0</v>
      </c>
      <c r="I32" s="2" t="s">
        <v>574</v>
      </c>
      <c r="J32" s="16" t="n">
        <f aca="false">COUNTIF(G29:G168,"COLISIÓN")</f>
        <v>1</v>
      </c>
    </row>
    <row r="33" customFormat="false" ht="15" hidden="false" customHeight="false" outlineLevel="0" collapsed="false">
      <c r="A33" s="2" t="n">
        <v>4</v>
      </c>
      <c r="B33" s="2" t="str">
        <f aca="false">MID($B$7,A33+1,$B$6)</f>
        <v>rding to variou</v>
      </c>
      <c r="C33" s="2" t="n">
        <f aca="false">CODE(MID($B$7,A33+1,1))</f>
        <v>114</v>
      </c>
      <c r="D33" s="2" t="n">
        <f aca="false">IF(A33+$B$6&lt;LEN($B$7),CODE(MID($B$7,A33+$B$6+1,1)),"")</f>
        <v>115</v>
      </c>
      <c r="E33" s="2" t="n">
        <f aca="false">MOD($B$4*(E32-C32*$H$12)+D32,$B$5)</f>
        <v>37</v>
      </c>
      <c r="F33" s="2" t="str">
        <f aca="false">IF(E33=$H$11,"sí","")</f>
        <v/>
      </c>
      <c r="G33" s="2" t="str">
        <f aca="false">IF(F33="sí",IF(EXACT(B33,$B$8),"OCURRENCIA","COLISIÓN"),"")</f>
        <v/>
      </c>
      <c r="H33" s="2" t="n">
        <f aca="false">IF(F33&lt;&gt;"sí",0,IFERROR(MATCH(0,INDEX(--(MID(B33,ROW($A$1:$A$15),1)=MID($B$8,ROW($A$1:$A$15),1)),0),0),$B$6))</f>
        <v>0</v>
      </c>
      <c r="I33" s="2" t="s">
        <v>575</v>
      </c>
      <c r="J33" s="16" t="n">
        <f aca="false">J29+SUM(H29:H168)</f>
        <v>156</v>
      </c>
    </row>
    <row r="34" customFormat="false" ht="15" hidden="false" customHeight="false" outlineLevel="0" collapsed="false">
      <c r="A34" s="2" t="n">
        <v>5</v>
      </c>
      <c r="B34" s="2" t="str">
        <f aca="false">MID($B$7,A34+1,$B$6)</f>
        <v>ding to various</v>
      </c>
      <c r="C34" s="2" t="n">
        <f aca="false">CODE(MID($B$7,A34+1,1))</f>
        <v>100</v>
      </c>
      <c r="D34" s="2" t="n">
        <f aca="false">IF(A34+$B$6&lt;LEN($B$7),CODE(MID($B$7,A34+$B$6+1,1)),"")</f>
        <v>32</v>
      </c>
      <c r="E34" s="2" t="n">
        <f aca="false">MOD($B$4*(E33-C33*$H$12)+D33,$B$5)</f>
        <v>1</v>
      </c>
      <c r="F34" s="2" t="str">
        <f aca="false">IF(E34=$H$11,"sí","")</f>
        <v/>
      </c>
      <c r="G34" s="2" t="str">
        <f aca="false">IF(F34="sí",IF(EXACT(B34,$B$8),"OCURRENCIA","COLISIÓN"),"")</f>
        <v/>
      </c>
      <c r="H34" s="2" t="n">
        <f aca="false">IF(F34&lt;&gt;"sí",0,IFERROR(MATCH(0,INDEX(--(MID(B34,ROW($A$1:$A$15),1)=MID($B$8,ROW($A$1:$A$15),1)),0),0),$B$6))</f>
        <v>0</v>
      </c>
      <c r="I34" s="2" t="s">
        <v>576</v>
      </c>
    </row>
    <row r="35" customFormat="false" ht="15" hidden="false" customHeight="false" outlineLevel="0" collapsed="false">
      <c r="A35" s="2" t="n">
        <v>6</v>
      </c>
      <c r="B35" s="2" t="str">
        <f aca="false">MID($B$7,A35+1,$B$6)</f>
        <v>ing to various </v>
      </c>
      <c r="C35" s="2" t="n">
        <f aca="false">CODE(MID($B$7,A35+1,1))</f>
        <v>105</v>
      </c>
      <c r="D35" s="2" t="n">
        <f aca="false">IF(A35+$B$6&lt;LEN($B$7),CODE(MID($B$7,A35+$B$6+1,1)),"")</f>
        <v>105</v>
      </c>
      <c r="E35" s="2" t="n">
        <f aca="false">MOD($B$4*(E34-C34*$H$12)+D34,$B$5)</f>
        <v>0</v>
      </c>
      <c r="F35" s="2" t="str">
        <f aca="false">IF(E35=$H$11,"sí","")</f>
        <v/>
      </c>
      <c r="G35" s="2" t="str">
        <f aca="false">IF(F35="sí",IF(EXACT(B35,$B$8),"OCURRENCIA","COLISIÓN"),"")</f>
        <v/>
      </c>
      <c r="H35" s="2" t="n">
        <f aca="false">IF(F35&lt;&gt;"sí",0,IFERROR(MATCH(0,INDEX(--(MID(B35,ROW($A$1:$A$15),1)=MID($B$8,ROW($A$1:$A$15),1)),0),0),$B$6))</f>
        <v>0</v>
      </c>
    </row>
    <row r="36" customFormat="false" ht="15" hidden="false" customHeight="false" outlineLevel="0" collapsed="false">
      <c r="A36" s="2" t="n">
        <v>7</v>
      </c>
      <c r="B36" s="2" t="str">
        <f aca="false">MID($B$7,A36+1,$B$6)</f>
        <v>ng to various i</v>
      </c>
      <c r="C36" s="2" t="n">
        <f aca="false">CODE(MID($B$7,A36+1,1))</f>
        <v>110</v>
      </c>
      <c r="D36" s="2" t="n">
        <f aca="false">IF(A36+$B$6&lt;LEN($B$7),CODE(MID($B$7,A36+$B$6+1,1)),"")</f>
        <v>110</v>
      </c>
      <c r="E36" s="2" t="n">
        <f aca="false">MOD($B$4*(E35-C35*$H$12)+D35,$B$5)</f>
        <v>16</v>
      </c>
      <c r="F36" s="2" t="str">
        <f aca="false">IF(E36=$H$11,"sí","")</f>
        <v/>
      </c>
      <c r="G36" s="2" t="str">
        <f aca="false">IF(F36="sí",IF(EXACT(B36,$B$8),"OCURRENCIA","COLISIÓN"),"")</f>
        <v/>
      </c>
      <c r="H36" s="2" t="n">
        <f aca="false">IF(F36&lt;&gt;"sí",0,IFERROR(MATCH(0,INDEX(--(MID(B36,ROW($A$1:$A$15),1)=MID($B$8,ROW($A$1:$A$15),1)),0),0),$B$6))</f>
        <v>0</v>
      </c>
    </row>
    <row r="37" customFormat="false" ht="15" hidden="false" customHeight="false" outlineLevel="0" collapsed="false">
      <c r="A37" s="2" t="n">
        <v>8</v>
      </c>
      <c r="B37" s="2" t="str">
        <f aca="false">MID($B$7,A37+1,$B$6)</f>
        <v>g to various in</v>
      </c>
      <c r="C37" s="2" t="n">
        <f aca="false">CODE(MID($B$7,A37+1,1))</f>
        <v>103</v>
      </c>
      <c r="D37" s="2" t="n">
        <f aca="false">IF(A37+$B$6&lt;LEN($B$7),CODE(MID($B$7,A37+$B$6+1,1)),"")</f>
        <v>116</v>
      </c>
      <c r="E37" s="2" t="n">
        <f aca="false">MOD($B$4*(E36-C36*$H$12)+D36,$B$5)</f>
        <v>48</v>
      </c>
      <c r="F37" s="2" t="str">
        <f aca="false">IF(E37=$H$11,"sí","")</f>
        <v/>
      </c>
      <c r="G37" s="2" t="str">
        <f aca="false">IF(F37="sí",IF(EXACT(B37,$B$8),"OCURRENCIA","COLISIÓN"),"")</f>
        <v/>
      </c>
      <c r="H37" s="2" t="n">
        <f aca="false">IF(F37&lt;&gt;"sí",0,IFERROR(MATCH(0,INDEX(--(MID(B37,ROW($A$1:$A$15),1)=MID($B$8,ROW($A$1:$A$15),1)),0),0),$B$6))</f>
        <v>0</v>
      </c>
    </row>
    <row r="38" customFormat="false" ht="15" hidden="false" customHeight="false" outlineLevel="0" collapsed="false">
      <c r="A38" s="2" t="n">
        <v>9</v>
      </c>
      <c r="B38" s="2" t="str">
        <f aca="false">MID($B$7,A38+1,$B$6)</f>
        <v> to various int</v>
      </c>
      <c r="C38" s="2" t="n">
        <f aca="false">CODE(MID($B$7,A38+1,1))</f>
        <v>32</v>
      </c>
      <c r="D38" s="2" t="n">
        <f aca="false">IF(A38+$B$6&lt;LEN($B$7),CODE(MID($B$7,A38+$B$6+1,1)),"")</f>
        <v>101</v>
      </c>
      <c r="E38" s="2" t="n">
        <f aca="false">MOD($B$4*(E37-C37*$H$12)+D37,$B$5)</f>
        <v>91</v>
      </c>
      <c r="F38" s="2" t="str">
        <f aca="false">IF(E38=$H$11,"sí","")</f>
        <v/>
      </c>
      <c r="G38" s="2" t="str">
        <f aca="false">IF(F38="sí",IF(EXACT(B38,$B$8),"OCURRENCIA","COLISIÓN"),"")</f>
        <v/>
      </c>
      <c r="H38" s="2" t="n">
        <f aca="false">IF(F38&lt;&gt;"sí",0,IFERROR(MATCH(0,INDEX(--(MID(B38,ROW($A$1:$A$15),1)=MID($B$8,ROW($A$1:$A$15),1)),0),0),$B$6))</f>
        <v>0</v>
      </c>
    </row>
    <row r="39" customFormat="false" ht="15" hidden="false" customHeight="false" outlineLevel="0" collapsed="false">
      <c r="A39" s="2" t="n">
        <v>10</v>
      </c>
      <c r="B39" s="2" t="str">
        <f aca="false">MID($B$7,A39+1,$B$6)</f>
        <v>to various inte</v>
      </c>
      <c r="C39" s="2" t="n">
        <f aca="false">CODE(MID($B$7,A39+1,1))</f>
        <v>116</v>
      </c>
      <c r="D39" s="2" t="n">
        <f aca="false">IF(A39+$B$6&lt;LEN($B$7),CODE(MID($B$7,A39+$B$6+1,1)),"")</f>
        <v>114</v>
      </c>
      <c r="E39" s="2" t="n">
        <f aca="false">MOD($B$4*(E38-C38*$H$12)+D38,$B$5)</f>
        <v>52</v>
      </c>
      <c r="F39" s="2" t="str">
        <f aca="false">IF(E39=$H$11,"sí","")</f>
        <v/>
      </c>
      <c r="G39" s="2" t="str">
        <f aca="false">IF(F39="sí",IF(EXACT(B39,$B$8),"OCURRENCIA","COLISIÓN"),"")</f>
        <v/>
      </c>
      <c r="H39" s="2" t="n">
        <f aca="false">IF(F39&lt;&gt;"sí",0,IFERROR(MATCH(0,INDEX(--(MID(B39,ROW($A$1:$A$15),1)=MID($B$8,ROW($A$1:$A$15),1)),0),0),$B$6))</f>
        <v>0</v>
      </c>
    </row>
    <row r="40" customFormat="false" ht="15" hidden="false" customHeight="false" outlineLevel="0" collapsed="false">
      <c r="A40" s="2" t="n">
        <v>11</v>
      </c>
      <c r="B40" s="2" t="str">
        <f aca="false">MID($B$7,A40+1,$B$6)</f>
        <v>o various inter</v>
      </c>
      <c r="C40" s="2" t="n">
        <f aca="false">CODE(MID($B$7,A40+1,1))</f>
        <v>111</v>
      </c>
      <c r="D40" s="2" t="n">
        <f aca="false">IF(A40+$B$6&lt;LEN($B$7),CODE(MID($B$7,A40+$B$6+1,1)),"")</f>
        <v>110</v>
      </c>
      <c r="E40" s="2" t="n">
        <f aca="false">MOD($B$4*(E39-C39*$H$12)+D39,$B$5)</f>
        <v>59</v>
      </c>
      <c r="F40" s="2" t="str">
        <f aca="false">IF(E40=$H$11,"sí","")</f>
        <v/>
      </c>
      <c r="G40" s="2" t="str">
        <f aca="false">IF(F40="sí",IF(EXACT(B40,$B$8),"OCURRENCIA","COLISIÓN"),"")</f>
        <v/>
      </c>
      <c r="H40" s="2" t="n">
        <f aca="false">IF(F40&lt;&gt;"sí",0,IFERROR(MATCH(0,INDEX(--(MID(B40,ROW($A$1:$A$15),1)=MID($B$8,ROW($A$1:$A$15),1)),0),0),$B$6))</f>
        <v>0</v>
      </c>
    </row>
    <row r="41" customFormat="false" ht="15" hidden="false" customHeight="false" outlineLevel="0" collapsed="false">
      <c r="A41" s="2" t="n">
        <v>12</v>
      </c>
      <c r="B41" s="2" t="str">
        <f aca="false">MID($B$7,A41+1,$B$6)</f>
        <v> various intern</v>
      </c>
      <c r="C41" s="2" t="n">
        <f aca="false">CODE(MID($B$7,A41+1,1))</f>
        <v>32</v>
      </c>
      <c r="D41" s="2" t="n">
        <f aca="false">IF(A41+$B$6&lt;LEN($B$7),CODE(MID($B$7,A41+$B$6+1,1)),"")</f>
        <v>97</v>
      </c>
      <c r="E41" s="2" t="n">
        <f aca="false">MOD($B$4*(E40-C40*$H$12)+D40,$B$5)</f>
        <v>96</v>
      </c>
      <c r="F41" s="2" t="str">
        <f aca="false">IF(E41=$H$11,"sí","")</f>
        <v/>
      </c>
      <c r="G41" s="2" t="str">
        <f aca="false">IF(F41="sí",IF(EXACT(B41,$B$8),"OCURRENCIA","COLISIÓN"),"")</f>
        <v/>
      </c>
      <c r="H41" s="2" t="n">
        <f aca="false">IF(F41&lt;&gt;"sí",0,IFERROR(MATCH(0,INDEX(--(MID(B41,ROW($A$1:$A$15),1)=MID($B$8,ROW($A$1:$A$15),1)),0),0),$B$6))</f>
        <v>0</v>
      </c>
    </row>
    <row r="42" customFormat="false" ht="15" hidden="false" customHeight="false" outlineLevel="0" collapsed="false">
      <c r="A42" s="2" t="n">
        <v>13</v>
      </c>
      <c r="B42" s="2" t="str">
        <f aca="false">MID($B$7,A42+1,$B$6)</f>
        <v>various interna</v>
      </c>
      <c r="C42" s="2" t="n">
        <f aca="false">CODE(MID($B$7,A42+1,1))</f>
        <v>118</v>
      </c>
      <c r="D42" s="2" t="n">
        <f aca="false">IF(A42+$B$6&lt;LEN($B$7),CODE(MID($B$7,A42+$B$6+1,1)),"")</f>
        <v>116</v>
      </c>
      <c r="E42" s="2" t="n">
        <f aca="false">MOD($B$4*(E41-C41*$H$12)+D41,$B$5)</f>
        <v>67</v>
      </c>
      <c r="F42" s="2" t="str">
        <f aca="false">IF(E42=$H$11,"sí","")</f>
        <v/>
      </c>
      <c r="G42" s="2" t="str">
        <f aca="false">IF(F42="sí",IF(EXACT(B42,$B$8),"OCURRENCIA","COLISIÓN"),"")</f>
        <v/>
      </c>
      <c r="H42" s="2" t="n">
        <f aca="false">IF(F42&lt;&gt;"sí",0,IFERROR(MATCH(0,INDEX(--(MID(B42,ROW($A$1:$A$15),1)=MID($B$8,ROW($A$1:$A$15),1)),0),0),$B$6))</f>
        <v>0</v>
      </c>
    </row>
    <row r="43" customFormat="false" ht="15" hidden="false" customHeight="false" outlineLevel="0" collapsed="false">
      <c r="A43" s="2" t="n">
        <v>14</v>
      </c>
      <c r="B43" s="2" t="str">
        <f aca="false">MID($B$7,A43+1,$B$6)</f>
        <v>arious internat</v>
      </c>
      <c r="C43" s="2" t="n">
        <f aca="false">CODE(MID($B$7,A43+1,1))</f>
        <v>97</v>
      </c>
      <c r="D43" s="2" t="n">
        <f aca="false">IF(A43+$B$6&lt;LEN($B$7),CODE(MID($B$7,A43+$B$6+1,1)),"")</f>
        <v>105</v>
      </c>
      <c r="E43" s="2" t="n">
        <f aca="false">MOD($B$4*(E42-C42*$H$12)+D42,$B$5)</f>
        <v>23</v>
      </c>
      <c r="F43" s="2" t="str">
        <f aca="false">IF(E43=$H$11,"sí","")</f>
        <v/>
      </c>
      <c r="G43" s="2" t="str">
        <f aca="false">IF(F43="sí",IF(EXACT(B43,$B$8),"OCURRENCIA","COLISIÓN"),"")</f>
        <v/>
      </c>
      <c r="H43" s="2" t="n">
        <f aca="false">IF(F43&lt;&gt;"sí",0,IFERROR(MATCH(0,INDEX(--(MID(B43,ROW($A$1:$A$15),1)=MID($B$8,ROW($A$1:$A$15),1)),0),0),$B$6))</f>
        <v>0</v>
      </c>
    </row>
    <row r="44" customFormat="false" ht="15" hidden="false" customHeight="false" outlineLevel="0" collapsed="false">
      <c r="A44" s="2" t="n">
        <v>15</v>
      </c>
      <c r="B44" s="2" t="str">
        <f aca="false">MID($B$7,A44+1,$B$6)</f>
        <v>rious internati</v>
      </c>
      <c r="C44" s="2" t="n">
        <f aca="false">CODE(MID($B$7,A44+1,1))</f>
        <v>114</v>
      </c>
      <c r="D44" s="2" t="n">
        <f aca="false">IF(A44+$B$6&lt;LEN($B$7),CODE(MID($B$7,A44+$B$6+1,1)),"")</f>
        <v>111</v>
      </c>
      <c r="E44" s="2" t="n">
        <f aca="false">MOD($B$4*(E43-C43*$H$12)+D43,$B$5)</f>
        <v>76</v>
      </c>
      <c r="F44" s="2" t="str">
        <f aca="false">IF(E44=$H$11,"sí","")</f>
        <v/>
      </c>
      <c r="G44" s="2" t="str">
        <f aca="false">IF(F44="sí",IF(EXACT(B44,$B$8),"OCURRENCIA","COLISIÓN"),"")</f>
        <v/>
      </c>
      <c r="H44" s="2" t="n">
        <f aca="false">IF(F44&lt;&gt;"sí",0,IFERROR(MATCH(0,INDEX(--(MID(B44,ROW($A$1:$A$15),1)=MID($B$8,ROW($A$1:$A$15),1)),0),0),$B$6))</f>
        <v>0</v>
      </c>
    </row>
    <row r="45" customFormat="false" ht="15" hidden="false" customHeight="false" outlineLevel="0" collapsed="false">
      <c r="A45" s="2" t="n">
        <v>16</v>
      </c>
      <c r="B45" s="2" t="str">
        <f aca="false">MID($B$7,A45+1,$B$6)</f>
        <v>ious internatio</v>
      </c>
      <c r="C45" s="2" t="n">
        <f aca="false">CODE(MID($B$7,A45+1,1))</f>
        <v>105</v>
      </c>
      <c r="D45" s="2" t="n">
        <f aca="false">IF(A45+$B$6&lt;LEN($B$7),CODE(MID($B$7,A45+$B$6+1,1)),"")</f>
        <v>110</v>
      </c>
      <c r="E45" s="2" t="n">
        <f aca="false">MOD($B$4*(E44-C44*$H$12)+D44,$B$5)</f>
        <v>87</v>
      </c>
      <c r="F45" s="2" t="str">
        <f aca="false">IF(E45=$H$11,"sí","")</f>
        <v/>
      </c>
      <c r="G45" s="2" t="str">
        <f aca="false">IF(F45="sí",IF(EXACT(B45,$B$8),"OCURRENCIA","COLISIÓN"),"")</f>
        <v/>
      </c>
      <c r="H45" s="2" t="n">
        <f aca="false">IF(F45&lt;&gt;"sí",0,IFERROR(MATCH(0,INDEX(--(MID(B45,ROW($A$1:$A$15),1)=MID($B$8,ROW($A$1:$A$15),1)),0),0),$B$6))</f>
        <v>0</v>
      </c>
    </row>
    <row r="46" customFormat="false" ht="15" hidden="false" customHeight="false" outlineLevel="0" collapsed="false">
      <c r="A46" s="2" t="n">
        <v>17</v>
      </c>
      <c r="B46" s="2" t="str">
        <f aca="false">MID($B$7,A46+1,$B$6)</f>
        <v>ous internation</v>
      </c>
      <c r="C46" s="2" t="n">
        <f aca="false">CODE(MID($B$7,A46+1,1))</f>
        <v>111</v>
      </c>
      <c r="D46" s="2" t="n">
        <f aca="false">IF(A46+$B$6&lt;LEN($B$7),CODE(MID($B$7,A46+$B$6+1,1)),"")</f>
        <v>97</v>
      </c>
      <c r="E46" s="2" t="n">
        <f aca="false">MOD($B$4*(E45-C45*$H$12)+D45,$B$5)</f>
        <v>80</v>
      </c>
      <c r="F46" s="2" t="str">
        <f aca="false">IF(E46=$H$11,"sí","")</f>
        <v/>
      </c>
      <c r="G46" s="2" t="str">
        <f aca="false">IF(F46="sí",IF(EXACT(B46,$B$8),"OCURRENCIA","COLISIÓN"),"")</f>
        <v/>
      </c>
      <c r="H46" s="2" t="n">
        <f aca="false">IF(F46&lt;&gt;"sí",0,IFERROR(MATCH(0,INDEX(--(MID(B46,ROW($A$1:$A$15),1)=MID($B$8,ROW($A$1:$A$15),1)),0),0),$B$6))</f>
        <v>0</v>
      </c>
    </row>
    <row r="47" customFormat="false" ht="15" hidden="false" customHeight="false" outlineLevel="0" collapsed="false">
      <c r="A47" s="2" t="n">
        <v>18</v>
      </c>
      <c r="B47" s="2" t="str">
        <f aca="false">MID($B$7,A47+1,$B$6)</f>
        <v>us internationa</v>
      </c>
      <c r="C47" s="2" t="n">
        <f aca="false">CODE(MID($B$7,A47+1,1))</f>
        <v>117</v>
      </c>
      <c r="D47" s="2" t="n">
        <f aca="false">IF(A47+$B$6&lt;LEN($B$7),CODE(MID($B$7,A47+$B$6+1,1)),"")</f>
        <v>108</v>
      </c>
      <c r="E47" s="2" t="n">
        <f aca="false">MOD($B$4*(E46-C46*$H$12)+D46,$B$5)</f>
        <v>27</v>
      </c>
      <c r="F47" s="2" t="str">
        <f aca="false">IF(E47=$H$11,"sí","")</f>
        <v/>
      </c>
      <c r="G47" s="2" t="str">
        <f aca="false">IF(F47="sí",IF(EXACT(B47,$B$8),"OCURRENCIA","COLISIÓN"),"")</f>
        <v/>
      </c>
      <c r="H47" s="2" t="n">
        <f aca="false">IF(F47&lt;&gt;"sí",0,IFERROR(MATCH(0,INDEX(--(MID(B47,ROW($A$1:$A$15),1)=MID($B$8,ROW($A$1:$A$15),1)),0),0),$B$6))</f>
        <v>0</v>
      </c>
    </row>
    <row r="48" customFormat="false" ht="15" hidden="false" customHeight="false" outlineLevel="0" collapsed="false">
      <c r="A48" s="2" t="n">
        <v>19</v>
      </c>
      <c r="B48" s="2" t="str">
        <f aca="false">MID($B$7,A48+1,$B$6)</f>
        <v>s international</v>
      </c>
      <c r="C48" s="2" t="n">
        <f aca="false">CODE(MID($B$7,A48+1,1))</f>
        <v>115</v>
      </c>
      <c r="D48" s="2" t="n">
        <f aca="false">IF(A48+$B$6&lt;LEN($B$7),CODE(MID($B$7,A48+$B$6+1,1)),"")</f>
        <v>32</v>
      </c>
      <c r="E48" s="2" t="n">
        <f aca="false">MOD($B$4*(E47-C47*$H$12)+D47,$B$5)</f>
        <v>56</v>
      </c>
      <c r="F48" s="2" t="str">
        <f aca="false">IF(E48=$H$11,"sí","")</f>
        <v/>
      </c>
      <c r="G48" s="2" t="str">
        <f aca="false">IF(F48="sí",IF(EXACT(B48,$B$8),"OCURRENCIA","COLISIÓN"),"")</f>
        <v/>
      </c>
      <c r="H48" s="2" t="n">
        <f aca="false">IF(F48&lt;&gt;"sí",0,IFERROR(MATCH(0,INDEX(--(MID(B48,ROW($A$1:$A$15),1)=MID($B$8,ROW($A$1:$A$15),1)),0),0),$B$6))</f>
        <v>0</v>
      </c>
    </row>
    <row r="49" customFormat="false" ht="15" hidden="false" customHeight="false" outlineLevel="0" collapsed="false">
      <c r="A49" s="2" t="n">
        <v>20</v>
      </c>
      <c r="B49" s="2" t="str">
        <f aca="false">MID($B$7,A49+1,$B$6)</f>
        <v> international </v>
      </c>
      <c r="C49" s="2" t="n">
        <f aca="false">CODE(MID($B$7,A49+1,1))</f>
        <v>32</v>
      </c>
      <c r="D49" s="2" t="n">
        <f aca="false">IF(A49+$B$6&lt;LEN($B$7),CODE(MID($B$7,A49+$B$6+1,1)),"")</f>
        <v>114</v>
      </c>
      <c r="E49" s="2" t="n">
        <f aca="false">MOD($B$4*(E48-C48*$H$12)+D48,$B$5)</f>
        <v>30</v>
      </c>
      <c r="F49" s="2" t="str">
        <f aca="false">IF(E49=$H$11,"sí","")</f>
        <v/>
      </c>
      <c r="G49" s="2" t="str">
        <f aca="false">IF(F49="sí",IF(EXACT(B49,$B$8),"OCURRENCIA","COLISIÓN"),"")</f>
        <v/>
      </c>
      <c r="H49" s="2" t="n">
        <f aca="false">IF(F49&lt;&gt;"sí",0,IFERROR(MATCH(0,INDEX(--(MID(B49,ROW($A$1:$A$15),1)=MID($B$8,ROW($A$1:$A$15),1)),0),0),$B$6))</f>
        <v>0</v>
      </c>
    </row>
    <row r="50" customFormat="false" ht="15" hidden="false" customHeight="false" outlineLevel="0" collapsed="false">
      <c r="A50" s="2" t="n">
        <v>21</v>
      </c>
      <c r="B50" s="2" t="str">
        <f aca="false">MID($B$7,A50+1,$B$6)</f>
        <v>international r</v>
      </c>
      <c r="C50" s="2" t="n">
        <f aca="false">CODE(MID($B$7,A50+1,1))</f>
        <v>105</v>
      </c>
      <c r="D50" s="2" t="n">
        <f aca="false">IF(A50+$B$6&lt;LEN($B$7),CODE(MID($B$7,A50+$B$6+1,1)),"")</f>
        <v>101</v>
      </c>
      <c r="E50" s="2" t="n">
        <f aca="false">MOD($B$4*(E49-C49*$H$12)+D49,$B$5)</f>
        <v>66</v>
      </c>
      <c r="F50" s="2" t="str">
        <f aca="false">IF(E50=$H$11,"sí","")</f>
        <v/>
      </c>
      <c r="G50" s="2" t="str">
        <f aca="false">IF(F50="sí",IF(EXACT(B50,$B$8),"OCURRENCIA","COLISIÓN"),"")</f>
        <v/>
      </c>
      <c r="H50" s="2" t="n">
        <f aca="false">IF(F50&lt;&gt;"sí",0,IFERROR(MATCH(0,INDEX(--(MID(B50,ROW($A$1:$A$15),1)=MID($B$8,ROW($A$1:$A$15),1)),0),0),$B$6))</f>
        <v>0</v>
      </c>
    </row>
    <row r="51" customFormat="false" ht="15" hidden="false" customHeight="false" outlineLevel="0" collapsed="false">
      <c r="A51" s="2" t="n">
        <v>22</v>
      </c>
      <c r="B51" s="2" t="str">
        <f aca="false">MID($B$7,A51+1,$B$6)</f>
        <v>nternational re</v>
      </c>
      <c r="C51" s="2" t="n">
        <f aca="false">CODE(MID($B$7,A51+1,1))</f>
        <v>110</v>
      </c>
      <c r="D51" s="2" t="n">
        <f aca="false">IF(A51+$B$6&lt;LEN($B$7),CODE(MID($B$7,A51+$B$6+1,1)),"")</f>
        <v>112</v>
      </c>
      <c r="E51" s="2" t="n">
        <f aca="false">MOD($B$4*(E50-C50*$H$12)+D50,$B$5)</f>
        <v>30</v>
      </c>
      <c r="F51" s="2" t="str">
        <f aca="false">IF(E51=$H$11,"sí","")</f>
        <v/>
      </c>
      <c r="G51" s="2" t="str">
        <f aca="false">IF(F51="sí",IF(EXACT(B51,$B$8),"OCURRENCIA","COLISIÓN"),"")</f>
        <v/>
      </c>
      <c r="H51" s="2" t="n">
        <f aca="false">IF(F51&lt;&gt;"sí",0,IFERROR(MATCH(0,INDEX(--(MID(B51,ROW($A$1:$A$15),1)=MID($B$8,ROW($A$1:$A$15),1)),0),0),$B$6))</f>
        <v>0</v>
      </c>
    </row>
    <row r="52" customFormat="false" ht="15" hidden="false" customHeight="false" outlineLevel="0" collapsed="false">
      <c r="A52" s="2" t="n">
        <v>23</v>
      </c>
      <c r="B52" s="2" t="str">
        <f aca="false">MID($B$7,A52+1,$B$6)</f>
        <v>ternational rep</v>
      </c>
      <c r="C52" s="2" t="n">
        <f aca="false">CODE(MID($B$7,A52+1,1))</f>
        <v>116</v>
      </c>
      <c r="D52" s="2" t="n">
        <f aca="false">IF(A52+$B$6&lt;LEN($B$7),CODE(MID($B$7,A52+$B$6+1,1)),"")</f>
        <v>111</v>
      </c>
      <c r="E52" s="2" t="n">
        <f aca="false">MOD($B$4*(E51-C51*$H$12)+D51,$B$5)</f>
        <v>45</v>
      </c>
      <c r="F52" s="2" t="str">
        <f aca="false">IF(E52=$H$11,"sí","")</f>
        <v/>
      </c>
      <c r="G52" s="2" t="str">
        <f aca="false">IF(F52="sí",IF(EXACT(B52,$B$8),"OCURRENCIA","COLISIÓN"),"")</f>
        <v/>
      </c>
      <c r="H52" s="2" t="n">
        <f aca="false">IF(F52&lt;&gt;"sí",0,IFERROR(MATCH(0,INDEX(--(MID(B52,ROW($A$1:$A$15),1)=MID($B$8,ROW($A$1:$A$15),1)),0),0),$B$6))</f>
        <v>0</v>
      </c>
    </row>
    <row r="53" customFormat="false" ht="15" hidden="false" customHeight="false" outlineLevel="0" collapsed="false">
      <c r="A53" s="2" t="n">
        <v>24</v>
      </c>
      <c r="B53" s="2" t="str">
        <f aca="false">MID($B$7,A53+1,$B$6)</f>
        <v>ernational repo</v>
      </c>
      <c r="C53" s="2" t="n">
        <f aca="false">CODE(MID($B$7,A53+1,1))</f>
        <v>101</v>
      </c>
      <c r="D53" s="2" t="n">
        <f aca="false">IF(A53+$B$6&lt;LEN($B$7),CODE(MID($B$7,A53+$B$6+1,1)),"")</f>
        <v>114</v>
      </c>
      <c r="E53" s="2" t="n">
        <f aca="false">MOD($B$4*(E52-C52*$H$12)+D52,$B$5)</f>
        <v>10</v>
      </c>
      <c r="F53" s="2" t="str">
        <f aca="false">IF(E53=$H$11,"sí","")</f>
        <v/>
      </c>
      <c r="G53" s="2" t="str">
        <f aca="false">IF(F53="sí",IF(EXACT(B53,$B$8),"OCURRENCIA","COLISIÓN"),"")</f>
        <v/>
      </c>
      <c r="H53" s="2" t="n">
        <f aca="false">IF(F53&lt;&gt;"sí",0,IFERROR(MATCH(0,INDEX(--(MID(B53,ROW($A$1:$A$15),1)=MID($B$8,ROW($A$1:$A$15),1)),0),0),$B$6))</f>
        <v>0</v>
      </c>
    </row>
    <row r="54" customFormat="false" ht="15" hidden="false" customHeight="false" outlineLevel="0" collapsed="false">
      <c r="A54" s="2" t="n">
        <v>25</v>
      </c>
      <c r="B54" s="2" t="str">
        <f aca="false">MID($B$7,A54+1,$B$6)</f>
        <v>rnational repor</v>
      </c>
      <c r="C54" s="2" t="n">
        <f aca="false">CODE(MID($B$7,A54+1,1))</f>
        <v>114</v>
      </c>
      <c r="D54" s="2" t="n">
        <f aca="false">IF(A54+$B$6&lt;LEN($B$7),CODE(MID($B$7,A54+$B$6+1,1)),"")</f>
        <v>116</v>
      </c>
      <c r="E54" s="2" t="n">
        <f aca="false">MOD($B$4*(E53-C53*$H$12)+D53,$B$5)</f>
        <v>59</v>
      </c>
      <c r="F54" s="2" t="str">
        <f aca="false">IF(E54=$H$11,"sí","")</f>
        <v/>
      </c>
      <c r="G54" s="2" t="str">
        <f aca="false">IF(F54="sí",IF(EXACT(B54,$B$8),"OCURRENCIA","COLISIÓN"),"")</f>
        <v/>
      </c>
      <c r="H54" s="2" t="n">
        <f aca="false">IF(F54&lt;&gt;"sí",0,IFERROR(MATCH(0,INDEX(--(MID(B54,ROW($A$1:$A$15),1)=MID($B$8,ROW($A$1:$A$15),1)),0),0),$B$6))</f>
        <v>0</v>
      </c>
    </row>
    <row r="55" customFormat="false" ht="15" hidden="false" customHeight="false" outlineLevel="0" collapsed="false">
      <c r="A55" s="2" t="n">
        <v>26</v>
      </c>
      <c r="B55" s="2" t="str">
        <f aca="false">MID($B$7,A55+1,$B$6)</f>
        <v>national report</v>
      </c>
      <c r="C55" s="2" t="n">
        <f aca="false">CODE(MID($B$7,A55+1,1))</f>
        <v>110</v>
      </c>
      <c r="D55" s="2" t="n">
        <f aca="false">IF(A55+$B$6&lt;LEN($B$7),CODE(MID($B$7,A55+$B$6+1,1)),"")</f>
        <v>115</v>
      </c>
      <c r="E55" s="2" t="n">
        <f aca="false">MOD($B$4*(E54-C54*$H$12)+D54,$B$5)</f>
        <v>8</v>
      </c>
      <c r="F55" s="2" t="str">
        <f aca="false">IF(E55=$H$11,"sí","")</f>
        <v/>
      </c>
      <c r="G55" s="2" t="str">
        <f aca="false">IF(F55="sí",IF(EXACT(B55,$B$8),"OCURRENCIA","COLISIÓN"),"")</f>
        <v/>
      </c>
      <c r="H55" s="2" t="n">
        <f aca="false">IF(F55&lt;&gt;"sí",0,IFERROR(MATCH(0,INDEX(--(MID(B55,ROW($A$1:$A$15),1)=MID($B$8,ROW($A$1:$A$15),1)),0),0),$B$6))</f>
        <v>0</v>
      </c>
    </row>
    <row r="56" customFormat="false" ht="15" hidden="false" customHeight="false" outlineLevel="0" collapsed="false">
      <c r="A56" s="2" t="n">
        <v>27</v>
      </c>
      <c r="B56" s="2" t="str">
        <f aca="false">MID($B$7,A56+1,$B$6)</f>
        <v>ational reports</v>
      </c>
      <c r="C56" s="2" t="n">
        <f aca="false">CODE(MID($B$7,A56+1,1))</f>
        <v>97</v>
      </c>
      <c r="D56" s="2" t="n">
        <f aca="false">IF(A56+$B$6&lt;LEN($B$7),CODE(MID($B$7,A56+$B$6+1,1)),"")</f>
        <v>44</v>
      </c>
      <c r="E56" s="2" t="n">
        <f aca="false">MOD($B$4*(E55-C55*$H$12)+D55,$B$5)</f>
        <v>42</v>
      </c>
      <c r="F56" s="2" t="str">
        <f aca="false">IF(E56=$H$11,"sí","")</f>
        <v/>
      </c>
      <c r="G56" s="2" t="str">
        <f aca="false">IF(F56="sí",IF(EXACT(B56,$B$8),"OCURRENCIA","COLISIÓN"),"")</f>
        <v/>
      </c>
      <c r="H56" s="2" t="n">
        <f aca="false">IF(F56&lt;&gt;"sí",0,IFERROR(MATCH(0,INDEX(--(MID(B56,ROW($A$1:$A$15),1)=MID($B$8,ROW($A$1:$A$15),1)),0),0),$B$6))</f>
        <v>0</v>
      </c>
    </row>
    <row r="57" customFormat="false" ht="15" hidden="false" customHeight="false" outlineLevel="0" collapsed="false">
      <c r="A57" s="2" t="n">
        <v>28</v>
      </c>
      <c r="B57" s="2" t="str">
        <f aca="false">MID($B$7,A57+1,$B$6)</f>
        <v>tional reports,</v>
      </c>
      <c r="C57" s="2" t="n">
        <f aca="false">CODE(MID($B$7,A57+1,1))</f>
        <v>116</v>
      </c>
      <c r="D57" s="2" t="n">
        <f aca="false">IF(A57+$B$6&lt;LEN($B$7),CODE(MID($B$7,A57+$B$6+1,1)),"")</f>
        <v>32</v>
      </c>
      <c r="E57" s="2" t="n">
        <f aca="false">MOD($B$4*(E56-C56*$H$12)+D56,$B$5)</f>
        <v>29</v>
      </c>
      <c r="F57" s="2" t="str">
        <f aca="false">IF(E57=$H$11,"sí","")</f>
        <v/>
      </c>
      <c r="G57" s="2" t="str">
        <f aca="false">IF(F57="sí",IF(EXACT(B57,$B$8),"OCURRENCIA","COLISIÓN"),"")</f>
        <v/>
      </c>
      <c r="H57" s="2" t="n">
        <f aca="false">IF(F57&lt;&gt;"sí",0,IFERROR(MATCH(0,INDEX(--(MID(B57,ROW($A$1:$A$15),1)=MID($B$8,ROW($A$1:$A$15),1)),0),0),$B$6))</f>
        <v>0</v>
      </c>
    </row>
    <row r="58" customFormat="false" ht="15" hidden="false" customHeight="false" outlineLevel="0" collapsed="false">
      <c r="A58" s="2" t="n">
        <v>29</v>
      </c>
      <c r="B58" s="2" t="str">
        <f aca="false">MID($B$7,A58+1,$B$6)</f>
        <v>ional reports, </v>
      </c>
      <c r="C58" s="2" t="n">
        <f aca="false">CODE(MID($B$7,A58+1,1))</f>
        <v>105</v>
      </c>
      <c r="D58" s="2" t="n">
        <f aca="false">IF(A58+$B$6&lt;LEN($B$7),CODE(MID($B$7,A58+$B$6+1,1)),"")</f>
        <v>97</v>
      </c>
      <c r="E58" s="2" t="n">
        <f aca="false">MOD($B$4*(E57-C57*$H$12)+D57,$B$5)</f>
        <v>6</v>
      </c>
      <c r="F58" s="2" t="str">
        <f aca="false">IF(E58=$H$11,"sí","")</f>
        <v/>
      </c>
      <c r="G58" s="2" t="str">
        <f aca="false">IF(F58="sí",IF(EXACT(B58,$B$8),"OCURRENCIA","COLISIÓN"),"")</f>
        <v/>
      </c>
      <c r="H58" s="2" t="n">
        <f aca="false">IF(F58&lt;&gt;"sí",0,IFERROR(MATCH(0,INDEX(--(MID(B58,ROW($A$1:$A$15),1)=MID($B$8,ROW($A$1:$A$15),1)),0),0),$B$6))</f>
        <v>0</v>
      </c>
    </row>
    <row r="59" customFormat="false" ht="15" hidden="false" customHeight="false" outlineLevel="0" collapsed="false">
      <c r="A59" s="2" t="n">
        <v>30</v>
      </c>
      <c r="B59" s="2" t="str">
        <f aca="false">MID($B$7,A59+1,$B$6)</f>
        <v>onal reports, a</v>
      </c>
      <c r="C59" s="2" t="n">
        <f aca="false">CODE(MID($B$7,A59+1,1))</f>
        <v>111</v>
      </c>
      <c r="D59" s="2" t="n">
        <f aca="false">IF(A59+$B$6&lt;LEN($B$7),CODE(MID($B$7,A59+$B$6+1,1)),"")</f>
        <v>114</v>
      </c>
      <c r="E59" s="2" t="n">
        <f aca="false">MOD($B$4*(E58-C58*$H$12)+D58,$B$5)</f>
        <v>89</v>
      </c>
      <c r="F59" s="2" t="str">
        <f aca="false">IF(E59=$H$11,"sí","")</f>
        <v/>
      </c>
      <c r="G59" s="2" t="str">
        <f aca="false">IF(F59="sí",IF(EXACT(B59,$B$8),"OCURRENCIA","COLISIÓN"),"")</f>
        <v/>
      </c>
      <c r="H59" s="2" t="n">
        <f aca="false">IF(F59&lt;&gt;"sí",0,IFERROR(MATCH(0,INDEX(--(MID(B59,ROW($A$1:$A$15),1)=MID($B$8,ROW($A$1:$A$15),1)),0),0),$B$6))</f>
        <v>0</v>
      </c>
    </row>
    <row r="60" customFormat="false" ht="15" hidden="false" customHeight="false" outlineLevel="0" collapsed="false">
      <c r="A60" s="2" t="n">
        <v>31</v>
      </c>
      <c r="B60" s="2" t="str">
        <f aca="false">MID($B$7,A60+1,$B$6)</f>
        <v>nal reports, ar</v>
      </c>
      <c r="C60" s="2" t="n">
        <f aca="false">CODE(MID($B$7,A60+1,1))</f>
        <v>110</v>
      </c>
      <c r="D60" s="2" t="n">
        <f aca="false">IF(A60+$B$6&lt;LEN($B$7),CODE(MID($B$7,A60+$B$6+1,1)),"")</f>
        <v>116</v>
      </c>
      <c r="E60" s="2" t="n">
        <f aca="false">MOD($B$4*(E59-C59*$H$12)+D59,$B$5)</f>
        <v>20</v>
      </c>
      <c r="F60" s="2" t="str">
        <f aca="false">IF(E60=$H$11,"sí","")</f>
        <v/>
      </c>
      <c r="G60" s="2" t="str">
        <f aca="false">IF(F60="sí",IF(EXACT(B60,$B$8),"OCURRENCIA","COLISIÓN"),"")</f>
        <v/>
      </c>
      <c r="H60" s="2" t="n">
        <f aca="false">IF(F60&lt;&gt;"sí",0,IFERROR(MATCH(0,INDEX(--(MID(B60,ROW($A$1:$A$15),1)=MID($B$8,ROW($A$1:$A$15),1)),0),0),$B$6))</f>
        <v>0</v>
      </c>
    </row>
    <row r="61" customFormat="false" ht="15" hidden="false" customHeight="false" outlineLevel="0" collapsed="false">
      <c r="A61" s="2" t="n">
        <v>32</v>
      </c>
      <c r="B61" s="2" t="str">
        <f aca="false">MID($B$7,A61+1,$B$6)</f>
        <v>al reports, art</v>
      </c>
      <c r="C61" s="2" t="n">
        <f aca="false">CODE(MID($B$7,A61+1,1))</f>
        <v>97</v>
      </c>
      <c r="D61" s="2" t="n">
        <f aca="false">IF(A61+$B$6&lt;LEN($B$7),CODE(MID($B$7,A61+$B$6+1,1)),"")</f>
        <v>105</v>
      </c>
      <c r="E61" s="2" t="n">
        <f aca="false">MOD($B$4*(E60-C60*$H$12)+D60,$B$5)</f>
        <v>11</v>
      </c>
      <c r="F61" s="2" t="str">
        <f aca="false">IF(E61=$H$11,"sí","")</f>
        <v/>
      </c>
      <c r="G61" s="2" t="str">
        <f aca="false">IF(F61="sí",IF(EXACT(B61,$B$8),"OCURRENCIA","COLISIÓN"),"")</f>
        <v/>
      </c>
      <c r="H61" s="2" t="n">
        <f aca="false">IF(F61&lt;&gt;"sí",0,IFERROR(MATCH(0,INDEX(--(MID(B61,ROW($A$1:$A$15),1)=MID($B$8,ROW($A$1:$A$15),1)),0),0),$B$6))</f>
        <v>0</v>
      </c>
    </row>
    <row r="62" customFormat="false" ht="15" hidden="false" customHeight="false" outlineLevel="0" collapsed="false">
      <c r="A62" s="2" t="n">
        <v>33</v>
      </c>
      <c r="B62" s="2" t="str">
        <f aca="false">MID($B$7,A62+1,$B$6)</f>
        <v>l reports, arti</v>
      </c>
      <c r="C62" s="2" t="n">
        <f aca="false">CODE(MID($B$7,A62+1,1))</f>
        <v>108</v>
      </c>
      <c r="D62" s="2" t="n">
        <f aca="false">IF(A62+$B$6&lt;LEN($B$7),CODE(MID($B$7,A62+$B$6+1,1)),"")</f>
        <v>102</v>
      </c>
      <c r="E62" s="2" t="n">
        <f aca="false">MOD($B$4*(E61-C61*$H$12)+D61,$B$5)</f>
        <v>11</v>
      </c>
      <c r="F62" s="2" t="str">
        <f aca="false">IF(E62=$H$11,"sí","")</f>
        <v/>
      </c>
      <c r="G62" s="2" t="str">
        <f aca="false">IF(F62="sí",IF(EXACT(B62,$B$8),"OCURRENCIA","COLISIÓN"),"")</f>
        <v/>
      </c>
      <c r="H62" s="2" t="n">
        <f aca="false">IF(F62&lt;&gt;"sí",0,IFERROR(MATCH(0,INDEX(--(MID(B62,ROW($A$1:$A$15),1)=MID($B$8,ROW($A$1:$A$15),1)),0),0),$B$6))</f>
        <v>0</v>
      </c>
    </row>
    <row r="63" customFormat="false" ht="15" hidden="false" customHeight="false" outlineLevel="0" collapsed="false">
      <c r="A63" s="2" t="n">
        <v>34</v>
      </c>
      <c r="B63" s="2" t="str">
        <f aca="false">MID($B$7,A63+1,$B$6)</f>
        <v> reports, artif</v>
      </c>
      <c r="C63" s="2" t="n">
        <f aca="false">CODE(MID($B$7,A63+1,1))</f>
        <v>32</v>
      </c>
      <c r="D63" s="2" t="n">
        <f aca="false">IF(A63+$B$6&lt;LEN($B$7),CODE(MID($B$7,A63+$B$6+1,1)),"")</f>
        <v>105</v>
      </c>
      <c r="E63" s="2" t="n">
        <f aca="false">MOD($B$4*(E62-C62*$H$12)+D62,$B$5)</f>
        <v>19</v>
      </c>
      <c r="F63" s="2" t="str">
        <f aca="false">IF(E63=$H$11,"sí","")</f>
        <v/>
      </c>
      <c r="G63" s="2" t="str">
        <f aca="false">IF(F63="sí",IF(EXACT(B63,$B$8),"OCURRENCIA","COLISIÓN"),"")</f>
        <v/>
      </c>
      <c r="H63" s="2" t="n">
        <f aca="false">IF(F63&lt;&gt;"sí",0,IFERROR(MATCH(0,INDEX(--(MID(B63,ROW($A$1:$A$15),1)=MID($B$8,ROW($A$1:$A$15),1)),0),0),$B$6))</f>
        <v>0</v>
      </c>
    </row>
    <row r="64" customFormat="false" ht="15" hidden="false" customHeight="false" outlineLevel="0" collapsed="false">
      <c r="A64" s="2" t="n">
        <v>35</v>
      </c>
      <c r="B64" s="2" t="str">
        <f aca="false">MID($B$7,A64+1,$B$6)</f>
        <v>reports, artifi</v>
      </c>
      <c r="C64" s="2" t="n">
        <f aca="false">CODE(MID($B$7,A64+1,1))</f>
        <v>114</v>
      </c>
      <c r="D64" s="2" t="n">
        <f aca="false">IF(A64+$B$6&lt;LEN($B$7),CODE(MID($B$7,A64+$B$6+1,1)),"")</f>
        <v>99</v>
      </c>
      <c r="E64" s="2" t="n">
        <f aca="false">MOD($B$4*(E63-C63*$H$12)+D63,$B$5)</f>
        <v>54</v>
      </c>
      <c r="F64" s="2" t="str">
        <f aca="false">IF(E64=$H$11,"sí","")</f>
        <v/>
      </c>
      <c r="G64" s="2" t="str">
        <f aca="false">IF(F64="sí",IF(EXACT(B64,$B$8),"OCURRENCIA","COLISIÓN"),"")</f>
        <v/>
      </c>
      <c r="H64" s="2" t="n">
        <f aca="false">IF(F64&lt;&gt;"sí",0,IFERROR(MATCH(0,INDEX(--(MID(B64,ROW($A$1:$A$15),1)=MID($B$8,ROW($A$1:$A$15),1)),0),0),$B$6))</f>
        <v>0</v>
      </c>
    </row>
    <row r="65" customFormat="false" ht="15" hidden="false" customHeight="false" outlineLevel="0" collapsed="false">
      <c r="A65" s="2" t="n">
        <v>36</v>
      </c>
      <c r="B65" s="2" t="str">
        <f aca="false">MID($B$7,A65+1,$B$6)</f>
        <v>eports, artific</v>
      </c>
      <c r="C65" s="2" t="n">
        <f aca="false">CODE(MID($B$7,A65+1,1))</f>
        <v>101</v>
      </c>
      <c r="D65" s="2" t="n">
        <f aca="false">IF(A65+$B$6&lt;LEN($B$7),CODE(MID($B$7,A65+$B$6+1,1)),"")</f>
        <v>105</v>
      </c>
      <c r="E65" s="2" t="n">
        <f aca="false">MOD($B$4*(E64-C64*$H$12)+D64,$B$5)</f>
        <v>69</v>
      </c>
      <c r="F65" s="2" t="str">
        <f aca="false">IF(E65=$H$11,"sí","")</f>
        <v/>
      </c>
      <c r="G65" s="2" t="str">
        <f aca="false">IF(F65="sí",IF(EXACT(B65,$B$8),"OCURRENCIA","COLISIÓN"),"")</f>
        <v/>
      </c>
      <c r="H65" s="2" t="n">
        <f aca="false">IF(F65&lt;&gt;"sí",0,IFERROR(MATCH(0,INDEX(--(MID(B65,ROW($A$1:$A$15),1)=MID($B$8,ROW($A$1:$A$15),1)),0),0),$B$6))</f>
        <v>0</v>
      </c>
    </row>
    <row r="66" customFormat="false" ht="15" hidden="false" customHeight="false" outlineLevel="0" collapsed="false">
      <c r="A66" s="2" t="n">
        <v>37</v>
      </c>
      <c r="B66" s="2" t="str">
        <f aca="false">MID($B$7,A66+1,$B$6)</f>
        <v>ports, artifici</v>
      </c>
      <c r="C66" s="2" t="n">
        <f aca="false">CODE(MID($B$7,A66+1,1))</f>
        <v>112</v>
      </c>
      <c r="D66" s="2" t="n">
        <f aca="false">IF(A66+$B$6&lt;LEN($B$7),CODE(MID($B$7,A66+$B$6+1,1)),"")</f>
        <v>97</v>
      </c>
      <c r="E66" s="2" t="n">
        <f aca="false">MOD($B$4*(E65-C65*$H$12)+D65,$B$5)</f>
        <v>22</v>
      </c>
      <c r="F66" s="2" t="str">
        <f aca="false">IF(E66=$H$11,"sí","")</f>
        <v/>
      </c>
      <c r="G66" s="2" t="str">
        <f aca="false">IF(F66="sí",IF(EXACT(B66,$B$8),"OCURRENCIA","COLISIÓN"),"")</f>
        <v/>
      </c>
      <c r="H66" s="2" t="n">
        <f aca="false">IF(F66&lt;&gt;"sí",0,IFERROR(MATCH(0,INDEX(--(MID(B66,ROW($A$1:$A$15),1)=MID($B$8,ROW($A$1:$A$15),1)),0),0),$B$6))</f>
        <v>0</v>
      </c>
    </row>
    <row r="67" customFormat="false" ht="15" hidden="false" customHeight="false" outlineLevel="0" collapsed="false">
      <c r="A67" s="2" t="n">
        <v>38</v>
      </c>
      <c r="B67" s="2" t="str">
        <f aca="false">MID($B$7,A67+1,$B$6)</f>
        <v>orts, artificia</v>
      </c>
      <c r="C67" s="2" t="n">
        <f aca="false">CODE(MID($B$7,A67+1,1))</f>
        <v>111</v>
      </c>
      <c r="D67" s="2" t="n">
        <f aca="false">IF(A67+$B$6&lt;LEN($B$7),CODE(MID($B$7,A67+$B$6+1,1)),"")</f>
        <v>108</v>
      </c>
      <c r="E67" s="2" t="n">
        <f aca="false">MOD($B$4*(E66-C66*$H$12)+D66,$B$5)</f>
        <v>21</v>
      </c>
      <c r="F67" s="2" t="str">
        <f aca="false">IF(E67=$H$11,"sí","")</f>
        <v/>
      </c>
      <c r="G67" s="2" t="str">
        <f aca="false">IF(F67="sí",IF(EXACT(B67,$B$8),"OCURRENCIA","COLISIÓN"),"")</f>
        <v/>
      </c>
      <c r="H67" s="2" t="n">
        <f aca="false">IF(F67&lt;&gt;"sí",0,IFERROR(MATCH(0,INDEX(--(MID(B67,ROW($A$1:$A$15),1)=MID($B$8,ROW($A$1:$A$15),1)),0),0),$B$6))</f>
        <v>0</v>
      </c>
    </row>
    <row r="68" customFormat="false" ht="15" hidden="false" customHeight="false" outlineLevel="0" collapsed="false">
      <c r="A68" s="2" t="n">
        <v>39</v>
      </c>
      <c r="B68" s="2" t="str">
        <f aca="false">MID($B$7,A68+1,$B$6)</f>
        <v>rts, artificial</v>
      </c>
      <c r="C68" s="2" t="n">
        <f aca="false">CODE(MID($B$7,A68+1,1))</f>
        <v>114</v>
      </c>
      <c r="D68" s="2" t="n">
        <f aca="false">IF(A68+$B$6&lt;LEN($B$7),CODE(MID($B$7,A68+$B$6+1,1)),"")</f>
        <v>32</v>
      </c>
      <c r="E68" s="2" t="n">
        <f aca="false">MOD($B$4*(E67-C67*$H$12)+D67,$B$5)</f>
        <v>66</v>
      </c>
      <c r="F68" s="2" t="str">
        <f aca="false">IF(E68=$H$11,"sí","")</f>
        <v/>
      </c>
      <c r="G68" s="2" t="str">
        <f aca="false">IF(F68="sí",IF(EXACT(B68,$B$8),"OCURRENCIA","COLISIÓN"),"")</f>
        <v/>
      </c>
      <c r="H68" s="2" t="n">
        <f aca="false">IF(F68&lt;&gt;"sí",0,IFERROR(MATCH(0,INDEX(--(MID(B68,ROW($A$1:$A$15),1)=MID($B$8,ROW($A$1:$A$15),1)),0),0),$B$6))</f>
        <v>0</v>
      </c>
    </row>
    <row r="69" customFormat="false" ht="15" hidden="false" customHeight="false" outlineLevel="0" collapsed="false">
      <c r="A69" s="2" t="n">
        <v>40</v>
      </c>
      <c r="B69" s="2" t="str">
        <f aca="false">MID($B$7,A69+1,$B$6)</f>
        <v>ts, artificial </v>
      </c>
      <c r="C69" s="2" t="n">
        <f aca="false">CODE(MID($B$7,A69+1,1))</f>
        <v>116</v>
      </c>
      <c r="D69" s="2" t="n">
        <f aca="false">IF(A69+$B$6&lt;LEN($B$7),CODE(MID($B$7,A69+$B$6+1,1)),"")</f>
        <v>105</v>
      </c>
      <c r="E69" s="2" t="n">
        <f aca="false">MOD($B$4*(E68-C68*$H$12)+D68,$B$5)</f>
        <v>67</v>
      </c>
      <c r="F69" s="2" t="str">
        <f aca="false">IF(E69=$H$11,"sí","")</f>
        <v/>
      </c>
      <c r="G69" s="2" t="str">
        <f aca="false">IF(F69="sí",IF(EXACT(B69,$B$8),"OCURRENCIA","COLISIÓN"),"")</f>
        <v/>
      </c>
      <c r="H69" s="2" t="n">
        <f aca="false">IF(F69&lt;&gt;"sí",0,IFERROR(MATCH(0,INDEX(--(MID(B69,ROW($A$1:$A$15),1)=MID($B$8,ROW($A$1:$A$15),1)),0),0),$B$6))</f>
        <v>0</v>
      </c>
    </row>
    <row r="70" customFormat="false" ht="15" hidden="false" customHeight="false" outlineLevel="0" collapsed="false">
      <c r="A70" s="2" t="n">
        <v>41</v>
      </c>
      <c r="B70" s="2" t="str">
        <f aca="false">MID($B$7,A70+1,$B$6)</f>
        <v>s, artificial i</v>
      </c>
      <c r="C70" s="2" t="n">
        <f aca="false">CODE(MID($B$7,A70+1,1))</f>
        <v>115</v>
      </c>
      <c r="D70" s="2" t="n">
        <f aca="false">IF(A70+$B$6&lt;LEN($B$7),CODE(MID($B$7,A70+$B$6+1,1)),"")</f>
        <v>110</v>
      </c>
      <c r="E70" s="2" t="n">
        <f aca="false">MOD($B$4*(E69-C69*$H$12)+D69,$B$5)</f>
        <v>10</v>
      </c>
      <c r="F70" s="2" t="str">
        <f aca="false">IF(E70=$H$11,"sí","")</f>
        <v/>
      </c>
      <c r="G70" s="2" t="str">
        <f aca="false">IF(F70="sí",IF(EXACT(B70,$B$8),"OCURRENCIA","COLISIÓN"),"")</f>
        <v/>
      </c>
      <c r="H70" s="2" t="n">
        <f aca="false">IF(F70&lt;&gt;"sí",0,IFERROR(MATCH(0,INDEX(--(MID(B70,ROW($A$1:$A$15),1)=MID($B$8,ROW($A$1:$A$15),1)),0),0),$B$6))</f>
        <v>0</v>
      </c>
    </row>
    <row r="71" customFormat="false" ht="15" hidden="false" customHeight="false" outlineLevel="0" collapsed="false">
      <c r="A71" s="2" t="n">
        <v>42</v>
      </c>
      <c r="B71" s="2" t="str">
        <f aca="false">MID($B$7,A71+1,$B$6)</f>
        <v>, artificial in</v>
      </c>
      <c r="C71" s="2" t="n">
        <f aca="false">CODE(MID($B$7,A71+1,1))</f>
        <v>44</v>
      </c>
      <c r="D71" s="2" t="n">
        <f aca="false">IF(A71+$B$6&lt;LEN($B$7),CODE(MID($B$7,A71+$B$6+1,1)),"")</f>
        <v>116</v>
      </c>
      <c r="E71" s="2" t="n">
        <f aca="false">MOD($B$4*(E70-C70*$H$12)+D70,$B$5)</f>
        <v>69</v>
      </c>
      <c r="F71" s="2" t="str">
        <f aca="false">IF(E71=$H$11,"sí","")</f>
        <v/>
      </c>
      <c r="G71" s="2" t="str">
        <f aca="false">IF(F71="sí",IF(EXACT(B71,$B$8),"OCURRENCIA","COLISIÓN"),"")</f>
        <v/>
      </c>
      <c r="H71" s="2" t="n">
        <f aca="false">IF(F71&lt;&gt;"sí",0,IFERROR(MATCH(0,INDEX(--(MID(B71,ROW($A$1:$A$15),1)=MID($B$8,ROW($A$1:$A$15),1)),0),0),$B$6))</f>
        <v>0</v>
      </c>
    </row>
    <row r="72" customFormat="false" ht="15" hidden="false" customHeight="false" outlineLevel="0" collapsed="false">
      <c r="A72" s="2" t="n">
        <v>43</v>
      </c>
      <c r="B72" s="2" t="str">
        <f aca="false">MID($B$7,A72+1,$B$6)</f>
        <v> artificial int</v>
      </c>
      <c r="C72" s="2" t="n">
        <f aca="false">CODE(MID($B$7,A72+1,1))</f>
        <v>32</v>
      </c>
      <c r="D72" s="2" t="n">
        <f aca="false">IF(A72+$B$6&lt;LEN($B$7),CODE(MID($B$7,A72+$B$6+1,1)),"")</f>
        <v>101</v>
      </c>
      <c r="E72" s="2" t="n">
        <f aca="false">MOD($B$4*(E71-C71*$H$12)+D71,$B$5)</f>
        <v>73</v>
      </c>
      <c r="F72" s="2" t="str">
        <f aca="false">IF(E72=$H$11,"sí","")</f>
        <v/>
      </c>
      <c r="G72" s="2" t="str">
        <f aca="false">IF(F72="sí",IF(EXACT(B72,$B$8),"OCURRENCIA","COLISIÓN"),"")</f>
        <v/>
      </c>
      <c r="H72" s="2" t="n">
        <f aca="false">IF(F72&lt;&gt;"sí",0,IFERROR(MATCH(0,INDEX(--(MID(B72,ROW($A$1:$A$15),1)=MID($B$8,ROW($A$1:$A$15),1)),0),0),$B$6))</f>
        <v>0</v>
      </c>
    </row>
    <row r="73" customFormat="false" ht="15" hidden="false" customHeight="false" outlineLevel="0" collapsed="false">
      <c r="A73" s="2" t="n">
        <v>44</v>
      </c>
      <c r="B73" s="2" t="str">
        <f aca="false">MID($B$7,A73+1,$B$6)</f>
        <v>artificial inte</v>
      </c>
      <c r="C73" s="2" t="n">
        <f aca="false">CODE(MID($B$7,A73+1,1))</f>
        <v>97</v>
      </c>
      <c r="D73" s="2" t="n">
        <f aca="false">IF(A73+$B$6&lt;LEN($B$7),CODE(MID($B$7,A73+$B$6+1,1)),"")</f>
        <v>108</v>
      </c>
      <c r="E73" s="2" t="n">
        <f aca="false">MOD($B$4*(E72-C72*$H$12)+D72,$B$5)</f>
        <v>3</v>
      </c>
      <c r="F73" s="2" t="str">
        <f aca="false">IF(E73=$H$11,"sí","")</f>
        <v/>
      </c>
      <c r="G73" s="2" t="str">
        <f aca="false">IF(F73="sí",IF(EXACT(B73,$B$8),"OCURRENCIA","COLISIÓN"),"")</f>
        <v/>
      </c>
      <c r="H73" s="2" t="n">
        <f aca="false">IF(F73&lt;&gt;"sí",0,IFERROR(MATCH(0,INDEX(--(MID(B73,ROW($A$1:$A$15),1)=MID($B$8,ROW($A$1:$A$15),1)),0),0),$B$6))</f>
        <v>0</v>
      </c>
    </row>
    <row r="74" customFormat="false" ht="15" hidden="false" customHeight="false" outlineLevel="0" collapsed="false">
      <c r="A74" s="2" t="n">
        <v>45</v>
      </c>
      <c r="B74" s="2" t="str">
        <f aca="false">MID($B$7,A74+1,$B$6)</f>
        <v>rtificial intel</v>
      </c>
      <c r="C74" s="2" t="n">
        <f aca="false">CODE(MID($B$7,A74+1,1))</f>
        <v>114</v>
      </c>
      <c r="D74" s="2" t="n">
        <f aca="false">IF(A74+$B$6&lt;LEN($B$7),CODE(MID($B$7,A74+$B$6+1,1)),"")</f>
        <v>108</v>
      </c>
      <c r="E74" s="2" t="n">
        <f aca="false">MOD($B$4*(E73-C73*$H$12)+D73,$B$5)</f>
        <v>3</v>
      </c>
      <c r="F74" s="2" t="str">
        <f aca="false">IF(E74=$H$11,"sí","")</f>
        <v/>
      </c>
      <c r="G74" s="2" t="str">
        <f aca="false">IF(F74="sí",IF(EXACT(B74,$B$8),"OCURRENCIA","COLISIÓN"),"")</f>
        <v/>
      </c>
      <c r="H74" s="2" t="n">
        <f aca="false">IF(F74&lt;&gt;"sí",0,IFERROR(MATCH(0,INDEX(--(MID(B74,ROW($A$1:$A$15),1)=MID($B$8,ROW($A$1:$A$15),1)),0),0),$B$6))</f>
        <v>0</v>
      </c>
    </row>
    <row r="75" customFormat="false" ht="15" hidden="false" customHeight="false" outlineLevel="0" collapsed="false">
      <c r="A75" s="2" t="n">
        <v>46</v>
      </c>
      <c r="B75" s="2" t="str">
        <f aca="false">MID($B$7,A75+1,$B$6)</f>
        <v>tificial intell</v>
      </c>
      <c r="C75" s="2" t="n">
        <f aca="false">CODE(MID($B$7,A75+1,1))</f>
        <v>116</v>
      </c>
      <c r="D75" s="2" t="n">
        <f aca="false">IF(A75+$B$6&lt;LEN($B$7),CODE(MID($B$7,A75+$B$6+1,1)),"")</f>
        <v>105</v>
      </c>
      <c r="E75" s="2" t="n">
        <f aca="false">MOD($B$4*(E74-C74*$H$12)+D74,$B$5)</f>
        <v>20</v>
      </c>
      <c r="F75" s="2" t="str">
        <f aca="false">IF(E75=$H$11,"sí","")</f>
        <v/>
      </c>
      <c r="G75" s="2" t="str">
        <f aca="false">IF(F75="sí",IF(EXACT(B75,$B$8),"OCURRENCIA","COLISIÓN"),"")</f>
        <v/>
      </c>
      <c r="H75" s="2" t="n">
        <f aca="false">IF(F75&lt;&gt;"sí",0,IFERROR(MATCH(0,INDEX(--(MID(B75,ROW($A$1:$A$15),1)=MID($B$8,ROW($A$1:$A$15),1)),0),0),$B$6))</f>
        <v>0</v>
      </c>
    </row>
    <row r="76" customFormat="false" ht="15" hidden="false" customHeight="false" outlineLevel="0" collapsed="false">
      <c r="A76" s="2" t="n">
        <v>47</v>
      </c>
      <c r="B76" s="2" t="str">
        <f aca="false">MID($B$7,A76+1,$B$6)</f>
        <v>ificial intelli</v>
      </c>
      <c r="C76" s="2" t="n">
        <f aca="false">CODE(MID($B$7,A76+1,1))</f>
        <v>105</v>
      </c>
      <c r="D76" s="2" t="n">
        <f aca="false">IF(A76+$B$6&lt;LEN($B$7),CODE(MID($B$7,A76+$B$6+1,1)),"")</f>
        <v>103</v>
      </c>
      <c r="E76" s="2" t="n">
        <f aca="false">MOD($B$4*(E75-C75*$H$12)+D75,$B$5)</f>
        <v>6</v>
      </c>
      <c r="F76" s="2" t="str">
        <f aca="false">IF(E76=$H$11,"sí","")</f>
        <v/>
      </c>
      <c r="G76" s="2" t="str">
        <f aca="false">IF(F76="sí",IF(EXACT(B76,$B$8),"OCURRENCIA","COLISIÓN"),"")</f>
        <v/>
      </c>
      <c r="H76" s="2" t="n">
        <f aca="false">IF(F76&lt;&gt;"sí",0,IFERROR(MATCH(0,INDEX(--(MID(B76,ROW($A$1:$A$15),1)=MID($B$8,ROW($A$1:$A$15),1)),0),0),$B$6))</f>
        <v>0</v>
      </c>
    </row>
    <row r="77" customFormat="false" ht="15" hidden="false" customHeight="false" outlineLevel="0" collapsed="false">
      <c r="A77" s="2" t="n">
        <v>48</v>
      </c>
      <c r="B77" s="2" t="str">
        <f aca="false">MID($B$7,A77+1,$B$6)</f>
        <v>ficial intellig</v>
      </c>
      <c r="C77" s="2" t="n">
        <f aca="false">CODE(MID($B$7,A77+1,1))</f>
        <v>102</v>
      </c>
      <c r="D77" s="2" t="n">
        <f aca="false">IF(A77+$B$6&lt;LEN($B$7),CODE(MID($B$7,A77+$B$6+1,1)),"")</f>
        <v>101</v>
      </c>
      <c r="E77" s="2" t="n">
        <f aca="false">MOD($B$4*(E76-C76*$H$12)+D76,$B$5)</f>
        <v>95</v>
      </c>
      <c r="F77" s="2" t="str">
        <f aca="false">IF(E77=$H$11,"sí","")</f>
        <v/>
      </c>
      <c r="G77" s="2" t="str">
        <f aca="false">IF(F77="sí",IF(EXACT(B77,$B$8),"OCURRENCIA","COLISIÓN"),"")</f>
        <v/>
      </c>
      <c r="H77" s="2" t="n">
        <f aca="false">IF(F77&lt;&gt;"sí",0,IFERROR(MATCH(0,INDEX(--(MID(B77,ROW($A$1:$A$15),1)=MID($B$8,ROW($A$1:$A$15),1)),0),0),$B$6))</f>
        <v>0</v>
      </c>
    </row>
    <row r="78" customFormat="false" ht="15" hidden="false" customHeight="false" outlineLevel="0" collapsed="false">
      <c r="A78" s="2" t="n">
        <v>49</v>
      </c>
      <c r="B78" s="2" t="str">
        <f aca="false">MID($B$7,A78+1,$B$6)</f>
        <v>icial intellige</v>
      </c>
      <c r="C78" s="2" t="n">
        <f aca="false">CODE(MID($B$7,A78+1,1))</f>
        <v>105</v>
      </c>
      <c r="D78" s="2" t="n">
        <f aca="false">IF(A78+$B$6&lt;LEN($B$7),CODE(MID($B$7,A78+$B$6+1,1)),"")</f>
        <v>110</v>
      </c>
      <c r="E78" s="2" t="n">
        <f aca="false">MOD($B$4*(E77-C77*$H$12)+D77,$B$5)</f>
        <v>79</v>
      </c>
      <c r="F78" s="2" t="str">
        <f aca="false">IF(E78=$H$11,"sí","")</f>
        <v/>
      </c>
      <c r="G78" s="2" t="str">
        <f aca="false">IF(F78="sí",IF(EXACT(B78,$B$8),"OCURRENCIA","COLISIÓN"),"")</f>
        <v/>
      </c>
      <c r="H78" s="2" t="n">
        <f aca="false">IF(F78&lt;&gt;"sí",0,IFERROR(MATCH(0,INDEX(--(MID(B78,ROW($A$1:$A$15),1)=MID($B$8,ROW($A$1:$A$15),1)),0),0),$B$6))</f>
        <v>0</v>
      </c>
    </row>
    <row r="79" customFormat="false" ht="15" hidden="false" customHeight="false" outlineLevel="0" collapsed="false">
      <c r="A79" s="2" t="n">
        <v>50</v>
      </c>
      <c r="B79" s="2" t="str">
        <f aca="false">MID($B$7,A79+1,$B$6)</f>
        <v>cial intelligen</v>
      </c>
      <c r="C79" s="2" t="n">
        <f aca="false">CODE(MID($B$7,A79+1,1))</f>
        <v>99</v>
      </c>
      <c r="D79" s="2" t="n">
        <f aca="false">IF(A79+$B$6&lt;LEN($B$7),CODE(MID($B$7,A79+$B$6+1,1)),"")</f>
        <v>99</v>
      </c>
      <c r="E79" s="2" t="n">
        <f aca="false">MOD($B$4*(E78-C78*$H$12)+D78,$B$5)</f>
        <v>69</v>
      </c>
      <c r="F79" s="2" t="str">
        <f aca="false">IF(E79=$H$11,"sí","")</f>
        <v/>
      </c>
      <c r="G79" s="2" t="str">
        <f aca="false">IF(F79="sí",IF(EXACT(B79,$B$8),"OCURRENCIA","COLISIÓN"),"")</f>
        <v/>
      </c>
      <c r="H79" s="2" t="n">
        <f aca="false">IF(F79&lt;&gt;"sí",0,IFERROR(MATCH(0,INDEX(--(MID(B79,ROW($A$1:$A$15),1)=MID($B$8,ROW($A$1:$A$15),1)),0),0),$B$6))</f>
        <v>0</v>
      </c>
    </row>
    <row r="80" customFormat="false" ht="15" hidden="false" customHeight="false" outlineLevel="0" collapsed="false">
      <c r="A80" s="2" t="n">
        <v>51</v>
      </c>
      <c r="B80" s="2" t="str">
        <f aca="false">MID($B$7,A80+1,$B$6)</f>
        <v>ial intelligenc</v>
      </c>
      <c r="C80" s="2" t="n">
        <f aca="false">CODE(MID($B$7,A80+1,1))</f>
        <v>105</v>
      </c>
      <c r="D80" s="2" t="n">
        <f aca="false">IF(A80+$B$6&lt;LEN($B$7),CODE(MID($B$7,A80+$B$6+1,1)),"")</f>
        <v>101</v>
      </c>
      <c r="E80" s="2" t="n">
        <f aca="false">MOD($B$4*(E79-C79*$H$12)+D79,$B$5)</f>
        <v>14</v>
      </c>
      <c r="F80" s="2" t="str">
        <f aca="false">IF(E80=$H$11,"sí","")</f>
        <v/>
      </c>
      <c r="G80" s="2" t="str">
        <f aca="false">IF(F80="sí",IF(EXACT(B80,$B$8),"OCURRENCIA","COLISIÓN"),"")</f>
        <v/>
      </c>
      <c r="H80" s="2" t="n">
        <f aca="false">IF(F80&lt;&gt;"sí",0,IFERROR(MATCH(0,INDEX(--(MID(B80,ROW($A$1:$A$15),1)=MID($B$8,ROW($A$1:$A$15),1)),0),0),$B$6))</f>
        <v>0</v>
      </c>
    </row>
    <row r="81" customFormat="false" ht="15" hidden="false" customHeight="false" outlineLevel="0" collapsed="false">
      <c r="A81" s="2" t="n">
        <v>52</v>
      </c>
      <c r="B81" s="2" t="str">
        <f aca="false">MID($B$7,A81+1,$B$6)</f>
        <v>al intelligence</v>
      </c>
      <c r="C81" s="2" t="n">
        <f aca="false">CODE(MID($B$7,A81+1,1))</f>
        <v>97</v>
      </c>
      <c r="D81" s="2" t="n">
        <f aca="false">IF(A81+$B$6&lt;LEN($B$7),CODE(MID($B$7,A81+$B$6+1,1)),"")</f>
        <v>32</v>
      </c>
      <c r="E81" s="2" t="n">
        <f aca="false">MOD($B$4*(E80-C80*$H$12)+D80,$B$5)</f>
        <v>7</v>
      </c>
      <c r="F81" s="2" t="str">
        <f aca="false">IF(E81=$H$11,"sí","")</f>
        <v/>
      </c>
      <c r="G81" s="2" t="str">
        <f aca="false">IF(F81="sí",IF(EXACT(B81,$B$8),"OCURRENCIA","COLISIÓN"),"")</f>
        <v/>
      </c>
      <c r="H81" s="2" t="n">
        <f aca="false">IF(F81&lt;&gt;"sí",0,IFERROR(MATCH(0,INDEX(--(MID(B81,ROW($A$1:$A$15),1)=MID($B$8,ROW($A$1:$A$15),1)),0),0),$B$6))</f>
        <v>0</v>
      </c>
    </row>
    <row r="82" customFormat="false" ht="15" hidden="false" customHeight="false" outlineLevel="0" collapsed="false">
      <c r="A82" s="2" t="n">
        <v>53</v>
      </c>
      <c r="B82" s="2" t="str">
        <f aca="false">MID($B$7,A82+1,$B$6)</f>
        <v>l intelligence </v>
      </c>
      <c r="C82" s="2" t="n">
        <f aca="false">CODE(MID($B$7,A82+1,1))</f>
        <v>108</v>
      </c>
      <c r="D82" s="2" t="n">
        <f aca="false">IF(A82+$B$6&lt;LEN($B$7),CODE(MID($B$7,A82+$B$6+1,1)),"")</f>
        <v>105</v>
      </c>
      <c r="E82" s="2" t="n">
        <f aca="false">MOD($B$4*(E81-C81*$H$12)+D81,$B$5)</f>
        <v>78</v>
      </c>
      <c r="F82" s="2" t="str">
        <f aca="false">IF(E82=$H$11,"sí","")</f>
        <v/>
      </c>
      <c r="G82" s="2" t="str">
        <f aca="false">IF(F82="sí",IF(EXACT(B82,$B$8),"OCURRENCIA","COLISIÓN"),"")</f>
        <v/>
      </c>
      <c r="H82" s="2" t="n">
        <f aca="false">IF(F82&lt;&gt;"sí",0,IFERROR(MATCH(0,INDEX(--(MID(B82,ROW($A$1:$A$15),1)=MID($B$8,ROW($A$1:$A$15),1)),0),0),$B$6))</f>
        <v>0</v>
      </c>
    </row>
    <row r="83" customFormat="false" ht="15" hidden="false" customHeight="false" outlineLevel="0" collapsed="false">
      <c r="A83" s="2" t="n">
        <v>54</v>
      </c>
      <c r="B83" s="2" t="str">
        <f aca="false">MID($B$7,A83+1,$B$6)</f>
        <v> intelligence i</v>
      </c>
      <c r="C83" s="2" t="n">
        <f aca="false">CODE(MID($B$7,A83+1,1))</f>
        <v>32</v>
      </c>
      <c r="D83" s="2" t="n">
        <f aca="false">IF(A83+$B$6&lt;LEN($B$7),CODE(MID($B$7,A83+$B$6+1,1)),"")</f>
        <v>110</v>
      </c>
      <c r="E83" s="2" t="n">
        <f aca="false">MOD($B$4*(E82-C82*$H$12)+D82,$B$5)</f>
        <v>5</v>
      </c>
      <c r="F83" s="2" t="str">
        <f aca="false">IF(E83=$H$11,"sí","")</f>
        <v/>
      </c>
      <c r="G83" s="2" t="str">
        <f aca="false">IF(F83="sí",IF(EXACT(B83,$B$8),"OCURRENCIA","COLISIÓN"),"")</f>
        <v/>
      </c>
      <c r="H83" s="2" t="n">
        <f aca="false">IF(F83&lt;&gt;"sí",0,IFERROR(MATCH(0,INDEX(--(MID(B83,ROW($A$1:$A$15),1)=MID($B$8,ROW($A$1:$A$15),1)),0),0),$B$6))</f>
        <v>0</v>
      </c>
    </row>
    <row r="84" customFormat="false" ht="15" hidden="false" customHeight="false" outlineLevel="0" collapsed="false">
      <c r="A84" s="2" t="n">
        <v>55</v>
      </c>
      <c r="B84" s="2" t="str">
        <f aca="false">MID($B$7,A84+1,$B$6)</f>
        <v>intelligence in</v>
      </c>
      <c r="C84" s="2" t="n">
        <f aca="false">CODE(MID($B$7,A84+1,1))</f>
        <v>105</v>
      </c>
      <c r="D84" s="2" t="n">
        <f aca="false">IF(A84+$B$6&lt;LEN($B$7),CODE(MID($B$7,A84+$B$6+1,1)),"")</f>
        <v>32</v>
      </c>
      <c r="E84" s="2" t="n">
        <f aca="false">MOD($B$4*(E83-C83*$H$12)+D83,$B$5)</f>
        <v>64</v>
      </c>
      <c r="F84" s="2" t="str">
        <f aca="false">IF(E84=$H$11,"sí","")</f>
        <v>sí</v>
      </c>
      <c r="G84" s="2" t="str">
        <f aca="false">IF(F84="sí",IF(EXACT(B84,$B$8),"OCURRENCIA","COLISIÓN"),"")</f>
        <v>OCURRENCIA</v>
      </c>
      <c r="H84" s="2" t="n">
        <f aca="false">IF(F84&lt;&gt;"sí",0,IFERROR(MATCH(0,INDEX(--(MID(B84,ROW($A$1:$A$15),1)=MID($B$8,ROW($A$1:$A$15),1)),0),0),$B$6))</f>
        <v>15</v>
      </c>
    </row>
    <row r="85" customFormat="false" ht="15" hidden="false" customHeight="false" outlineLevel="0" collapsed="false">
      <c r="A85" s="2" t="n">
        <v>56</v>
      </c>
      <c r="B85" s="2" t="str">
        <f aca="false">MID($B$7,A85+1,$B$6)</f>
        <v>ntelligence in </v>
      </c>
      <c r="C85" s="2" t="n">
        <f aca="false">CODE(MID($B$7,A85+1,1))</f>
        <v>110</v>
      </c>
      <c r="D85" s="2" t="n">
        <f aca="false">IF(A85+$B$6&lt;LEN($B$7),CODE(MID($B$7,A85+$B$6+1,1)),"")</f>
        <v>101</v>
      </c>
      <c r="E85" s="2" t="n">
        <f aca="false">MOD($B$4*(E84-C84*$H$12)+D84,$B$5)</f>
        <v>31</v>
      </c>
      <c r="F85" s="2" t="str">
        <f aca="false">IF(E85=$H$11,"sí","")</f>
        <v/>
      </c>
      <c r="G85" s="2" t="str">
        <f aca="false">IF(F85="sí",IF(EXACT(B85,$B$8),"OCURRENCIA","COLISIÓN"),"")</f>
        <v/>
      </c>
      <c r="H85" s="2" t="n">
        <f aca="false">IF(F85&lt;&gt;"sí",0,IFERROR(MATCH(0,INDEX(--(MID(B85,ROW($A$1:$A$15),1)=MID($B$8,ROW($A$1:$A$15),1)),0),0),$B$6))</f>
        <v>0</v>
      </c>
    </row>
    <row r="86" customFormat="false" ht="15" hidden="false" customHeight="false" outlineLevel="0" collapsed="false">
      <c r="A86" s="2" t="n">
        <v>57</v>
      </c>
      <c r="B86" s="2" t="str">
        <f aca="false">MID($B$7,A86+1,$B$6)</f>
        <v>telligence in e</v>
      </c>
      <c r="C86" s="2" t="n">
        <f aca="false">CODE(MID($B$7,A86+1,1))</f>
        <v>116</v>
      </c>
      <c r="D86" s="2" t="n">
        <f aca="false">IF(A86+$B$6&lt;LEN($B$7),CODE(MID($B$7,A86+$B$6+1,1)),"")</f>
        <v>100</v>
      </c>
      <c r="E86" s="2" t="n">
        <f aca="false">MOD($B$4*(E85-C85*$H$12)+D85,$B$5)</f>
        <v>96</v>
      </c>
      <c r="F86" s="2" t="str">
        <f aca="false">IF(E86=$H$11,"sí","")</f>
        <v/>
      </c>
      <c r="G86" s="2" t="str">
        <f aca="false">IF(F86="sí",IF(EXACT(B86,$B$8),"OCURRENCIA","COLISIÓN"),"")</f>
        <v/>
      </c>
      <c r="H86" s="2" t="n">
        <f aca="false">IF(F86&lt;&gt;"sí",0,IFERROR(MATCH(0,INDEX(--(MID(B86,ROW($A$1:$A$15),1)=MID($B$8,ROW($A$1:$A$15),1)),0),0),$B$6))</f>
        <v>0</v>
      </c>
    </row>
    <row r="87" customFormat="false" ht="15" hidden="false" customHeight="false" outlineLevel="0" collapsed="false">
      <c r="A87" s="2" t="n">
        <v>58</v>
      </c>
      <c r="B87" s="2" t="str">
        <f aca="false">MID($B$7,A87+1,$B$6)</f>
        <v>elligence in ed</v>
      </c>
      <c r="C87" s="2" t="n">
        <f aca="false">CODE(MID($B$7,A87+1,1))</f>
        <v>101</v>
      </c>
      <c r="D87" s="2" t="n">
        <f aca="false">IF(A87+$B$6&lt;LEN($B$7),CODE(MID($B$7,A87+$B$6+1,1)),"")</f>
        <v>117</v>
      </c>
      <c r="E87" s="2" t="n">
        <f aca="false">MOD($B$4*(E86-C86*$H$12)+D86,$B$5)</f>
        <v>57</v>
      </c>
      <c r="F87" s="2" t="str">
        <f aca="false">IF(E87=$H$11,"sí","")</f>
        <v/>
      </c>
      <c r="G87" s="2" t="str">
        <f aca="false">IF(F87="sí",IF(EXACT(B87,$B$8),"OCURRENCIA","COLISIÓN"),"")</f>
        <v/>
      </c>
      <c r="H87" s="2" t="n">
        <f aca="false">IF(F87&lt;&gt;"sí",0,IFERROR(MATCH(0,INDEX(--(MID(B87,ROW($A$1:$A$15),1)=MID($B$8,ROW($A$1:$A$15),1)),0),0),$B$6))</f>
        <v>0</v>
      </c>
    </row>
    <row r="88" customFormat="false" ht="15" hidden="false" customHeight="false" outlineLevel="0" collapsed="false">
      <c r="A88" s="2" t="n">
        <v>59</v>
      </c>
      <c r="B88" s="2" t="str">
        <f aca="false">MID($B$7,A88+1,$B$6)</f>
        <v>lligence in edu</v>
      </c>
      <c r="C88" s="2" t="n">
        <f aca="false">CODE(MID($B$7,A88+1,1))</f>
        <v>108</v>
      </c>
      <c r="D88" s="2" t="n">
        <f aca="false">IF(A88+$B$6&lt;LEN($B$7),CODE(MID($B$7,A88+$B$6+1,1)),"")</f>
        <v>99</v>
      </c>
      <c r="E88" s="2" t="n">
        <f aca="false">MOD($B$4*(E87-C87*$H$12)+D87,$B$5)</f>
        <v>66</v>
      </c>
      <c r="F88" s="2" t="str">
        <f aca="false">IF(E88=$H$11,"sí","")</f>
        <v/>
      </c>
      <c r="G88" s="2" t="str">
        <f aca="false">IF(F88="sí",IF(EXACT(B88,$B$8),"OCURRENCIA","COLISIÓN"),"")</f>
        <v/>
      </c>
      <c r="H88" s="2" t="n">
        <f aca="false">IF(F88&lt;&gt;"sí",0,IFERROR(MATCH(0,INDEX(--(MID(B88,ROW($A$1:$A$15),1)=MID($B$8,ROW($A$1:$A$15),1)),0),0),$B$6))</f>
        <v>0</v>
      </c>
    </row>
    <row r="89" customFormat="false" ht="15" hidden="false" customHeight="false" outlineLevel="0" collapsed="false">
      <c r="A89" s="2" t="n">
        <v>60</v>
      </c>
      <c r="B89" s="2" t="str">
        <f aca="false">MID($B$7,A89+1,$B$6)</f>
        <v>ligence in educ</v>
      </c>
      <c r="C89" s="2" t="n">
        <f aca="false">CODE(MID($B$7,A89+1,1))</f>
        <v>108</v>
      </c>
      <c r="D89" s="2" t="n">
        <f aca="false">IF(A89+$B$6&lt;LEN($B$7),CODE(MID($B$7,A89+$B$6+1,1)),"")</f>
        <v>97</v>
      </c>
      <c r="E89" s="2" t="n">
        <f aca="false">MOD($B$4*(E88-C88*$H$12)+D88,$B$5)</f>
        <v>31</v>
      </c>
      <c r="F89" s="2" t="str">
        <f aca="false">IF(E89=$H$11,"sí","")</f>
        <v/>
      </c>
      <c r="G89" s="2" t="str">
        <f aca="false">IF(F89="sí",IF(EXACT(B89,$B$8),"OCURRENCIA","COLISIÓN"),"")</f>
        <v/>
      </c>
      <c r="H89" s="2" t="n">
        <f aca="false">IF(F89&lt;&gt;"sí",0,IFERROR(MATCH(0,INDEX(--(MID(B89,ROW($A$1:$A$15),1)=MID($B$8,ROW($A$1:$A$15),1)),0),0),$B$6))</f>
        <v>0</v>
      </c>
    </row>
    <row r="90" customFormat="false" ht="15" hidden="false" customHeight="false" outlineLevel="0" collapsed="false">
      <c r="A90" s="2" t="n">
        <v>61</v>
      </c>
      <c r="B90" s="2" t="str">
        <f aca="false">MID($B$7,A90+1,$B$6)</f>
        <v>igence in educa</v>
      </c>
      <c r="C90" s="2" t="n">
        <f aca="false">CODE(MID($B$7,A90+1,1))</f>
        <v>105</v>
      </c>
      <c r="D90" s="2" t="n">
        <f aca="false">IF(A90+$B$6&lt;LEN($B$7),CODE(MID($B$7,A90+$B$6+1,1)),"")</f>
        <v>116</v>
      </c>
      <c r="E90" s="2" t="n">
        <f aca="false">MOD($B$4*(E89-C89*$H$12)+D89,$B$5)</f>
        <v>90</v>
      </c>
      <c r="F90" s="2" t="str">
        <f aca="false">IF(E90=$H$11,"sí","")</f>
        <v/>
      </c>
      <c r="G90" s="2" t="str">
        <f aca="false">IF(F90="sí",IF(EXACT(B90,$B$8),"OCURRENCIA","COLISIÓN"),"")</f>
        <v/>
      </c>
      <c r="H90" s="2" t="n">
        <f aca="false">IF(F90&lt;&gt;"sí",0,IFERROR(MATCH(0,INDEX(--(MID(B90,ROW($A$1:$A$15),1)=MID($B$8,ROW($A$1:$A$15),1)),0),0),$B$6))</f>
        <v>0</v>
      </c>
    </row>
    <row r="91" customFormat="false" ht="15" hidden="false" customHeight="false" outlineLevel="0" collapsed="false">
      <c r="A91" s="2" t="n">
        <v>62</v>
      </c>
      <c r="B91" s="2" t="str">
        <f aca="false">MID($B$7,A91+1,$B$6)</f>
        <v>gence in educat</v>
      </c>
      <c r="C91" s="2" t="n">
        <f aca="false">CODE(MID($B$7,A91+1,1))</f>
        <v>103</v>
      </c>
      <c r="D91" s="2" t="n">
        <f aca="false">IF(A91+$B$6&lt;LEN($B$7),CODE(MID($B$7,A91+$B$6+1,1)),"")</f>
        <v>105</v>
      </c>
      <c r="E91" s="2" t="n">
        <f aca="false">MOD($B$4*(E90-C90*$H$12)+D90,$B$5)</f>
        <v>78</v>
      </c>
      <c r="F91" s="2" t="str">
        <f aca="false">IF(E91=$H$11,"sí","")</f>
        <v/>
      </c>
      <c r="G91" s="2" t="str">
        <f aca="false">IF(F91="sí",IF(EXACT(B91,$B$8),"OCURRENCIA","COLISIÓN"),"")</f>
        <v/>
      </c>
      <c r="H91" s="2" t="n">
        <f aca="false">IF(F91&lt;&gt;"sí",0,IFERROR(MATCH(0,INDEX(--(MID(B91,ROW($A$1:$A$15),1)=MID($B$8,ROW($A$1:$A$15),1)),0),0),$B$6))</f>
        <v>0</v>
      </c>
    </row>
    <row r="92" customFormat="false" ht="15" hidden="false" customHeight="false" outlineLevel="0" collapsed="false">
      <c r="A92" s="2" t="n">
        <v>63</v>
      </c>
      <c r="B92" s="2" t="str">
        <f aca="false">MID($B$7,A92+1,$B$6)</f>
        <v>ence in educati</v>
      </c>
      <c r="C92" s="2" t="n">
        <f aca="false">CODE(MID($B$7,A92+1,1))</f>
        <v>101</v>
      </c>
      <c r="D92" s="2" t="n">
        <f aca="false">IF(A92+$B$6&lt;LEN($B$7),CODE(MID($B$7,A92+$B$6+1,1)),"")</f>
        <v>111</v>
      </c>
      <c r="E92" s="2" t="n">
        <f aca="false">MOD($B$4*(E91-C91*$H$12)+D91,$B$5)</f>
        <v>0</v>
      </c>
      <c r="F92" s="2" t="str">
        <f aca="false">IF(E92=$H$11,"sí","")</f>
        <v/>
      </c>
      <c r="G92" s="2" t="str">
        <f aca="false">IF(F92="sí",IF(EXACT(B92,$B$8),"OCURRENCIA","COLISIÓN"),"")</f>
        <v/>
      </c>
      <c r="H92" s="2" t="n">
        <f aca="false">IF(F92&lt;&gt;"sí",0,IFERROR(MATCH(0,INDEX(--(MID(B92,ROW($A$1:$A$15),1)=MID($B$8,ROW($A$1:$A$15),1)),0),0),$B$6))</f>
        <v>0</v>
      </c>
    </row>
    <row r="93" customFormat="false" ht="15" hidden="false" customHeight="false" outlineLevel="0" collapsed="false">
      <c r="A93" s="2" t="n">
        <v>64</v>
      </c>
      <c r="B93" s="2" t="str">
        <f aca="false">MID($B$7,A93+1,$B$6)</f>
        <v>nce in educatio</v>
      </c>
      <c r="C93" s="2" t="n">
        <f aca="false">CODE(MID($B$7,A93+1,1))</f>
        <v>110</v>
      </c>
      <c r="D93" s="2" t="n">
        <f aca="false">IF(A93+$B$6&lt;LEN($B$7),CODE(MID($B$7,A93+$B$6+1,1)),"")</f>
        <v>110</v>
      </c>
      <c r="E93" s="2" t="n">
        <f aca="false">MOD($B$4*(E92-C92*$H$12)+D92,$B$5)</f>
        <v>18</v>
      </c>
      <c r="F93" s="2" t="str">
        <f aca="false">IF(E93=$H$11,"sí","")</f>
        <v/>
      </c>
      <c r="G93" s="2" t="str">
        <f aca="false">IF(F93="sí",IF(EXACT(B93,$B$8),"OCURRENCIA","COLISIÓN"),"")</f>
        <v/>
      </c>
      <c r="H93" s="2" t="n">
        <f aca="false">IF(F93&lt;&gt;"sí",0,IFERROR(MATCH(0,INDEX(--(MID(B93,ROW($A$1:$A$15),1)=MID($B$8,ROW($A$1:$A$15),1)),0),0),$B$6))</f>
        <v>0</v>
      </c>
    </row>
    <row r="94" customFormat="false" ht="15" hidden="false" customHeight="false" outlineLevel="0" collapsed="false">
      <c r="A94" s="2" t="n">
        <v>65</v>
      </c>
      <c r="B94" s="2" t="str">
        <f aca="false">MID($B$7,A94+1,$B$6)</f>
        <v>ce in education</v>
      </c>
      <c r="C94" s="2" t="n">
        <f aca="false">CODE(MID($B$7,A94+1,1))</f>
        <v>99</v>
      </c>
      <c r="D94" s="2" t="n">
        <f aca="false">IF(A94+$B$6&lt;LEN($B$7),CODE(MID($B$7,A94+$B$6+1,1)),"")</f>
        <v>32</v>
      </c>
      <c r="E94" s="2" t="n">
        <f aca="false">MOD($B$4*(E93-C93*$H$12)+D93,$B$5)</f>
        <v>75</v>
      </c>
      <c r="F94" s="2" t="str">
        <f aca="false">IF(E94=$H$11,"sí","")</f>
        <v/>
      </c>
      <c r="G94" s="2" t="str">
        <f aca="false">IF(F94="sí",IF(EXACT(B94,$B$8),"OCURRENCIA","COLISIÓN"),"")</f>
        <v/>
      </c>
      <c r="H94" s="2" t="n">
        <f aca="false">IF(F94&lt;&gt;"sí",0,IFERROR(MATCH(0,INDEX(--(MID(B94,ROW($A$1:$A$15),1)=MID($B$8,ROW($A$1:$A$15),1)),0),0),$B$6))</f>
        <v>0</v>
      </c>
    </row>
    <row r="95" customFormat="false" ht="15" hidden="false" customHeight="false" outlineLevel="0" collapsed="false">
      <c r="A95" s="2" t="n">
        <v>66</v>
      </c>
      <c r="B95" s="2" t="str">
        <f aca="false">MID($B$7,A95+1,$B$6)</f>
        <v>e in education </v>
      </c>
      <c r="C95" s="2" t="n">
        <f aca="false">CODE(MID($B$7,A95+1,1))</f>
        <v>101</v>
      </c>
      <c r="D95" s="2" t="n">
        <f aca="false">IF(A95+$B$6&lt;LEN($B$7),CODE(MID($B$7,A95+$B$6+1,1)),"")</f>
        <v>40</v>
      </c>
      <c r="E95" s="2" t="n">
        <f aca="false">MOD($B$4*(E94-C94*$H$12)+D94,$B$5)</f>
        <v>28</v>
      </c>
      <c r="F95" s="2" t="str">
        <f aca="false">IF(E95=$H$11,"sí","")</f>
        <v/>
      </c>
      <c r="G95" s="2" t="str">
        <f aca="false">IF(F95="sí",IF(EXACT(B95,$B$8),"OCURRENCIA","COLISIÓN"),"")</f>
        <v/>
      </c>
      <c r="H95" s="2" t="n">
        <f aca="false">IF(F95&lt;&gt;"sí",0,IFERROR(MATCH(0,INDEX(--(MID(B95,ROW($A$1:$A$15),1)=MID($B$8,ROW($A$1:$A$15),1)),0),0),$B$6))</f>
        <v>0</v>
      </c>
    </row>
    <row r="96" customFormat="false" ht="15" hidden="false" customHeight="false" outlineLevel="0" collapsed="false">
      <c r="A96" s="2" t="n">
        <v>67</v>
      </c>
      <c r="B96" s="2" t="str">
        <f aca="false">MID($B$7,A96+1,$B$6)</f>
        <v> in education (</v>
      </c>
      <c r="C96" s="2" t="n">
        <f aca="false">CODE(MID($B$7,A96+1,1))</f>
        <v>32</v>
      </c>
      <c r="D96" s="2" t="n">
        <f aca="false">IF(A96+$B$6&lt;LEN($B$7),CODE(MID($B$7,A96+$B$6+1,1)),"")</f>
        <v>97</v>
      </c>
      <c r="E96" s="2" t="n">
        <f aca="false">MOD($B$4*(E95-C95*$H$12)+D95,$B$5)</f>
        <v>34</v>
      </c>
      <c r="F96" s="2" t="str">
        <f aca="false">IF(E96=$H$11,"sí","")</f>
        <v/>
      </c>
      <c r="G96" s="2" t="str">
        <f aca="false">IF(F96="sí",IF(EXACT(B96,$B$8),"OCURRENCIA","COLISIÓN"),"")</f>
        <v/>
      </c>
      <c r="H96" s="2" t="n">
        <f aca="false">IF(F96&lt;&gt;"sí",0,IFERROR(MATCH(0,INDEX(--(MID(B96,ROW($A$1:$A$15),1)=MID($B$8,ROW($A$1:$A$15),1)),0),0),$B$6))</f>
        <v>0</v>
      </c>
    </row>
    <row r="97" customFormat="false" ht="15" hidden="false" customHeight="false" outlineLevel="0" collapsed="false">
      <c r="A97" s="2" t="n">
        <v>68</v>
      </c>
      <c r="B97" s="2" t="str">
        <f aca="false">MID($B$7,A97+1,$B$6)</f>
        <v>in education (a</v>
      </c>
      <c r="C97" s="2" t="n">
        <f aca="false">CODE(MID($B$7,A97+1,1))</f>
        <v>105</v>
      </c>
      <c r="D97" s="2" t="n">
        <f aca="false">IF(A97+$B$6&lt;LEN($B$7),CODE(MID($B$7,A97+$B$6+1,1)),"")</f>
        <v>105</v>
      </c>
      <c r="E97" s="2" t="n">
        <f aca="false">MOD($B$4*(E96-C96*$H$12)+D96,$B$5)</f>
        <v>6</v>
      </c>
      <c r="F97" s="2" t="str">
        <f aca="false">IF(E97=$H$11,"sí","")</f>
        <v/>
      </c>
      <c r="G97" s="2" t="str">
        <f aca="false">IF(F97="sí",IF(EXACT(B97,$B$8),"OCURRENCIA","COLISIÓN"),"")</f>
        <v/>
      </c>
      <c r="H97" s="2" t="n">
        <f aca="false">IF(F97&lt;&gt;"sí",0,IFERROR(MATCH(0,INDEX(--(MID(B97,ROW($A$1:$A$15),1)=MID($B$8,ROW($A$1:$A$15),1)),0),0),$B$6))</f>
        <v>0</v>
      </c>
    </row>
    <row r="98" customFormat="false" ht="15" hidden="false" customHeight="false" outlineLevel="0" collapsed="false">
      <c r="A98" s="2" t="n">
        <v>69</v>
      </c>
      <c r="B98" s="2" t="str">
        <f aca="false">MID($B$7,A98+1,$B$6)</f>
        <v>n education (ai</v>
      </c>
      <c r="C98" s="2" t="n">
        <f aca="false">CODE(MID($B$7,A98+1,1))</f>
        <v>110</v>
      </c>
      <c r="D98" s="2" t="n">
        <f aca="false">IF(A98+$B$6&lt;LEN($B$7),CODE(MID($B$7,A98+$B$6+1,1)),"")</f>
        <v>101</v>
      </c>
      <c r="E98" s="2" t="n">
        <f aca="false">MOD($B$4*(E97-C97*$H$12)+D97,$B$5)</f>
        <v>0</v>
      </c>
      <c r="F98" s="2" t="str">
        <f aca="false">IF(E98=$H$11,"sí","")</f>
        <v/>
      </c>
      <c r="G98" s="2" t="str">
        <f aca="false">IF(F98="sí",IF(EXACT(B98,$B$8),"OCURRENCIA","COLISIÓN"),"")</f>
        <v/>
      </c>
      <c r="H98" s="2" t="n">
        <f aca="false">IF(F98&lt;&gt;"sí",0,IFERROR(MATCH(0,INDEX(--(MID(B98,ROW($A$1:$A$15),1)=MID($B$8,ROW($A$1:$A$15),1)),0),0),$B$6))</f>
        <v>0</v>
      </c>
    </row>
    <row r="99" customFormat="false" ht="15" hidden="false" customHeight="false" outlineLevel="0" collapsed="false">
      <c r="A99" s="2" t="n">
        <v>70</v>
      </c>
      <c r="B99" s="2" t="str">
        <f aca="false">MID($B$7,A99+1,$B$6)</f>
        <v> education (aie</v>
      </c>
      <c r="C99" s="2" t="n">
        <f aca="false">CODE(MID($B$7,A99+1,1))</f>
        <v>32</v>
      </c>
      <c r="D99" s="2" t="n">
        <f aca="false">IF(A99+$B$6&lt;LEN($B$7),CODE(MID($B$7,A99+$B$6+1,1)),"")</f>
        <v>100</v>
      </c>
      <c r="E99" s="2" t="n">
        <f aca="false">MOD($B$4*(E98-C98*$H$12)+D98,$B$5)</f>
        <v>17</v>
      </c>
      <c r="F99" s="2" t="str">
        <f aca="false">IF(E99=$H$11,"sí","")</f>
        <v/>
      </c>
      <c r="G99" s="2" t="str">
        <f aca="false">IF(F99="sí",IF(EXACT(B99,$B$8),"OCURRENCIA","COLISIÓN"),"")</f>
        <v/>
      </c>
      <c r="H99" s="2" t="n">
        <f aca="false">IF(F99&lt;&gt;"sí",0,IFERROR(MATCH(0,INDEX(--(MID(B99,ROW($A$1:$A$15),1)=MID($B$8,ROW($A$1:$A$15),1)),0),0),$B$6))</f>
        <v>0</v>
      </c>
    </row>
    <row r="100" customFormat="false" ht="15" hidden="false" customHeight="false" outlineLevel="0" collapsed="false">
      <c r="A100" s="2" t="n">
        <v>71</v>
      </c>
      <c r="B100" s="2" t="str">
        <f aca="false">MID($B$7,A100+1,$B$6)</f>
        <v>education (aied</v>
      </c>
      <c r="C100" s="2" t="n">
        <f aca="false">CODE(MID($B$7,A100+1,1))</f>
        <v>101</v>
      </c>
      <c r="D100" s="2" t="n">
        <f aca="false">IF(A100+$B$6&lt;LEN($B$7),CODE(MID($B$7,A100+$B$6+1,1)),"")</f>
        <v>41</v>
      </c>
      <c r="E100" s="2" t="n">
        <f aca="false">MOD($B$4*(E99-C99*$H$12)+D99,$B$5)</f>
        <v>22</v>
      </c>
      <c r="F100" s="2" t="str">
        <f aca="false">IF(E100=$H$11,"sí","")</f>
        <v/>
      </c>
      <c r="G100" s="2" t="str">
        <f aca="false">IF(F100="sí",IF(EXACT(B100,$B$8),"OCURRENCIA","COLISIÓN"),"")</f>
        <v/>
      </c>
      <c r="H100" s="2" t="n">
        <f aca="false">IF(F100&lt;&gt;"sí",0,IFERROR(MATCH(0,INDEX(--(MID(B100,ROW($A$1:$A$15),1)=MID($B$8,ROW($A$1:$A$15),1)),0),0),$B$6))</f>
        <v>0</v>
      </c>
    </row>
    <row r="101" customFormat="false" ht="15" hidden="false" customHeight="false" outlineLevel="0" collapsed="false">
      <c r="A101" s="2" t="n">
        <v>72</v>
      </c>
      <c r="B101" s="2" t="str">
        <f aca="false">MID($B$7,A101+1,$B$6)</f>
        <v>ducation (aied)</v>
      </c>
      <c r="C101" s="2" t="n">
        <f aca="false">CODE(MID($B$7,A101+1,1))</f>
        <v>100</v>
      </c>
      <c r="D101" s="2" t="n">
        <f aca="false">IF(A101+$B$6&lt;LEN($B$7),CODE(MID($B$7,A101+$B$6+1,1)),"")</f>
        <v>32</v>
      </c>
      <c r="E101" s="2" t="n">
        <f aca="false">MOD($B$4*(E100-C100*$H$12)+D100,$B$5)</f>
        <v>51</v>
      </c>
      <c r="F101" s="2" t="str">
        <f aca="false">IF(E101=$H$11,"sí","")</f>
        <v/>
      </c>
      <c r="G101" s="2" t="str">
        <f aca="false">IF(F101="sí",IF(EXACT(B101,$B$8),"OCURRENCIA","COLISIÓN"),"")</f>
        <v/>
      </c>
      <c r="H101" s="2" t="n">
        <f aca="false">IF(F101&lt;&gt;"sí",0,IFERROR(MATCH(0,INDEX(--(MID(B101,ROW($A$1:$A$15),1)=MID($B$8,ROW($A$1:$A$15),1)),0),0),$B$6))</f>
        <v>0</v>
      </c>
    </row>
    <row r="102" customFormat="false" ht="15" hidden="false" customHeight="false" outlineLevel="0" collapsed="false">
      <c r="A102" s="2" t="n">
        <v>73</v>
      </c>
      <c r="B102" s="2" t="str">
        <f aca="false">MID($B$7,A102+1,$B$6)</f>
        <v>ucation (aied) </v>
      </c>
      <c r="C102" s="2" t="n">
        <f aca="false">CODE(MID($B$7,A102+1,1))</f>
        <v>117</v>
      </c>
      <c r="D102" s="2" t="n">
        <f aca="false">IF(A102+$B$6&lt;LEN($B$7),CODE(MID($B$7,A102+$B$6+1,1)),"")</f>
        <v>105</v>
      </c>
      <c r="E102" s="2" t="n">
        <f aca="false">MOD($B$4*(E101-C101*$H$12)+D101,$B$5)</f>
        <v>93</v>
      </c>
      <c r="F102" s="2" t="str">
        <f aca="false">IF(E102=$H$11,"sí","")</f>
        <v/>
      </c>
      <c r="G102" s="2" t="str">
        <f aca="false">IF(F102="sí",IF(EXACT(B102,$B$8),"OCURRENCIA","COLISIÓN"),"")</f>
        <v/>
      </c>
      <c r="H102" s="2" t="n">
        <f aca="false">IF(F102&lt;&gt;"sí",0,IFERROR(MATCH(0,INDEX(--(MID(B102,ROW($A$1:$A$15),1)=MID($B$8,ROW($A$1:$A$15),1)),0),0),$B$6))</f>
        <v>0</v>
      </c>
    </row>
    <row r="103" customFormat="false" ht="15" hidden="false" customHeight="false" outlineLevel="0" collapsed="false">
      <c r="A103" s="2" t="n">
        <v>74</v>
      </c>
      <c r="B103" s="2" t="str">
        <f aca="false">MID($B$7,A103+1,$B$6)</f>
        <v>cation (aied) i</v>
      </c>
      <c r="C103" s="2" t="n">
        <f aca="false">CODE(MID($B$7,A103+1,1))</f>
        <v>99</v>
      </c>
      <c r="D103" s="2" t="n">
        <f aca="false">IF(A103+$B$6&lt;LEN($B$7),CODE(MID($B$7,A103+$B$6+1,1)),"")</f>
        <v>115</v>
      </c>
      <c r="E103" s="2" t="n">
        <f aca="false">MOD($B$4*(E102-C102*$H$12)+D102,$B$5)</f>
        <v>71</v>
      </c>
      <c r="F103" s="2" t="str">
        <f aca="false">IF(E103=$H$11,"sí","")</f>
        <v/>
      </c>
      <c r="G103" s="2" t="str">
        <f aca="false">IF(F103="sí",IF(EXACT(B103,$B$8),"OCURRENCIA","COLISIÓN"),"")</f>
        <v/>
      </c>
      <c r="H103" s="2" t="n">
        <f aca="false">IF(F103&lt;&gt;"sí",0,IFERROR(MATCH(0,INDEX(--(MID(B103,ROW($A$1:$A$15),1)=MID($B$8,ROW($A$1:$A$15),1)),0),0),$B$6))</f>
        <v>0</v>
      </c>
    </row>
    <row r="104" customFormat="false" ht="15" hidden="false" customHeight="false" outlineLevel="0" collapsed="false">
      <c r="A104" s="2" t="n">
        <v>75</v>
      </c>
      <c r="B104" s="2" t="str">
        <f aca="false">MID($B$7,A104+1,$B$6)</f>
        <v>ation (aied) is</v>
      </c>
      <c r="C104" s="2" t="n">
        <f aca="false">CODE(MID($B$7,A104+1,1))</f>
        <v>97</v>
      </c>
      <c r="D104" s="2" t="n">
        <f aca="false">IF(A104+$B$6&lt;LEN($B$7),CODE(MID($B$7,A104+$B$6+1,1)),"")</f>
        <v>32</v>
      </c>
      <c r="E104" s="2" t="n">
        <f aca="false">MOD($B$4*(E103-C103*$H$12)+D103,$B$5)</f>
        <v>57</v>
      </c>
      <c r="F104" s="2" t="str">
        <f aca="false">IF(E104=$H$11,"sí","")</f>
        <v/>
      </c>
      <c r="G104" s="2" t="str">
        <f aca="false">IF(F104="sí",IF(EXACT(B104,$B$8),"OCURRENCIA","COLISIÓN"),"")</f>
        <v/>
      </c>
      <c r="H104" s="2" t="n">
        <f aca="false">IF(F104&lt;&gt;"sí",0,IFERROR(MATCH(0,INDEX(--(MID(B104,ROW($A$1:$A$15),1)=MID($B$8,ROW($A$1:$A$15),1)),0),0),$B$6))</f>
        <v>0</v>
      </c>
    </row>
    <row r="105" customFormat="false" ht="15" hidden="false" customHeight="false" outlineLevel="0" collapsed="false">
      <c r="A105" s="2" t="n">
        <v>76</v>
      </c>
      <c r="B105" s="2" t="str">
        <f aca="false">MID($B$7,A105+1,$B$6)</f>
        <v>tion (aied) is </v>
      </c>
      <c r="C105" s="2" t="n">
        <f aca="false">CODE(MID($B$7,A105+1,1))</f>
        <v>116</v>
      </c>
      <c r="D105" s="2" t="n">
        <f aca="false">IF(A105+$B$6&lt;LEN($B$7),CODE(MID($B$7,A105+$B$6+1,1)),"")</f>
        <v>111</v>
      </c>
      <c r="E105" s="2" t="n">
        <f aca="false">MOD($B$4*(E104-C104*$H$12)+D104,$B$5)</f>
        <v>74</v>
      </c>
      <c r="F105" s="2" t="str">
        <f aca="false">IF(E105=$H$11,"sí","")</f>
        <v/>
      </c>
      <c r="G105" s="2" t="str">
        <f aca="false">IF(F105="sí",IF(EXACT(B105,$B$8),"OCURRENCIA","COLISIÓN"),"")</f>
        <v/>
      </c>
      <c r="H105" s="2" t="n">
        <f aca="false">IF(F105&lt;&gt;"sí",0,IFERROR(MATCH(0,INDEX(--(MID(B105,ROW($A$1:$A$15),1)=MID($B$8,ROW($A$1:$A$15),1)),0),0),$B$6))</f>
        <v>0</v>
      </c>
    </row>
    <row r="106" customFormat="false" ht="15" hidden="false" customHeight="false" outlineLevel="0" collapsed="false">
      <c r="A106" s="2" t="n">
        <v>77</v>
      </c>
      <c r="B106" s="2" t="str">
        <f aca="false">MID($B$7,A106+1,$B$6)</f>
        <v>ion (aied) is o</v>
      </c>
      <c r="C106" s="2" t="n">
        <f aca="false">CODE(MID($B$7,A106+1,1))</f>
        <v>105</v>
      </c>
      <c r="D106" s="2" t="n">
        <f aca="false">IF(A106+$B$6&lt;LEN($B$7),CODE(MID($B$7,A106+$B$6+1,1)),"")</f>
        <v>110</v>
      </c>
      <c r="E106" s="2" t="n">
        <f aca="false">MOD($B$4*(E105-C105*$H$12)+D105,$B$5)</f>
        <v>62</v>
      </c>
      <c r="F106" s="2" t="str">
        <f aca="false">IF(E106=$H$11,"sí","")</f>
        <v/>
      </c>
      <c r="G106" s="2" t="str">
        <f aca="false">IF(F106="sí",IF(EXACT(B106,$B$8),"OCURRENCIA","COLISIÓN"),"")</f>
        <v/>
      </c>
      <c r="H106" s="2" t="n">
        <f aca="false">IF(F106&lt;&gt;"sí",0,IFERROR(MATCH(0,INDEX(--(MID(B106,ROW($A$1:$A$15),1)=MID($B$8,ROW($A$1:$A$15),1)),0),0),$B$6))</f>
        <v>0</v>
      </c>
    </row>
    <row r="107" customFormat="false" ht="15" hidden="false" customHeight="false" outlineLevel="0" collapsed="false">
      <c r="A107" s="2" t="n">
        <v>78</v>
      </c>
      <c r="B107" s="2" t="str">
        <f aca="false">MID($B$7,A107+1,$B$6)</f>
        <v>on (aied) is on</v>
      </c>
      <c r="C107" s="2" t="n">
        <f aca="false">CODE(MID($B$7,A107+1,1))</f>
        <v>111</v>
      </c>
      <c r="D107" s="2" t="n">
        <f aca="false">IF(A107+$B$6&lt;LEN($B$7),CODE(MID($B$7,A107+$B$6+1,1)),"")</f>
        <v>101</v>
      </c>
      <c r="E107" s="2" t="n">
        <f aca="false">MOD($B$4*(E106-C106*$H$12)+D106,$B$5)</f>
        <v>82</v>
      </c>
      <c r="F107" s="2" t="str">
        <f aca="false">IF(E107=$H$11,"sí","")</f>
        <v/>
      </c>
      <c r="G107" s="2" t="str">
        <f aca="false">IF(F107="sí",IF(EXACT(B107,$B$8),"OCURRENCIA","COLISIÓN"),"")</f>
        <v/>
      </c>
      <c r="H107" s="2" t="n">
        <f aca="false">IF(F107&lt;&gt;"sí",0,IFERROR(MATCH(0,INDEX(--(MID(B107,ROW($A$1:$A$15),1)=MID($B$8,ROW($A$1:$A$15),1)),0),0),$B$6))</f>
        <v>0</v>
      </c>
    </row>
    <row r="108" customFormat="false" ht="15" hidden="false" customHeight="false" outlineLevel="0" collapsed="false">
      <c r="A108" s="2" t="n">
        <v>79</v>
      </c>
      <c r="B108" s="2" t="str">
        <f aca="false">MID($B$7,A108+1,$B$6)</f>
        <v>n (aied) is one</v>
      </c>
      <c r="C108" s="2" t="n">
        <f aca="false">CODE(MID($B$7,A108+1,1))</f>
        <v>110</v>
      </c>
      <c r="D108" s="2" t="n">
        <f aca="false">IF(A108+$B$6&lt;LEN($B$7),CODE(MID($B$7,A108+$B$6+1,1)),"")</f>
        <v>32</v>
      </c>
      <c r="E108" s="2" t="n">
        <f aca="false">MOD($B$4*(E107-C107*$H$12)+D107,$B$5)</f>
        <v>58</v>
      </c>
      <c r="F108" s="2" t="str">
        <f aca="false">IF(E108=$H$11,"sí","")</f>
        <v/>
      </c>
      <c r="G108" s="2" t="str">
        <f aca="false">IF(F108="sí",IF(EXACT(B108,$B$8),"OCURRENCIA","COLISIÓN"),"")</f>
        <v/>
      </c>
      <c r="H108" s="2" t="n">
        <f aca="false">IF(F108&lt;&gt;"sí",0,IFERROR(MATCH(0,INDEX(--(MID(B108,ROW($A$1:$A$15),1)=MID($B$8,ROW($A$1:$A$15),1)),0),0),$B$6))</f>
        <v>0</v>
      </c>
    </row>
    <row r="109" customFormat="false" ht="15" hidden="false" customHeight="false" outlineLevel="0" collapsed="false">
      <c r="A109" s="2" t="n">
        <v>80</v>
      </c>
      <c r="B109" s="2" t="str">
        <f aca="false">MID($B$7,A109+1,$B$6)</f>
        <v> (aied) is one </v>
      </c>
      <c r="C109" s="2" t="n">
        <f aca="false">CODE(MID($B$7,A109+1,1))</f>
        <v>32</v>
      </c>
      <c r="D109" s="2" t="n">
        <f aca="false">IF(A109+$B$6&lt;LEN($B$7),CODE(MID($B$7,A109+$B$6+1,1)),"")</f>
        <v>111</v>
      </c>
      <c r="E109" s="2" t="n">
        <f aca="false">MOD($B$4*(E108-C108*$H$12)+D108,$B$5)</f>
        <v>52</v>
      </c>
      <c r="F109" s="2" t="str">
        <f aca="false">IF(E109=$H$11,"sí","")</f>
        <v/>
      </c>
      <c r="G109" s="2" t="str">
        <f aca="false">IF(F109="sí",IF(EXACT(B109,$B$8),"OCURRENCIA","COLISIÓN"),"")</f>
        <v/>
      </c>
      <c r="H109" s="2" t="n">
        <f aca="false">IF(F109&lt;&gt;"sí",0,IFERROR(MATCH(0,INDEX(--(MID(B109,ROW($A$1:$A$15),1)=MID($B$8,ROW($A$1:$A$15),1)),0),0),$B$6))</f>
        <v>0</v>
      </c>
    </row>
    <row r="110" customFormat="false" ht="15" hidden="false" customHeight="false" outlineLevel="0" collapsed="false">
      <c r="A110" s="2" t="n">
        <v>81</v>
      </c>
      <c r="B110" s="2" t="str">
        <f aca="false">MID($B$7,A110+1,$B$6)</f>
        <v>(aied) is one o</v>
      </c>
      <c r="C110" s="2" t="n">
        <f aca="false">CODE(MID($B$7,A110+1,1))</f>
        <v>40</v>
      </c>
      <c r="D110" s="2" t="n">
        <f aca="false">IF(A110+$B$6&lt;LEN($B$7),CODE(MID($B$7,A110+$B$6+1,1)),"")</f>
        <v>102</v>
      </c>
      <c r="E110" s="2" t="n">
        <f aca="false">MOD($B$4*(E109-C109*$H$12)+D109,$B$5)</f>
        <v>69</v>
      </c>
      <c r="F110" s="2" t="str">
        <f aca="false">IF(E110=$H$11,"sí","")</f>
        <v/>
      </c>
      <c r="G110" s="2" t="str">
        <f aca="false">IF(F110="sí",IF(EXACT(B110,$B$8),"OCURRENCIA","COLISIÓN"),"")</f>
        <v/>
      </c>
      <c r="H110" s="2" t="n">
        <f aca="false">IF(F110&lt;&gt;"sí",0,IFERROR(MATCH(0,INDEX(--(MID(B110,ROW($A$1:$A$15),1)=MID($B$8,ROW($A$1:$A$15),1)),0),0),$B$6))</f>
        <v>0</v>
      </c>
    </row>
    <row r="111" customFormat="false" ht="15" hidden="false" customHeight="false" outlineLevel="0" collapsed="false">
      <c r="A111" s="2" t="n">
        <v>82</v>
      </c>
      <c r="B111" s="2" t="str">
        <f aca="false">MID($B$7,A111+1,$B$6)</f>
        <v>aied) is one of</v>
      </c>
      <c r="C111" s="2" t="n">
        <f aca="false">CODE(MID($B$7,A111+1,1))</f>
        <v>97</v>
      </c>
      <c r="D111" s="2" t="n">
        <f aca="false">IF(A111+$B$6&lt;LEN($B$7),CODE(MID($B$7,A111+$B$6+1,1)),"")</f>
        <v>32</v>
      </c>
      <c r="E111" s="2" t="n">
        <f aca="false">MOD($B$4*(E110-C110*$H$12)+D110,$B$5)</f>
        <v>55</v>
      </c>
      <c r="F111" s="2" t="str">
        <f aca="false">IF(E111=$H$11,"sí","")</f>
        <v/>
      </c>
      <c r="G111" s="2" t="str">
        <f aca="false">IF(F111="sí",IF(EXACT(B111,$B$8),"OCURRENCIA","COLISIÓN"),"")</f>
        <v/>
      </c>
      <c r="H111" s="2" t="n">
        <f aca="false">IF(F111&lt;&gt;"sí",0,IFERROR(MATCH(0,INDEX(--(MID(B111,ROW($A$1:$A$15),1)=MID($B$8,ROW($A$1:$A$15),1)),0),0),$B$6))</f>
        <v>0</v>
      </c>
    </row>
    <row r="112" customFormat="false" ht="15" hidden="false" customHeight="false" outlineLevel="0" collapsed="false">
      <c r="A112" s="2" t="n">
        <v>83</v>
      </c>
      <c r="B112" s="2" t="str">
        <f aca="false">MID($B$7,A112+1,$B$6)</f>
        <v>ied) is one of </v>
      </c>
      <c r="C112" s="2" t="n">
        <f aca="false">CODE(MID($B$7,A112+1,1))</f>
        <v>105</v>
      </c>
      <c r="D112" s="2" t="n">
        <f aca="false">IF(A112+$B$6&lt;LEN($B$7),CODE(MID($B$7,A112+$B$6+1,1)),"")</f>
        <v>116</v>
      </c>
      <c r="E112" s="2" t="n">
        <f aca="false">MOD($B$4*(E111-C111*$H$12)+D111,$B$5)</f>
        <v>47</v>
      </c>
      <c r="F112" s="2" t="str">
        <f aca="false">IF(E112=$H$11,"sí","")</f>
        <v/>
      </c>
      <c r="G112" s="2" t="str">
        <f aca="false">IF(F112="sí",IF(EXACT(B112,$B$8),"OCURRENCIA","COLISIÓN"),"")</f>
        <v/>
      </c>
      <c r="H112" s="2" t="n">
        <f aca="false">IF(F112&lt;&gt;"sí",0,IFERROR(MATCH(0,INDEX(--(MID(B112,ROW($A$1:$A$15),1)=MID($B$8,ROW($A$1:$A$15),1)),0),0),$B$6))</f>
        <v>0</v>
      </c>
    </row>
    <row r="113" customFormat="false" ht="15" hidden="false" customHeight="false" outlineLevel="0" collapsed="false">
      <c r="A113" s="2" t="n">
        <v>84</v>
      </c>
      <c r="B113" s="2" t="str">
        <f aca="false">MID($B$7,A113+1,$B$6)</f>
        <v>ed) is one of t</v>
      </c>
      <c r="C113" s="2" t="n">
        <f aca="false">CODE(MID($B$7,A113+1,1))</f>
        <v>101</v>
      </c>
      <c r="D113" s="2" t="n">
        <f aca="false">IF(A113+$B$6&lt;LEN($B$7),CODE(MID($B$7,A113+$B$6+1,1)),"")</f>
        <v>104</v>
      </c>
      <c r="E113" s="2" t="n">
        <f aca="false">MOD($B$4*(E112-C112*$H$12)+D112,$B$5)</f>
        <v>31</v>
      </c>
      <c r="F113" s="2" t="str">
        <f aca="false">IF(E113=$H$11,"sí","")</f>
        <v/>
      </c>
      <c r="G113" s="2" t="str">
        <f aca="false">IF(F113="sí",IF(EXACT(B113,$B$8),"OCURRENCIA","COLISIÓN"),"")</f>
        <v/>
      </c>
      <c r="H113" s="2" t="n">
        <f aca="false">IF(F113&lt;&gt;"sí",0,IFERROR(MATCH(0,INDEX(--(MID(B113,ROW($A$1:$A$15),1)=MID($B$8,ROW($A$1:$A$15),1)),0),0),$B$6))</f>
        <v>0</v>
      </c>
    </row>
    <row r="114" customFormat="false" ht="15" hidden="false" customHeight="false" outlineLevel="0" collapsed="false">
      <c r="A114" s="2" t="n">
        <v>85</v>
      </c>
      <c r="B114" s="2" t="str">
        <f aca="false">MID($B$7,A114+1,$B$6)</f>
        <v>d) is one of th</v>
      </c>
      <c r="C114" s="2" t="n">
        <f aca="false">CODE(MID($B$7,A114+1,1))</f>
        <v>100</v>
      </c>
      <c r="D114" s="2" t="n">
        <f aca="false">IF(A114+$B$6&lt;LEN($B$7),CODE(MID($B$7,A114+$B$6+1,1)),"")</f>
        <v>101</v>
      </c>
      <c r="E114" s="2" t="n">
        <f aca="false">MOD($B$4*(E113-C113*$H$12)+D113,$B$5)</f>
        <v>90</v>
      </c>
      <c r="F114" s="2" t="str">
        <f aca="false">IF(E114=$H$11,"sí","")</f>
        <v/>
      </c>
      <c r="G114" s="2" t="str">
        <f aca="false">IF(F114="sí",IF(EXACT(B114,$B$8),"OCURRENCIA","COLISIÓN"),"")</f>
        <v/>
      </c>
      <c r="H114" s="2" t="n">
        <f aca="false">IF(F114&lt;&gt;"sí",0,IFERROR(MATCH(0,INDEX(--(MID(B114,ROW($A$1:$A$15),1)=MID($B$8,ROW($A$1:$A$15),1)),0),0),$B$6))</f>
        <v>0</v>
      </c>
    </row>
    <row r="115" customFormat="false" ht="15" hidden="false" customHeight="false" outlineLevel="0" collapsed="false">
      <c r="A115" s="2" t="n">
        <v>86</v>
      </c>
      <c r="B115" s="2" t="str">
        <f aca="false">MID($B$7,A115+1,$B$6)</f>
        <v>) is one of the</v>
      </c>
      <c r="C115" s="2" t="n">
        <f aca="false">CODE(MID($B$7,A115+1,1))</f>
        <v>41</v>
      </c>
      <c r="D115" s="2" t="n">
        <f aca="false">IF(A115+$B$6&lt;LEN($B$7),CODE(MID($B$7,A115+$B$6+1,1)),"")</f>
        <v>32</v>
      </c>
      <c r="E115" s="2" t="n">
        <f aca="false">MOD($B$4*(E114-C114*$H$12)+D114,$B$5)</f>
        <v>58</v>
      </c>
      <c r="F115" s="2" t="str">
        <f aca="false">IF(E115=$H$11,"sí","")</f>
        <v/>
      </c>
      <c r="G115" s="2" t="str">
        <f aca="false">IF(F115="sí",IF(EXACT(B115,$B$8),"OCURRENCIA","COLISIÓN"),"")</f>
        <v/>
      </c>
      <c r="H115" s="2" t="n">
        <f aca="false">IF(F115&lt;&gt;"sí",0,IFERROR(MATCH(0,INDEX(--(MID(B115,ROW($A$1:$A$15),1)=MID($B$8,ROW($A$1:$A$15),1)),0),0),$B$6))</f>
        <v>0</v>
      </c>
    </row>
    <row r="116" customFormat="false" ht="15" hidden="false" customHeight="false" outlineLevel="0" collapsed="false">
      <c r="A116" s="2" t="n">
        <v>87</v>
      </c>
      <c r="B116" s="2" t="str">
        <f aca="false">MID($B$7,A116+1,$B$6)</f>
        <v> is one of the </v>
      </c>
      <c r="C116" s="2" t="n">
        <f aca="false">CODE(MID($B$7,A116+1,1))</f>
        <v>32</v>
      </c>
      <c r="D116" s="2" t="n">
        <f aca="false">IF(A116+$B$6&lt;LEN($B$7),CODE(MID($B$7,A116+$B$6+1,1)),"")</f>
        <v>99</v>
      </c>
      <c r="E116" s="2" t="n">
        <f aca="false">MOD($B$4*(E115-C115*$H$12)+D115,$B$5)</f>
        <v>80</v>
      </c>
      <c r="F116" s="2" t="str">
        <f aca="false">IF(E116=$H$11,"sí","")</f>
        <v/>
      </c>
      <c r="G116" s="2" t="str">
        <f aca="false">IF(F116="sí",IF(EXACT(B116,$B$8),"OCURRENCIA","COLISIÓN"),"")</f>
        <v/>
      </c>
      <c r="H116" s="2" t="n">
        <f aca="false">IF(F116&lt;&gt;"sí",0,IFERROR(MATCH(0,INDEX(--(MID(B116,ROW($A$1:$A$15),1)=MID($B$8,ROW($A$1:$A$15),1)),0),0),$B$6))</f>
        <v>0</v>
      </c>
    </row>
    <row r="117" customFormat="false" ht="15" hidden="false" customHeight="false" outlineLevel="0" collapsed="false">
      <c r="A117" s="2" t="n">
        <v>88</v>
      </c>
      <c r="B117" s="2" t="str">
        <f aca="false">MID($B$7,A117+1,$B$6)</f>
        <v>is one of the c</v>
      </c>
      <c r="C117" s="2" t="n">
        <f aca="false">CODE(MID($B$7,A117+1,1))</f>
        <v>105</v>
      </c>
      <c r="D117" s="2" t="n">
        <f aca="false">IF(A117+$B$6&lt;LEN($B$7),CODE(MID($B$7,A117+$B$6+1,1)),"")</f>
        <v>117</v>
      </c>
      <c r="E117" s="2" t="n">
        <f aca="false">MOD($B$4*(E116-C116*$H$12)+D116,$B$5)</f>
        <v>47</v>
      </c>
      <c r="F117" s="2" t="str">
        <f aca="false">IF(E117=$H$11,"sí","")</f>
        <v/>
      </c>
      <c r="G117" s="2" t="str">
        <f aca="false">IF(F117="sí",IF(EXACT(B117,$B$8),"OCURRENCIA","COLISIÓN"),"")</f>
        <v/>
      </c>
      <c r="H117" s="2" t="n">
        <f aca="false">IF(F117&lt;&gt;"sí",0,IFERROR(MATCH(0,INDEX(--(MID(B117,ROW($A$1:$A$15),1)=MID($B$8,ROW($A$1:$A$15),1)),0),0),$B$6))</f>
        <v>0</v>
      </c>
    </row>
    <row r="118" customFormat="false" ht="15" hidden="false" customHeight="false" outlineLevel="0" collapsed="false">
      <c r="A118" s="2" t="n">
        <v>89</v>
      </c>
      <c r="B118" s="2" t="str">
        <f aca="false">MID($B$7,A118+1,$B$6)</f>
        <v>s one of the cu</v>
      </c>
      <c r="C118" s="2" t="n">
        <f aca="false">CODE(MID($B$7,A118+1,1))</f>
        <v>115</v>
      </c>
      <c r="D118" s="2" t="n">
        <f aca="false">IF(A118+$B$6&lt;LEN($B$7),CODE(MID($B$7,A118+$B$6+1,1)),"")</f>
        <v>114</v>
      </c>
      <c r="E118" s="2" t="n">
        <f aca="false">MOD($B$4*(E117-C117*$H$12)+D117,$B$5)</f>
        <v>32</v>
      </c>
      <c r="F118" s="2" t="str">
        <f aca="false">IF(E118=$H$11,"sí","")</f>
        <v/>
      </c>
      <c r="G118" s="2" t="str">
        <f aca="false">IF(F118="sí",IF(EXACT(B118,$B$8),"OCURRENCIA","COLISIÓN"),"")</f>
        <v/>
      </c>
      <c r="H118" s="2" t="n">
        <f aca="false">IF(F118&lt;&gt;"sí",0,IFERROR(MATCH(0,INDEX(--(MID(B118,ROW($A$1:$A$15),1)=MID($B$8,ROW($A$1:$A$15),1)),0),0),$B$6))</f>
        <v>0</v>
      </c>
    </row>
    <row r="119" customFormat="false" ht="15" hidden="false" customHeight="false" outlineLevel="0" collapsed="false">
      <c r="A119" s="2" t="n">
        <v>90</v>
      </c>
      <c r="B119" s="2" t="str">
        <f aca="false">MID($B$7,A119+1,$B$6)</f>
        <v> one of the cur</v>
      </c>
      <c r="C119" s="2" t="n">
        <f aca="false">CODE(MID($B$7,A119+1,1))</f>
        <v>32</v>
      </c>
      <c r="D119" s="2" t="n">
        <f aca="false">IF(A119+$B$6&lt;LEN($B$7),CODE(MID($B$7,A119+$B$6+1,1)),"")</f>
        <v>114</v>
      </c>
      <c r="E119" s="2" t="n">
        <f aca="false">MOD($B$4*(E118-C118*$H$12)+D118,$B$5)</f>
        <v>79</v>
      </c>
      <c r="F119" s="2" t="str">
        <f aca="false">IF(E119=$H$11,"sí","")</f>
        <v/>
      </c>
      <c r="G119" s="2" t="str">
        <f aca="false">IF(F119="sí",IF(EXACT(B119,$B$8),"OCURRENCIA","COLISIÓN"),"")</f>
        <v/>
      </c>
      <c r="H119" s="2" t="n">
        <f aca="false">IF(F119&lt;&gt;"sí",0,IFERROR(MATCH(0,INDEX(--(MID(B119,ROW($A$1:$A$15),1)=MID($B$8,ROW($A$1:$A$15),1)),0),0),$B$6))</f>
        <v>0</v>
      </c>
    </row>
    <row r="120" customFormat="false" ht="15" hidden="false" customHeight="false" outlineLevel="0" collapsed="false">
      <c r="A120" s="2" t="n">
        <v>91</v>
      </c>
      <c r="B120" s="2" t="str">
        <f aca="false">MID($B$7,A120+1,$B$6)</f>
        <v>one of the curr</v>
      </c>
      <c r="C120" s="2" t="n">
        <f aca="false">CODE(MID($B$7,A120+1,1))</f>
        <v>111</v>
      </c>
      <c r="D120" s="2" t="n">
        <f aca="false">IF(A120+$B$6&lt;LEN($B$7),CODE(MID($B$7,A120+$B$6+1,1)),"")</f>
        <v>101</v>
      </c>
      <c r="E120" s="2" t="n">
        <f aca="false">MOD($B$4*(E119-C119*$H$12)+D119,$B$5)</f>
        <v>0</v>
      </c>
      <c r="F120" s="2" t="str">
        <f aca="false">IF(E120=$H$11,"sí","")</f>
        <v/>
      </c>
      <c r="G120" s="2" t="str">
        <f aca="false">IF(F120="sí",IF(EXACT(B120,$B$8),"OCURRENCIA","COLISIÓN"),"")</f>
        <v/>
      </c>
      <c r="H120" s="2" t="n">
        <f aca="false">IF(F120&lt;&gt;"sí",0,IFERROR(MATCH(0,INDEX(--(MID(B120,ROW($A$1:$A$15),1)=MID($B$8,ROW($A$1:$A$15),1)),0),0),$B$6))</f>
        <v>0</v>
      </c>
    </row>
    <row r="121" customFormat="false" ht="15" hidden="false" customHeight="false" outlineLevel="0" collapsed="false">
      <c r="A121" s="2" t="n">
        <v>92</v>
      </c>
      <c r="B121" s="2" t="str">
        <f aca="false">MID($B$7,A121+1,$B$6)</f>
        <v>ne of the curre</v>
      </c>
      <c r="C121" s="2" t="n">
        <f aca="false">CODE(MID($B$7,A121+1,1))</f>
        <v>110</v>
      </c>
      <c r="D121" s="2" t="n">
        <f aca="false">IF(A121+$B$6&lt;LEN($B$7),CODE(MID($B$7,A121+$B$6+1,1)),"")</f>
        <v>110</v>
      </c>
      <c r="E121" s="2" t="n">
        <f aca="false">MOD($B$4*(E120-C120*$H$12)+D120,$B$5)</f>
        <v>18</v>
      </c>
      <c r="F121" s="2" t="str">
        <f aca="false">IF(E121=$H$11,"sí","")</f>
        <v/>
      </c>
      <c r="G121" s="2" t="str">
        <f aca="false">IF(F121="sí",IF(EXACT(B121,$B$8),"OCURRENCIA","COLISIÓN"),"")</f>
        <v/>
      </c>
      <c r="H121" s="2" t="n">
        <f aca="false">IF(F121&lt;&gt;"sí",0,IFERROR(MATCH(0,INDEX(--(MID(B121,ROW($A$1:$A$15),1)=MID($B$8,ROW($A$1:$A$15),1)),0),0),$B$6))</f>
        <v>0</v>
      </c>
    </row>
    <row r="122" customFormat="false" ht="15" hidden="false" customHeight="false" outlineLevel="0" collapsed="false">
      <c r="A122" s="2" t="n">
        <v>93</v>
      </c>
      <c r="B122" s="2" t="str">
        <f aca="false">MID($B$7,A122+1,$B$6)</f>
        <v>e of the curren</v>
      </c>
      <c r="C122" s="2" t="n">
        <f aca="false">CODE(MID($B$7,A122+1,1))</f>
        <v>101</v>
      </c>
      <c r="D122" s="2" t="n">
        <f aca="false">IF(A122+$B$6&lt;LEN($B$7),CODE(MID($B$7,A122+$B$6+1,1)),"")</f>
        <v>116</v>
      </c>
      <c r="E122" s="2" t="n">
        <f aca="false">MOD($B$4*(E121-C121*$H$12)+D121,$B$5)</f>
        <v>75</v>
      </c>
      <c r="F122" s="2" t="str">
        <f aca="false">IF(E122=$H$11,"sí","")</f>
        <v/>
      </c>
      <c r="G122" s="2" t="str">
        <f aca="false">IF(F122="sí",IF(EXACT(B122,$B$8),"OCURRENCIA","COLISIÓN"),"")</f>
        <v/>
      </c>
      <c r="H122" s="2" t="n">
        <f aca="false">IF(F122&lt;&gt;"sí",0,IFERROR(MATCH(0,INDEX(--(MID(B122,ROW($A$1:$A$15),1)=MID($B$8,ROW($A$1:$A$15),1)),0),0),$B$6))</f>
        <v>0</v>
      </c>
    </row>
    <row r="123" customFormat="false" ht="15" hidden="false" customHeight="false" outlineLevel="0" collapsed="false">
      <c r="A123" s="2" t="n">
        <v>94</v>
      </c>
      <c r="B123" s="2" t="str">
        <f aca="false">MID($B$7,A123+1,$B$6)</f>
        <v> of the current</v>
      </c>
      <c r="C123" s="2" t="n">
        <f aca="false">CODE(MID($B$7,A123+1,1))</f>
        <v>32</v>
      </c>
      <c r="D123" s="2" t="n">
        <f aca="false">IF(A123+$B$6&lt;LEN($B$7),CODE(MID($B$7,A123+$B$6+1,1)),"")</f>
        <v>108</v>
      </c>
      <c r="E123" s="2" t="n">
        <f aca="false">MOD($B$4*(E122-C122*$H$12)+D122,$B$5)</f>
        <v>17</v>
      </c>
      <c r="F123" s="2" t="str">
        <f aca="false">IF(E123=$H$11,"sí","")</f>
        <v/>
      </c>
      <c r="G123" s="2" t="str">
        <f aca="false">IF(F123="sí",IF(EXACT(B123,$B$8),"OCURRENCIA","COLISIÓN"),"")</f>
        <v/>
      </c>
      <c r="H123" s="2" t="n">
        <f aca="false">IF(F123&lt;&gt;"sí",0,IFERROR(MATCH(0,INDEX(--(MID(B123,ROW($A$1:$A$15),1)=MID($B$8,ROW($A$1:$A$15),1)),0),0),$B$6))</f>
        <v>0</v>
      </c>
    </row>
    <row r="124" customFormat="false" ht="15" hidden="false" customHeight="false" outlineLevel="0" collapsed="false">
      <c r="A124" s="2" t="n">
        <v>95</v>
      </c>
      <c r="B124" s="2" t="str">
        <f aca="false">MID($B$7,A124+1,$B$6)</f>
        <v>of the currentl</v>
      </c>
      <c r="C124" s="2" t="n">
        <f aca="false">CODE(MID($B$7,A124+1,1))</f>
        <v>111</v>
      </c>
      <c r="D124" s="2" t="n">
        <f aca="false">IF(A124+$B$6&lt;LEN($B$7),CODE(MID($B$7,A124+$B$6+1,1)),"")</f>
        <v>121</v>
      </c>
      <c r="E124" s="2" t="n">
        <f aca="false">MOD($B$4*(E123-C123*$H$12)+D123,$B$5)</f>
        <v>30</v>
      </c>
      <c r="F124" s="2" t="str">
        <f aca="false">IF(E124=$H$11,"sí","")</f>
        <v/>
      </c>
      <c r="G124" s="2" t="str">
        <f aca="false">IF(F124="sí",IF(EXACT(B124,$B$8),"OCURRENCIA","COLISIÓN"),"")</f>
        <v/>
      </c>
      <c r="H124" s="2" t="n">
        <f aca="false">IF(F124&lt;&gt;"sí",0,IFERROR(MATCH(0,INDEX(--(MID(B124,ROW($A$1:$A$15),1)=MID($B$8,ROW($A$1:$A$15),1)),0),0),$B$6))</f>
        <v>0</v>
      </c>
    </row>
    <row r="125" customFormat="false" ht="15" hidden="false" customHeight="false" outlineLevel="0" collapsed="false">
      <c r="A125" s="2" t="n">
        <v>96</v>
      </c>
      <c r="B125" s="2" t="str">
        <f aca="false">MID($B$7,A125+1,$B$6)</f>
        <v>f the currently</v>
      </c>
      <c r="C125" s="2" t="n">
        <f aca="false">CODE(MID($B$7,A125+1,1))</f>
        <v>102</v>
      </c>
      <c r="D125" s="2" t="n">
        <f aca="false">IF(A125+$B$6&lt;LEN($B$7),CODE(MID($B$7,A125+$B$6+1,1)),"")</f>
        <v>32</v>
      </c>
      <c r="E125" s="2" t="n">
        <f aca="false">MOD($B$4*(E124-C124*$H$12)+D124,$B$5)</f>
        <v>55</v>
      </c>
      <c r="F125" s="2" t="str">
        <f aca="false">IF(E125=$H$11,"sí","")</f>
        <v/>
      </c>
      <c r="G125" s="2" t="str">
        <f aca="false">IF(F125="sí",IF(EXACT(B125,$B$8),"OCURRENCIA","COLISIÓN"),"")</f>
        <v/>
      </c>
      <c r="H125" s="2" t="n">
        <f aca="false">IF(F125&lt;&gt;"sí",0,IFERROR(MATCH(0,INDEX(--(MID(B125,ROW($A$1:$A$15),1)=MID($B$8,ROW($A$1:$A$15),1)),0),0),$B$6))</f>
        <v>0</v>
      </c>
    </row>
    <row r="126" customFormat="false" ht="15" hidden="false" customHeight="false" outlineLevel="0" collapsed="false">
      <c r="A126" s="2" t="n">
        <v>97</v>
      </c>
      <c r="B126" s="2" t="str">
        <f aca="false">MID($B$7,A126+1,$B$6)</f>
        <v> the currently </v>
      </c>
      <c r="C126" s="2" t="n">
        <f aca="false">CODE(MID($B$7,A126+1,1))</f>
        <v>32</v>
      </c>
      <c r="D126" s="2" t="n">
        <f aca="false">IF(A126+$B$6&lt;LEN($B$7),CODE(MID($B$7,A126+$B$6+1,1)),"")</f>
        <v>101</v>
      </c>
      <c r="E126" s="2" t="n">
        <f aca="false">MOD($B$4*(E125-C125*$H$12)+D125,$B$5)</f>
        <v>52</v>
      </c>
      <c r="F126" s="2" t="str">
        <f aca="false">IF(E126=$H$11,"sí","")</f>
        <v/>
      </c>
      <c r="G126" s="2" t="str">
        <f aca="false">IF(F126="sí",IF(EXACT(B126,$B$8),"OCURRENCIA","COLISIÓN"),"")</f>
        <v/>
      </c>
      <c r="H126" s="2" t="n">
        <f aca="false">IF(F126&lt;&gt;"sí",0,IFERROR(MATCH(0,INDEX(--(MID(B126,ROW($A$1:$A$15),1)=MID($B$8,ROW($A$1:$A$15),1)),0),0),$B$6))</f>
        <v>0</v>
      </c>
    </row>
    <row r="127" customFormat="false" ht="15" hidden="false" customHeight="false" outlineLevel="0" collapsed="false">
      <c r="A127" s="2" t="n">
        <v>98</v>
      </c>
      <c r="B127" s="2" t="str">
        <f aca="false">MID($B$7,A127+1,$B$6)</f>
        <v>the currently e</v>
      </c>
      <c r="C127" s="2" t="n">
        <f aca="false">CODE(MID($B$7,A127+1,1))</f>
        <v>116</v>
      </c>
      <c r="D127" s="2" t="n">
        <f aca="false">IF(A127+$B$6&lt;LEN($B$7),CODE(MID($B$7,A127+$B$6+1,1)),"")</f>
        <v>109</v>
      </c>
      <c r="E127" s="2" t="n">
        <f aca="false">MOD($B$4*(E126-C126*$H$12)+D126,$B$5)</f>
        <v>59</v>
      </c>
      <c r="F127" s="2" t="str">
        <f aca="false">IF(E127=$H$11,"sí","")</f>
        <v/>
      </c>
      <c r="G127" s="2" t="str">
        <f aca="false">IF(F127="sí",IF(EXACT(B127,$B$8),"OCURRENCIA","COLISIÓN"),"")</f>
        <v/>
      </c>
      <c r="H127" s="2" t="n">
        <f aca="false">IF(F127&lt;&gt;"sí",0,IFERROR(MATCH(0,INDEX(--(MID(B127,ROW($A$1:$A$15),1)=MID($B$8,ROW($A$1:$A$15),1)),0),0),$B$6))</f>
        <v>0</v>
      </c>
    </row>
    <row r="128" customFormat="false" ht="15" hidden="false" customHeight="false" outlineLevel="0" collapsed="false">
      <c r="A128" s="2" t="n">
        <v>99</v>
      </c>
      <c r="B128" s="2" t="str">
        <f aca="false">MID($B$7,A128+1,$B$6)</f>
        <v>he currently em</v>
      </c>
      <c r="C128" s="2" t="n">
        <f aca="false">CODE(MID($B$7,A128+1,1))</f>
        <v>104</v>
      </c>
      <c r="D128" s="2" t="n">
        <f aca="false">IF(A128+$B$6&lt;LEN($B$7),CODE(MID($B$7,A128+$B$6+1,1)),"")</f>
        <v>101</v>
      </c>
      <c r="E128" s="2" t="n">
        <f aca="false">MOD($B$4*(E127-C127*$H$12)+D127,$B$5)</f>
        <v>3</v>
      </c>
      <c r="F128" s="2" t="str">
        <f aca="false">IF(E128=$H$11,"sí","")</f>
        <v/>
      </c>
      <c r="G128" s="2" t="str">
        <f aca="false">IF(F128="sí",IF(EXACT(B128,$B$8),"OCURRENCIA","COLISIÓN"),"")</f>
        <v/>
      </c>
      <c r="H128" s="2" t="n">
        <f aca="false">IF(F128&lt;&gt;"sí",0,IFERROR(MATCH(0,INDEX(--(MID(B128,ROW($A$1:$A$15),1)=MID($B$8,ROW($A$1:$A$15),1)),0),0),$B$6))</f>
        <v>0</v>
      </c>
    </row>
    <row r="129" customFormat="false" ht="15" hidden="false" customHeight="false" outlineLevel="0" collapsed="false">
      <c r="A129" s="2" t="n">
        <v>100</v>
      </c>
      <c r="B129" s="2" t="str">
        <f aca="false">MID($B$7,A129+1,$B$6)</f>
        <v>e currently eme</v>
      </c>
      <c r="C129" s="2" t="n">
        <f aca="false">CODE(MID($B$7,A129+1,1))</f>
        <v>101</v>
      </c>
      <c r="D129" s="2" t="n">
        <f aca="false">IF(A129+$B$6&lt;LEN($B$7),CODE(MID($B$7,A129+$B$6+1,1)),"")</f>
        <v>114</v>
      </c>
      <c r="E129" s="2" t="n">
        <f aca="false">MOD($B$4*(E128-C128*$H$12)+D128,$B$5)</f>
        <v>3</v>
      </c>
      <c r="F129" s="2" t="str">
        <f aca="false">IF(E129=$H$11,"sí","")</f>
        <v/>
      </c>
      <c r="G129" s="2" t="str">
        <f aca="false">IF(F129="sí",IF(EXACT(B129,$B$8),"OCURRENCIA","COLISIÓN"),"")</f>
        <v/>
      </c>
      <c r="H129" s="2" t="n">
        <f aca="false">IF(F129&lt;&gt;"sí",0,IFERROR(MATCH(0,INDEX(--(MID(B129,ROW($A$1:$A$15),1)=MID($B$8,ROW($A$1:$A$15),1)),0),0),$B$6))</f>
        <v>0</v>
      </c>
    </row>
    <row r="130" customFormat="false" ht="15" hidden="false" customHeight="false" outlineLevel="0" collapsed="false">
      <c r="A130" s="2" t="n">
        <v>101</v>
      </c>
      <c r="B130" s="2" t="str">
        <f aca="false">MID($B$7,A130+1,$B$6)</f>
        <v> currently emer</v>
      </c>
      <c r="C130" s="2" t="n">
        <f aca="false">CODE(MID($B$7,A130+1,1))</f>
        <v>32</v>
      </c>
      <c r="D130" s="2" t="n">
        <f aca="false">IF(A130+$B$6&lt;LEN($B$7),CODE(MID($B$7,A130+$B$6+1,1)),"")</f>
        <v>103</v>
      </c>
      <c r="E130" s="2" t="n">
        <f aca="false">MOD($B$4*(E129-C129*$H$12)+D129,$B$5)</f>
        <v>13</v>
      </c>
      <c r="F130" s="2" t="str">
        <f aca="false">IF(E130=$H$11,"sí","")</f>
        <v/>
      </c>
      <c r="G130" s="2" t="str">
        <f aca="false">IF(F130="sí",IF(EXACT(B130,$B$8),"OCURRENCIA","COLISIÓN"),"")</f>
        <v/>
      </c>
      <c r="H130" s="2" t="n">
        <f aca="false">IF(F130&lt;&gt;"sí",0,IFERROR(MATCH(0,INDEX(--(MID(B130,ROW($A$1:$A$15),1)=MID($B$8,ROW($A$1:$A$15),1)),0),0),$B$6))</f>
        <v>0</v>
      </c>
    </row>
    <row r="131" customFormat="false" ht="15" hidden="false" customHeight="false" outlineLevel="0" collapsed="false">
      <c r="A131" s="2" t="n">
        <v>102</v>
      </c>
      <c r="B131" s="2" t="str">
        <f aca="false">MID($B$7,A131+1,$B$6)</f>
        <v>currently emerg</v>
      </c>
      <c r="C131" s="2" t="n">
        <f aca="false">CODE(MID($B$7,A131+1,1))</f>
        <v>99</v>
      </c>
      <c r="D131" s="2" t="n">
        <f aca="false">IF(A131+$B$6&lt;LEN($B$7),CODE(MID($B$7,A131+$B$6+1,1)),"")</f>
        <v>105</v>
      </c>
      <c r="E131" s="2" t="n">
        <f aca="false">MOD($B$4*(E130-C130*$H$12)+D130,$B$5)</f>
        <v>68</v>
      </c>
      <c r="F131" s="2" t="str">
        <f aca="false">IF(E131=$H$11,"sí","")</f>
        <v/>
      </c>
      <c r="G131" s="2" t="str">
        <f aca="false">IF(F131="sí",IF(EXACT(B131,$B$8),"OCURRENCIA","COLISIÓN"),"")</f>
        <v/>
      </c>
      <c r="H131" s="2" t="n">
        <f aca="false">IF(F131&lt;&gt;"sí",0,IFERROR(MATCH(0,INDEX(--(MID(B131,ROW($A$1:$A$15),1)=MID($B$8,ROW($A$1:$A$15),1)),0),0),$B$6))</f>
        <v>0</v>
      </c>
    </row>
    <row r="132" customFormat="false" ht="15" hidden="false" customHeight="false" outlineLevel="0" collapsed="false">
      <c r="A132" s="2" t="n">
        <v>103</v>
      </c>
      <c r="B132" s="2" t="str">
        <f aca="false">MID($B$7,A132+1,$B$6)</f>
        <v>urrently emergi</v>
      </c>
      <c r="C132" s="2" t="n">
        <f aca="false">CODE(MID($B$7,A132+1,1))</f>
        <v>117</v>
      </c>
      <c r="D132" s="2" t="n">
        <f aca="false">IF(A132+$B$6&lt;LEN($B$7),CODE(MID($B$7,A132+$B$6+1,1)),"")</f>
        <v>110</v>
      </c>
      <c r="E132" s="2" t="n">
        <f aca="false">MOD($B$4*(E131-C131*$H$12)+D131,$B$5)</f>
        <v>55</v>
      </c>
      <c r="F132" s="2" t="str">
        <f aca="false">IF(E132=$H$11,"sí","")</f>
        <v/>
      </c>
      <c r="G132" s="2" t="str">
        <f aca="false">IF(F132="sí",IF(EXACT(B132,$B$8),"OCURRENCIA","COLISIÓN"),"")</f>
        <v/>
      </c>
      <c r="H132" s="2" t="n">
        <f aca="false">IF(F132&lt;&gt;"sí",0,IFERROR(MATCH(0,INDEX(--(MID(B132,ROW($A$1:$A$15),1)=MID($B$8,ROW($A$1:$A$15),1)),0),0),$B$6))</f>
        <v>0</v>
      </c>
    </row>
    <row r="133" customFormat="false" ht="15" hidden="false" customHeight="false" outlineLevel="0" collapsed="false">
      <c r="A133" s="2" t="n">
        <v>104</v>
      </c>
      <c r="B133" s="2" t="str">
        <f aca="false">MID($B$7,A133+1,$B$6)</f>
        <v>rrently emergin</v>
      </c>
      <c r="C133" s="2" t="n">
        <f aca="false">CODE(MID($B$7,A133+1,1))</f>
        <v>114</v>
      </c>
      <c r="D133" s="2" t="n">
        <f aca="false">IF(A133+$B$6&lt;LEN($B$7),CODE(MID($B$7,A133+$B$6+1,1)),"")</f>
        <v>103</v>
      </c>
      <c r="E133" s="2" t="n">
        <f aca="false">MOD($B$4*(E132-C132*$H$12)+D132,$B$5)</f>
        <v>48</v>
      </c>
      <c r="F133" s="2" t="str">
        <f aca="false">IF(E133=$H$11,"sí","")</f>
        <v/>
      </c>
      <c r="G133" s="2" t="str">
        <f aca="false">IF(F133="sí",IF(EXACT(B133,$B$8),"OCURRENCIA","COLISIÓN"),"")</f>
        <v/>
      </c>
      <c r="H133" s="2" t="n">
        <f aca="false">IF(F133&lt;&gt;"sí",0,IFERROR(MATCH(0,INDEX(--(MID(B133,ROW($A$1:$A$15),1)=MID($B$8,ROW($A$1:$A$15),1)),0),0),$B$6))</f>
        <v>0</v>
      </c>
    </row>
    <row r="134" customFormat="false" ht="15" hidden="false" customHeight="false" outlineLevel="0" collapsed="false">
      <c r="A134" s="2" t="n">
        <v>105</v>
      </c>
      <c r="B134" s="2" t="str">
        <f aca="false">MID($B$7,A134+1,$B$6)</f>
        <v>rently emerging</v>
      </c>
      <c r="C134" s="2" t="n">
        <f aca="false">CODE(MID($B$7,A134+1,1))</f>
        <v>114</v>
      </c>
      <c r="D134" s="2" t="n">
        <f aca="false">IF(A134+$B$6&lt;LEN($B$7),CODE(MID($B$7,A134+$B$6+1,1)),"")</f>
        <v>32</v>
      </c>
      <c r="E134" s="2" t="n">
        <f aca="false">MOD($B$4*(E133-C133*$H$12)+D133,$B$5)</f>
        <v>89</v>
      </c>
      <c r="F134" s="2" t="str">
        <f aca="false">IF(E134=$H$11,"sí","")</f>
        <v/>
      </c>
      <c r="G134" s="2" t="str">
        <f aca="false">IF(F134="sí",IF(EXACT(B134,$B$8),"OCURRENCIA","COLISIÓN"),"")</f>
        <v/>
      </c>
      <c r="H134" s="2" t="n">
        <f aca="false">IF(F134&lt;&gt;"sí",0,IFERROR(MATCH(0,INDEX(--(MID(B134,ROW($A$1:$A$15),1)=MID($B$8,ROW($A$1:$A$15),1)),0),0),$B$6))</f>
        <v>0</v>
      </c>
    </row>
    <row r="135" customFormat="false" ht="15" hidden="false" customHeight="false" outlineLevel="0" collapsed="false">
      <c r="A135" s="2" t="n">
        <v>106</v>
      </c>
      <c r="B135" s="2" t="str">
        <f aca="false">MID($B$7,A135+1,$B$6)</f>
        <v>ently emerging </v>
      </c>
      <c r="C135" s="2" t="n">
        <f aca="false">CODE(MID($B$7,A135+1,1))</f>
        <v>101</v>
      </c>
      <c r="D135" s="2" t="n">
        <f aca="false">IF(A135+$B$6&lt;LEN($B$7),CODE(MID($B$7,A135+$B$6+1,1)),"")</f>
        <v>102</v>
      </c>
      <c r="E135" s="2" t="n">
        <f aca="false">MOD($B$4*(E134-C134*$H$12)+D134,$B$5)</f>
        <v>38</v>
      </c>
      <c r="F135" s="2" t="str">
        <f aca="false">IF(E135=$H$11,"sí","")</f>
        <v/>
      </c>
      <c r="G135" s="2" t="str">
        <f aca="false">IF(F135="sí",IF(EXACT(B135,$B$8),"OCURRENCIA","COLISIÓN"),"")</f>
        <v/>
      </c>
      <c r="H135" s="2" t="n">
        <f aca="false">IF(F135&lt;&gt;"sí",0,IFERROR(MATCH(0,INDEX(--(MID(B135,ROW($A$1:$A$15),1)=MID($B$8,ROW($A$1:$A$15),1)),0),0),$B$6))</f>
        <v>0</v>
      </c>
    </row>
    <row r="136" customFormat="false" ht="15" hidden="false" customHeight="false" outlineLevel="0" collapsed="false">
      <c r="A136" s="2" t="n">
        <v>107</v>
      </c>
      <c r="B136" s="2" t="str">
        <f aca="false">MID($B$7,A136+1,$B$6)</f>
        <v>ntly emerging f</v>
      </c>
      <c r="C136" s="2" t="n">
        <f aca="false">CODE(MID($B$7,A136+1,1))</f>
        <v>110</v>
      </c>
      <c r="D136" s="2" t="n">
        <f aca="false">IF(A136+$B$6&lt;LEN($B$7),CODE(MID($B$7,A136+$B$6+1,1)),"")</f>
        <v>105</v>
      </c>
      <c r="E136" s="2" t="n">
        <f aca="false">MOD($B$4*(E135-C135*$H$12)+D135,$B$5)</f>
        <v>37</v>
      </c>
      <c r="F136" s="2" t="str">
        <f aca="false">IF(E136=$H$11,"sí","")</f>
        <v/>
      </c>
      <c r="G136" s="2" t="str">
        <f aca="false">IF(F136="sí",IF(EXACT(B136,$B$8),"OCURRENCIA","COLISIÓN"),"")</f>
        <v/>
      </c>
      <c r="H136" s="2" t="n">
        <f aca="false">IF(F136&lt;&gt;"sí",0,IFERROR(MATCH(0,INDEX(--(MID(B136,ROW($A$1:$A$15),1)=MID($B$8,ROW($A$1:$A$15),1)),0),0),$B$6))</f>
        <v>0</v>
      </c>
    </row>
    <row r="137" customFormat="false" ht="15" hidden="false" customHeight="false" outlineLevel="0" collapsed="false">
      <c r="A137" s="2" t="n">
        <v>108</v>
      </c>
      <c r="B137" s="2" t="str">
        <f aca="false">MID($B$7,A137+1,$B$6)</f>
        <v>tly emerging fi</v>
      </c>
      <c r="C137" s="2" t="n">
        <f aca="false">CODE(MID($B$7,A137+1,1))</f>
        <v>116</v>
      </c>
      <c r="D137" s="2" t="n">
        <f aca="false">IF(A137+$B$6&lt;LEN($B$7),CODE(MID($B$7,A137+$B$6+1,1)),"")</f>
        <v>101</v>
      </c>
      <c r="E137" s="2" t="n">
        <f aca="false">MOD($B$4*(E136-C136*$H$12)+D136,$B$5)</f>
        <v>84</v>
      </c>
      <c r="F137" s="2" t="str">
        <f aca="false">IF(E137=$H$11,"sí","")</f>
        <v/>
      </c>
      <c r="G137" s="2" t="str">
        <f aca="false">IF(F137="sí",IF(EXACT(B137,$B$8),"OCURRENCIA","COLISIÓN"),"")</f>
        <v/>
      </c>
      <c r="H137" s="2" t="n">
        <f aca="false">IF(F137&lt;&gt;"sí",0,IFERROR(MATCH(0,INDEX(--(MID(B137,ROW($A$1:$A$15),1)=MID($B$8,ROW($A$1:$A$15),1)),0),0),$B$6))</f>
        <v>0</v>
      </c>
    </row>
    <row r="138" customFormat="false" ht="15" hidden="false" customHeight="false" outlineLevel="0" collapsed="false">
      <c r="A138" s="2" t="n">
        <v>109</v>
      </c>
      <c r="B138" s="2" t="str">
        <f aca="false">MID($B$7,A138+1,$B$6)</f>
        <v>ly emerging fie</v>
      </c>
      <c r="C138" s="2" t="n">
        <f aca="false">CODE(MID($B$7,A138+1,1))</f>
        <v>108</v>
      </c>
      <c r="D138" s="2" t="n">
        <f aca="false">IF(A138+$B$6&lt;LEN($B$7),CODE(MID($B$7,A138+$B$6+1,1)),"")</f>
        <v>108</v>
      </c>
      <c r="E138" s="2" t="n">
        <f aca="false">MOD($B$4*(E137-C137*$H$12)+D137,$B$5)</f>
        <v>90</v>
      </c>
      <c r="F138" s="2" t="str">
        <f aca="false">IF(E138=$H$11,"sí","")</f>
        <v/>
      </c>
      <c r="G138" s="2" t="str">
        <f aca="false">IF(F138="sí",IF(EXACT(B138,$B$8),"OCURRENCIA","COLISIÓN"),"")</f>
        <v/>
      </c>
      <c r="H138" s="2" t="n">
        <f aca="false">IF(F138&lt;&gt;"sí",0,IFERROR(MATCH(0,INDEX(--(MID(B138,ROW($A$1:$A$15),1)=MID($B$8,ROW($A$1:$A$15),1)),0),0),$B$6))</f>
        <v>0</v>
      </c>
    </row>
    <row r="139" customFormat="false" ht="15" hidden="false" customHeight="false" outlineLevel="0" collapsed="false">
      <c r="A139" s="2" t="n">
        <v>110</v>
      </c>
      <c r="B139" s="2" t="str">
        <f aca="false">MID($B$7,A139+1,$B$6)</f>
        <v>y emerging fiel</v>
      </c>
      <c r="C139" s="2" t="n">
        <f aca="false">CODE(MID($B$7,A139+1,1))</f>
        <v>121</v>
      </c>
      <c r="D139" s="2" t="n">
        <f aca="false">IF(A139+$B$6&lt;LEN($B$7),CODE(MID($B$7,A139+$B$6+1,1)),"")</f>
        <v>100</v>
      </c>
      <c r="E139" s="2" t="n">
        <f aca="false">MOD($B$4*(E138-C138*$H$12)+D138,$B$5)</f>
        <v>73</v>
      </c>
      <c r="F139" s="2" t="str">
        <f aca="false">IF(E139=$H$11,"sí","")</f>
        <v/>
      </c>
      <c r="G139" s="2" t="str">
        <f aca="false">IF(F139="sí",IF(EXACT(B139,$B$8),"OCURRENCIA","COLISIÓN"),"")</f>
        <v/>
      </c>
      <c r="H139" s="2" t="n">
        <f aca="false">IF(F139&lt;&gt;"sí",0,IFERROR(MATCH(0,INDEX(--(MID(B139,ROW($A$1:$A$15),1)=MID($B$8,ROW($A$1:$A$15),1)),0),0),$B$6))</f>
        <v>0</v>
      </c>
    </row>
    <row r="140" customFormat="false" ht="15" hidden="false" customHeight="false" outlineLevel="0" collapsed="false">
      <c r="A140" s="2" t="n">
        <v>111</v>
      </c>
      <c r="B140" s="2" t="str">
        <f aca="false">MID($B$7,A140+1,$B$6)</f>
        <v> emerging field</v>
      </c>
      <c r="C140" s="2" t="n">
        <f aca="false">CODE(MID($B$7,A140+1,1))</f>
        <v>32</v>
      </c>
      <c r="D140" s="2" t="n">
        <f aca="false">IF(A140+$B$6&lt;LEN($B$7),CODE(MID($B$7,A140+$B$6+1,1)),"")</f>
        <v>115</v>
      </c>
      <c r="E140" s="2" t="n">
        <f aca="false">MOD($B$4*(E139-C139*$H$12)+D139,$B$5)</f>
        <v>91</v>
      </c>
      <c r="F140" s="2" t="str">
        <f aca="false">IF(E140=$H$11,"sí","")</f>
        <v/>
      </c>
      <c r="G140" s="2" t="str">
        <f aca="false">IF(F140="sí",IF(EXACT(B140,$B$8),"OCURRENCIA","COLISIÓN"),"")</f>
        <v/>
      </c>
      <c r="H140" s="2" t="n">
        <f aca="false">IF(F140&lt;&gt;"sí",0,IFERROR(MATCH(0,INDEX(--(MID(B140,ROW($A$1:$A$15),1)=MID($B$8,ROW($A$1:$A$15),1)),0),0),$B$6))</f>
        <v>0</v>
      </c>
    </row>
    <row r="141" customFormat="false" ht="15" hidden="false" customHeight="false" outlineLevel="0" collapsed="false">
      <c r="A141" s="2" t="n">
        <v>112</v>
      </c>
      <c r="B141" s="2" t="str">
        <f aca="false">MID($B$7,A141+1,$B$6)</f>
        <v>emerging fields</v>
      </c>
      <c r="C141" s="2" t="n">
        <f aca="false">CODE(MID($B$7,A141+1,1))</f>
        <v>101</v>
      </c>
      <c r="D141" s="2" t="n">
        <f aca="false">IF(A141+$B$6&lt;LEN($B$7),CODE(MID($B$7,A141+$B$6+1,1)),"")</f>
        <v>32</v>
      </c>
      <c r="E141" s="2" t="n">
        <f aca="false">MOD($B$4*(E140-C140*$H$12)+D140,$B$5)</f>
        <v>66</v>
      </c>
      <c r="F141" s="2" t="str">
        <f aca="false">IF(E141=$H$11,"sí","")</f>
        <v/>
      </c>
      <c r="G141" s="2" t="str">
        <f aca="false">IF(F141="sí",IF(EXACT(B141,$B$8),"OCURRENCIA","COLISIÓN"),"")</f>
        <v/>
      </c>
      <c r="H141" s="2" t="n">
        <f aca="false">IF(F141&lt;&gt;"sí",0,IFERROR(MATCH(0,INDEX(--(MID(B141,ROW($A$1:$A$15),1)=MID($B$8,ROW($A$1:$A$15),1)),0),0),$B$6))</f>
        <v>0</v>
      </c>
    </row>
    <row r="142" customFormat="false" ht="15" hidden="false" customHeight="false" outlineLevel="0" collapsed="false">
      <c r="A142" s="2" t="n">
        <v>113</v>
      </c>
      <c r="B142" s="2" t="str">
        <f aca="false">MID($B$7,A142+1,$B$6)</f>
        <v>merging fields </v>
      </c>
      <c r="C142" s="2" t="n">
        <f aca="false">CODE(MID($B$7,A142+1,1))</f>
        <v>109</v>
      </c>
      <c r="D142" s="2" t="n">
        <f aca="false">IF(A142+$B$6&lt;LEN($B$7),CODE(MID($B$7,A142+$B$6+1,1)),"")</f>
        <v>105</v>
      </c>
      <c r="E142" s="2" t="n">
        <f aca="false">MOD($B$4*(E141-C141*$H$12)+D141,$B$5)</f>
        <v>54</v>
      </c>
      <c r="F142" s="2" t="str">
        <f aca="false">IF(E142=$H$11,"sí","")</f>
        <v/>
      </c>
      <c r="G142" s="2" t="str">
        <f aca="false">IF(F142="sí",IF(EXACT(B142,$B$8),"OCURRENCIA","COLISIÓN"),"")</f>
        <v/>
      </c>
      <c r="H142" s="2" t="n">
        <f aca="false">IF(F142&lt;&gt;"sí",0,IFERROR(MATCH(0,INDEX(--(MID(B142,ROW($A$1:$A$15),1)=MID($B$8,ROW($A$1:$A$15),1)),0),0),$B$6))</f>
        <v>0</v>
      </c>
    </row>
    <row r="143" customFormat="false" ht="15" hidden="false" customHeight="false" outlineLevel="0" collapsed="false">
      <c r="A143" s="2" t="n">
        <v>114</v>
      </c>
      <c r="B143" s="2" t="str">
        <f aca="false">MID($B$7,A143+1,$B$6)</f>
        <v>erging fields i</v>
      </c>
      <c r="C143" s="2" t="n">
        <f aca="false">CODE(MID($B$7,A143+1,1))</f>
        <v>101</v>
      </c>
      <c r="D143" s="2" t="n">
        <f aca="false">IF(A143+$B$6&lt;LEN($B$7),CODE(MID($B$7,A143+$B$6+1,1)),"")</f>
        <v>110</v>
      </c>
      <c r="E143" s="2" t="n">
        <f aca="false">MOD($B$4*(E142-C142*$H$12)+D142,$B$5)</f>
        <v>70</v>
      </c>
      <c r="F143" s="2" t="str">
        <f aca="false">IF(E143=$H$11,"sí","")</f>
        <v/>
      </c>
      <c r="G143" s="2" t="str">
        <f aca="false">IF(F143="sí",IF(EXACT(B143,$B$8),"OCURRENCIA","COLISIÓN"),"")</f>
        <v/>
      </c>
      <c r="H143" s="2" t="n">
        <f aca="false">IF(F143&lt;&gt;"sí",0,IFERROR(MATCH(0,INDEX(--(MID(B143,ROW($A$1:$A$15),1)=MID($B$8,ROW($A$1:$A$15),1)),0),0),$B$6))</f>
        <v>0</v>
      </c>
    </row>
    <row r="144" customFormat="false" ht="15" hidden="false" customHeight="false" outlineLevel="0" collapsed="false">
      <c r="A144" s="2" t="n">
        <v>115</v>
      </c>
      <c r="B144" s="2" t="str">
        <f aca="false">MID($B$7,A144+1,$B$6)</f>
        <v>rging fields in</v>
      </c>
      <c r="C144" s="2" t="n">
        <f aca="false">CODE(MID($B$7,A144+1,1))</f>
        <v>114</v>
      </c>
      <c r="D144" s="2" t="n">
        <f aca="false">IF(A144+$B$6&lt;LEN($B$7),CODE(MID($B$7,A144+$B$6+1,1)),"")</f>
        <v>32</v>
      </c>
      <c r="E144" s="2" t="n">
        <f aca="false">MOD($B$4*(E143-C143*$H$12)+D143,$B$5)</f>
        <v>89</v>
      </c>
      <c r="F144" s="2" t="str">
        <f aca="false">IF(E144=$H$11,"sí","")</f>
        <v/>
      </c>
      <c r="G144" s="2" t="str">
        <f aca="false">IF(F144="sí",IF(EXACT(B144,$B$8),"OCURRENCIA","COLISIÓN"),"")</f>
        <v/>
      </c>
      <c r="H144" s="2" t="n">
        <f aca="false">IF(F144&lt;&gt;"sí",0,IFERROR(MATCH(0,INDEX(--(MID(B144,ROW($A$1:$A$15),1)=MID($B$8,ROW($A$1:$A$15),1)),0),0),$B$6))</f>
        <v>0</v>
      </c>
    </row>
    <row r="145" customFormat="false" ht="15" hidden="false" customHeight="false" outlineLevel="0" collapsed="false">
      <c r="A145" s="2" t="n">
        <v>116</v>
      </c>
      <c r="B145" s="2" t="str">
        <f aca="false">MID($B$7,A145+1,$B$6)</f>
        <v>ging fields in </v>
      </c>
      <c r="C145" s="2" t="n">
        <f aca="false">CODE(MID($B$7,A145+1,1))</f>
        <v>103</v>
      </c>
      <c r="D145" s="2" t="n">
        <f aca="false">IF(A145+$B$6&lt;LEN($B$7),CODE(MID($B$7,A145+$B$6+1,1)),"")</f>
        <v>101</v>
      </c>
      <c r="E145" s="2" t="n">
        <f aca="false">MOD($B$4*(E144-C144*$H$12)+D144,$B$5)</f>
        <v>38</v>
      </c>
      <c r="F145" s="2" t="str">
        <f aca="false">IF(E145=$H$11,"sí","")</f>
        <v/>
      </c>
      <c r="G145" s="2" t="str">
        <f aca="false">IF(F145="sí",IF(EXACT(B145,$B$8),"OCURRENCIA","COLISIÓN"),"")</f>
        <v/>
      </c>
      <c r="H145" s="2" t="n">
        <f aca="false">IF(F145&lt;&gt;"sí",0,IFERROR(MATCH(0,INDEX(--(MID(B145,ROW($A$1:$A$15),1)=MID($B$8,ROW($A$1:$A$15),1)),0),0),$B$6))</f>
        <v>0</v>
      </c>
    </row>
    <row r="146" customFormat="false" ht="15" hidden="false" customHeight="false" outlineLevel="0" collapsed="false">
      <c r="A146" s="2" t="n">
        <v>117</v>
      </c>
      <c r="B146" s="2" t="str">
        <f aca="false">MID($B$7,A146+1,$B$6)</f>
        <v>ing fields in e</v>
      </c>
      <c r="C146" s="2" t="n">
        <f aca="false">CODE(MID($B$7,A146+1,1))</f>
        <v>105</v>
      </c>
      <c r="D146" s="2" t="n">
        <f aca="false">IF(A146+$B$6&lt;LEN($B$7),CODE(MID($B$7,A146+$B$6+1,1)),"")</f>
        <v>100</v>
      </c>
      <c r="E146" s="2" t="n">
        <f aca="false">MOD($B$4*(E145-C145*$H$12)+D145,$B$5)</f>
        <v>38</v>
      </c>
      <c r="F146" s="2" t="str">
        <f aca="false">IF(E146=$H$11,"sí","")</f>
        <v/>
      </c>
      <c r="G146" s="2" t="str">
        <f aca="false">IF(F146="sí",IF(EXACT(B146,$B$8),"OCURRENCIA","COLISIÓN"),"")</f>
        <v/>
      </c>
      <c r="H146" s="2" t="n">
        <f aca="false">IF(F146&lt;&gt;"sí",0,IFERROR(MATCH(0,INDEX(--(MID(B146,ROW($A$1:$A$15),1)=MID($B$8,ROW($A$1:$A$15),1)),0),0),$B$6))</f>
        <v>0</v>
      </c>
    </row>
    <row r="147" customFormat="false" ht="15" hidden="false" customHeight="false" outlineLevel="0" collapsed="false">
      <c r="A147" s="2" t="n">
        <v>118</v>
      </c>
      <c r="B147" s="2" t="str">
        <f aca="false">MID($B$7,A147+1,$B$6)</f>
        <v>ng fields in ed</v>
      </c>
      <c r="C147" s="2" t="n">
        <f aca="false">CODE(MID($B$7,A147+1,1))</f>
        <v>110</v>
      </c>
      <c r="D147" s="2" t="n">
        <f aca="false">IF(A147+$B$6&lt;LEN($B$7),CODE(MID($B$7,A147+$B$6+1,1)),"")</f>
        <v>117</v>
      </c>
      <c r="E147" s="2" t="n">
        <f aca="false">MOD($B$4*(E146-C146*$H$12)+D146,$B$5)</f>
        <v>39</v>
      </c>
      <c r="F147" s="2" t="str">
        <f aca="false">IF(E147=$H$11,"sí","")</f>
        <v/>
      </c>
      <c r="G147" s="2" t="str">
        <f aca="false">IF(F147="sí",IF(EXACT(B147,$B$8),"OCURRENCIA","COLISIÓN"),"")</f>
        <v/>
      </c>
      <c r="H147" s="2" t="n">
        <f aca="false">IF(F147&lt;&gt;"sí",0,IFERROR(MATCH(0,INDEX(--(MID(B147,ROW($A$1:$A$15),1)=MID($B$8,ROW($A$1:$A$15),1)),0),0),$B$6))</f>
        <v>0</v>
      </c>
    </row>
    <row r="148" customFormat="false" ht="15" hidden="false" customHeight="false" outlineLevel="0" collapsed="false">
      <c r="A148" s="2" t="n">
        <v>119</v>
      </c>
      <c r="B148" s="2" t="str">
        <f aca="false">MID($B$7,A148+1,$B$6)</f>
        <v>g fields in edu</v>
      </c>
      <c r="C148" s="2" t="n">
        <f aca="false">CODE(MID($B$7,A148+1,1))</f>
        <v>103</v>
      </c>
      <c r="D148" s="2" t="n">
        <f aca="false">IF(A148+$B$6&lt;LEN($B$7),CODE(MID($B$7,A148+$B$6+1,1)),"")</f>
        <v>99</v>
      </c>
      <c r="E148" s="2" t="n">
        <f aca="false">MOD($B$4*(E147-C147*$H$12)+D147,$B$5)</f>
        <v>26</v>
      </c>
      <c r="F148" s="2" t="str">
        <f aca="false">IF(E148=$H$11,"sí","")</f>
        <v/>
      </c>
      <c r="G148" s="2" t="str">
        <f aca="false">IF(F148="sí",IF(EXACT(B148,$B$8),"OCURRENCIA","COLISIÓN"),"")</f>
        <v/>
      </c>
      <c r="H148" s="2" t="n">
        <f aca="false">IF(F148&lt;&gt;"sí",0,IFERROR(MATCH(0,INDEX(--(MID(B148,ROW($A$1:$A$15),1)=MID($B$8,ROW($A$1:$A$15),1)),0),0),$B$6))</f>
        <v>0</v>
      </c>
    </row>
    <row r="149" customFormat="false" ht="15" hidden="false" customHeight="false" outlineLevel="0" collapsed="false">
      <c r="A149" s="2" t="n">
        <v>120</v>
      </c>
      <c r="B149" s="2" t="str">
        <f aca="false">MID($B$7,A149+1,$B$6)</f>
        <v> fields in educ</v>
      </c>
      <c r="C149" s="2" t="n">
        <f aca="false">CODE(MID($B$7,A149+1,1))</f>
        <v>32</v>
      </c>
      <c r="D149" s="2" t="n">
        <f aca="false">IF(A149+$B$6&lt;LEN($B$7),CODE(MID($B$7,A149+$B$6+1,1)),"")</f>
        <v>97</v>
      </c>
      <c r="E149" s="2" t="n">
        <f aca="false">MOD($B$4*(E148-C148*$H$12)+D148,$B$5)</f>
        <v>68</v>
      </c>
      <c r="F149" s="2" t="str">
        <f aca="false">IF(E149=$H$11,"sí","")</f>
        <v/>
      </c>
      <c r="G149" s="2" t="str">
        <f aca="false">IF(F149="sí",IF(EXACT(B149,$B$8),"OCURRENCIA","COLISIÓN"),"")</f>
        <v/>
      </c>
      <c r="H149" s="2" t="n">
        <f aca="false">IF(F149&lt;&gt;"sí",0,IFERROR(MATCH(0,INDEX(--(MID(B149,ROW($A$1:$A$15),1)=MID($B$8,ROW($A$1:$A$15),1)),0),0),$B$6))</f>
        <v>0</v>
      </c>
    </row>
    <row r="150" customFormat="false" ht="15" hidden="false" customHeight="false" outlineLevel="0" collapsed="false">
      <c r="A150" s="2" t="n">
        <v>121</v>
      </c>
      <c r="B150" s="2" t="str">
        <f aca="false">MID($B$7,A150+1,$B$6)</f>
        <v>fields in educa</v>
      </c>
      <c r="C150" s="2" t="n">
        <f aca="false">CODE(MID($B$7,A150+1,1))</f>
        <v>102</v>
      </c>
      <c r="D150" s="2" t="n">
        <f aca="false">IF(A150+$B$6&lt;LEN($B$7),CODE(MID($B$7,A150+$B$6+1,1)),"")</f>
        <v>116</v>
      </c>
      <c r="E150" s="2" t="n">
        <f aca="false">MOD($B$4*(E149-C149*$H$12)+D149,$B$5)</f>
        <v>77</v>
      </c>
      <c r="F150" s="2" t="str">
        <f aca="false">IF(E150=$H$11,"sí","")</f>
        <v/>
      </c>
      <c r="G150" s="2" t="str">
        <f aca="false">IF(F150="sí",IF(EXACT(B150,$B$8),"OCURRENCIA","COLISIÓN"),"")</f>
        <v/>
      </c>
      <c r="H150" s="2" t="n">
        <f aca="false">IF(F150&lt;&gt;"sí",0,IFERROR(MATCH(0,INDEX(--(MID(B150,ROW($A$1:$A$15),1)=MID($B$8,ROW($A$1:$A$15),1)),0),0),$B$6))</f>
        <v>0</v>
      </c>
    </row>
    <row r="151" customFormat="false" ht="15" hidden="false" customHeight="false" outlineLevel="0" collapsed="false">
      <c r="A151" s="2" t="n">
        <v>122</v>
      </c>
      <c r="B151" s="2" t="str">
        <f aca="false">MID($B$7,A151+1,$B$6)</f>
        <v>ields in educat</v>
      </c>
      <c r="C151" s="2" t="n">
        <f aca="false">CODE(MID($B$7,A151+1,1))</f>
        <v>105</v>
      </c>
      <c r="D151" s="2" t="n">
        <f aca="false">IF(A151+$B$6&lt;LEN($B$7),CODE(MID($B$7,A151+$B$6+1,1)),"")</f>
        <v>105</v>
      </c>
      <c r="E151" s="2" t="n">
        <f aca="false">MOD($B$4*(E150-C150*$H$12)+D150,$B$5)</f>
        <v>45</v>
      </c>
      <c r="F151" s="2" t="str">
        <f aca="false">IF(E151=$H$11,"sí","")</f>
        <v/>
      </c>
      <c r="G151" s="2" t="str">
        <f aca="false">IF(F151="sí",IF(EXACT(B151,$B$8),"OCURRENCIA","COLISIÓN"),"")</f>
        <v/>
      </c>
      <c r="H151" s="2" t="n">
        <f aca="false">IF(F151&lt;&gt;"sí",0,IFERROR(MATCH(0,INDEX(--(MID(B151,ROW($A$1:$A$15),1)=MID($B$8,ROW($A$1:$A$15),1)),0),0),$B$6))</f>
        <v>0</v>
      </c>
    </row>
    <row r="152" customFormat="false" ht="15" hidden="false" customHeight="false" outlineLevel="0" collapsed="false">
      <c r="A152" s="2" t="n">
        <v>123</v>
      </c>
      <c r="B152" s="2" t="str">
        <f aca="false">MID($B$7,A152+1,$B$6)</f>
        <v>elds in educati</v>
      </c>
      <c r="C152" s="2" t="n">
        <f aca="false">CODE(MID($B$7,A152+1,1))</f>
        <v>101</v>
      </c>
      <c r="D152" s="2" t="n">
        <f aca="false">IF(A152+$B$6&lt;LEN($B$7),CODE(MID($B$7,A152+$B$6+1,1)),"")</f>
        <v>111</v>
      </c>
      <c r="E152" s="2" t="n">
        <f aca="false">MOD($B$4*(E151-C151*$H$12)+D151,$B$5)</f>
        <v>90</v>
      </c>
      <c r="F152" s="2" t="str">
        <f aca="false">IF(E152=$H$11,"sí","")</f>
        <v/>
      </c>
      <c r="G152" s="2" t="str">
        <f aca="false">IF(F152="sí",IF(EXACT(B152,$B$8),"OCURRENCIA","COLISIÓN"),"")</f>
        <v/>
      </c>
      <c r="H152" s="2" t="n">
        <f aca="false">IF(F152&lt;&gt;"sí",0,IFERROR(MATCH(0,INDEX(--(MID(B152,ROW($A$1:$A$15),1)=MID($B$8,ROW($A$1:$A$15),1)),0),0),$B$6))</f>
        <v>0</v>
      </c>
    </row>
    <row r="153" customFormat="false" ht="15" hidden="false" customHeight="false" outlineLevel="0" collapsed="false">
      <c r="A153" s="2" t="n">
        <v>124</v>
      </c>
      <c r="B153" s="2" t="str">
        <f aca="false">MID($B$7,A153+1,$B$6)</f>
        <v>lds in educatio</v>
      </c>
      <c r="C153" s="2" t="n">
        <f aca="false">CODE(MID($B$7,A153+1,1))</f>
        <v>108</v>
      </c>
      <c r="D153" s="2" t="n">
        <f aca="false">IF(A153+$B$6&lt;LEN($B$7),CODE(MID($B$7,A153+$B$6+1,1)),"")</f>
        <v>110</v>
      </c>
      <c r="E153" s="2" t="n">
        <f aca="false">MOD($B$4*(E152-C152*$H$12)+D152,$B$5)</f>
        <v>69</v>
      </c>
      <c r="F153" s="2" t="str">
        <f aca="false">IF(E153=$H$11,"sí","")</f>
        <v/>
      </c>
      <c r="G153" s="2" t="str">
        <f aca="false">IF(F153="sí",IF(EXACT(B153,$B$8),"OCURRENCIA","COLISIÓN"),"")</f>
        <v/>
      </c>
      <c r="H153" s="2" t="n">
        <f aca="false">IF(F153&lt;&gt;"sí",0,IFERROR(MATCH(0,INDEX(--(MID(B153,ROW($A$1:$A$15),1)=MID($B$8,ROW($A$1:$A$15),1)),0),0),$B$6))</f>
        <v>0</v>
      </c>
    </row>
    <row r="154" customFormat="false" ht="15" hidden="false" customHeight="false" outlineLevel="0" collapsed="false">
      <c r="A154" s="2" t="n">
        <v>125</v>
      </c>
      <c r="B154" s="2" t="str">
        <f aca="false">MID($B$7,A154+1,$B$6)</f>
        <v>ds in education</v>
      </c>
      <c r="C154" s="2" t="n">
        <f aca="false">CODE(MID($B$7,A154+1,1))</f>
        <v>100</v>
      </c>
      <c r="D154" s="2" t="n">
        <f aca="false">IF(A154+$B$6&lt;LEN($B$7),CODE(MID($B$7,A154+$B$6+1,1)),"")</f>
        <v>97</v>
      </c>
      <c r="E154" s="2" t="n">
        <f aca="false">MOD($B$4*(E153-C153*$H$12)+D153,$B$5)</f>
        <v>34</v>
      </c>
      <c r="F154" s="2" t="str">
        <f aca="false">IF(E154=$H$11,"sí","")</f>
        <v/>
      </c>
      <c r="G154" s="2" t="str">
        <f aca="false">IF(F154="sí",IF(EXACT(B154,$B$8),"OCURRENCIA","COLISIÓN"),"")</f>
        <v/>
      </c>
      <c r="H154" s="2" t="n">
        <f aca="false">IF(F154&lt;&gt;"sí",0,IFERROR(MATCH(0,INDEX(--(MID(B154,ROW($A$1:$A$15),1)=MID($B$8,ROW($A$1:$A$15),1)),0),0),$B$6))</f>
        <v>0</v>
      </c>
    </row>
    <row r="155" customFormat="false" ht="15" hidden="false" customHeight="false" outlineLevel="0" collapsed="false">
      <c r="A155" s="2" t="n">
        <v>126</v>
      </c>
      <c r="B155" s="2" t="str">
        <f aca="false">MID($B$7,A155+1,$B$6)</f>
        <v>s in educationa</v>
      </c>
      <c r="C155" s="2" t="n">
        <f aca="false">CODE(MID($B$7,A155+1,1))</f>
        <v>115</v>
      </c>
      <c r="D155" s="2" t="n">
        <f aca="false">IF(A155+$B$6&lt;LEN($B$7),CODE(MID($B$7,A155+$B$6+1,1)),"")</f>
        <v>108</v>
      </c>
      <c r="E155" s="2" t="n">
        <f aca="false">MOD($B$4*(E154-C154*$H$12)+D154,$B$5)</f>
        <v>74</v>
      </c>
      <c r="F155" s="2" t="str">
        <f aca="false">IF(E155=$H$11,"sí","")</f>
        <v/>
      </c>
      <c r="G155" s="2" t="str">
        <f aca="false">IF(F155="sí",IF(EXACT(B155,$B$8),"OCURRENCIA","COLISIÓN"),"")</f>
        <v/>
      </c>
      <c r="H155" s="2" t="n">
        <f aca="false">IF(F155&lt;&gt;"sí",0,IFERROR(MATCH(0,INDEX(--(MID(B155,ROW($A$1:$A$15),1)=MID($B$8,ROW($A$1:$A$15),1)),0),0),$B$6))</f>
        <v>0</v>
      </c>
    </row>
    <row r="156" customFormat="false" ht="15" hidden="false" customHeight="false" outlineLevel="0" collapsed="false">
      <c r="A156" s="2" t="n">
        <v>127</v>
      </c>
      <c r="B156" s="2" t="str">
        <f aca="false">MID($B$7,A156+1,$B$6)</f>
        <v> in educational</v>
      </c>
      <c r="C156" s="2" t="n">
        <f aca="false">CODE(MID($B$7,A156+1,1))</f>
        <v>32</v>
      </c>
      <c r="D156" s="2" t="n">
        <f aca="false">IF(A156+$B$6&lt;LEN($B$7),CODE(MID($B$7,A156+$B$6+1,1)),"")</f>
        <v>32</v>
      </c>
      <c r="E156" s="2" t="n">
        <f aca="false">MOD($B$4*(E155-C155*$H$12)+D155,$B$5)</f>
        <v>58</v>
      </c>
      <c r="F156" s="2" t="str">
        <f aca="false">IF(E156=$H$11,"sí","")</f>
        <v/>
      </c>
      <c r="G156" s="2" t="str">
        <f aca="false">IF(F156="sí",IF(EXACT(B156,$B$8),"OCURRENCIA","COLISIÓN"),"")</f>
        <v/>
      </c>
      <c r="H156" s="2" t="n">
        <f aca="false">IF(F156&lt;&gt;"sí",0,IFERROR(MATCH(0,INDEX(--(MID(B156,ROW($A$1:$A$15),1)=MID($B$8,ROW($A$1:$A$15),1)),0),0),$B$6))</f>
        <v>0</v>
      </c>
    </row>
    <row r="157" customFormat="false" ht="15" hidden="false" customHeight="false" outlineLevel="0" collapsed="false">
      <c r="A157" s="2" t="n">
        <v>128</v>
      </c>
      <c r="B157" s="2" t="str">
        <f aca="false">MID($B$7,A157+1,$B$6)</f>
        <v>in educational </v>
      </c>
      <c r="C157" s="2" t="n">
        <f aca="false">CODE(MID($B$7,A157+1,1))</f>
        <v>105</v>
      </c>
      <c r="D157" s="2" t="n">
        <f aca="false">IF(A157+$B$6&lt;LEN($B$7),CODE(MID($B$7,A157+$B$6+1,1)),"")</f>
        <v>116</v>
      </c>
      <c r="E157" s="2" t="n">
        <f aca="false">MOD($B$4*(E156-C156*$H$12)+D156,$B$5)</f>
        <v>71</v>
      </c>
      <c r="F157" s="2" t="str">
        <f aca="false">IF(E157=$H$11,"sí","")</f>
        <v/>
      </c>
      <c r="G157" s="2" t="str">
        <f aca="false">IF(F157="sí",IF(EXACT(B157,$B$8),"OCURRENCIA","COLISIÓN"),"")</f>
        <v/>
      </c>
      <c r="H157" s="2" t="n">
        <f aca="false">IF(F157&lt;&gt;"sí",0,IFERROR(MATCH(0,INDEX(--(MID(B157,ROW($A$1:$A$15),1)=MID($B$8,ROW($A$1:$A$15),1)),0),0),$B$6))</f>
        <v>0</v>
      </c>
    </row>
    <row r="158" customFormat="false" ht="15" hidden="false" customHeight="false" outlineLevel="0" collapsed="false">
      <c r="A158" s="2" t="n">
        <v>129</v>
      </c>
      <c r="B158" s="2" t="str">
        <f aca="false">MID($B$7,A158+1,$B$6)</f>
        <v>n educational t</v>
      </c>
      <c r="C158" s="2" t="n">
        <f aca="false">CODE(MID($B$7,A158+1,1))</f>
        <v>110</v>
      </c>
      <c r="D158" s="2" t="n">
        <f aca="false">IF(A158+$B$6&lt;LEN($B$7),CODE(MID($B$7,A158+$B$6+1,1)),"")</f>
        <v>101</v>
      </c>
      <c r="E158" s="2" t="n">
        <f aca="false">MOD($B$4*(E157-C157*$H$12)+D157,$B$5)</f>
        <v>64</v>
      </c>
      <c r="F158" s="2" t="str">
        <f aca="false">IF(E158=$H$11,"sí","")</f>
        <v>sí</v>
      </c>
      <c r="G158" s="2" t="str">
        <f aca="false">IF(F158="sí",IF(EXACT(B158,$B$8),"OCURRENCIA","COLISIÓN"),"")</f>
        <v>COLISIÓN</v>
      </c>
      <c r="H158" s="2" t="n">
        <f aca="false">IF(F158&lt;&gt;"sí",0,IFERROR(MATCH(0,INDEX(--(MID(B158,ROW($A$1:$A$15),1)=MID($B$8,ROW($A$1:$A$15),1)),0),0),$B$6))</f>
        <v>1</v>
      </c>
    </row>
    <row r="159" customFormat="false" ht="15" hidden="false" customHeight="false" outlineLevel="0" collapsed="false">
      <c r="A159" s="2" t="n">
        <v>130</v>
      </c>
      <c r="B159" s="2" t="str">
        <f aca="false">MID($B$7,A159+1,$B$6)</f>
        <v> educational te</v>
      </c>
      <c r="C159" s="2" t="n">
        <f aca="false">CODE(MID($B$7,A159+1,1))</f>
        <v>32</v>
      </c>
      <c r="D159" s="2" t="n">
        <f aca="false">IF(A159+$B$6&lt;LEN($B$7),CODE(MID($B$7,A159+$B$6+1,1)),"")</f>
        <v>99</v>
      </c>
      <c r="E159" s="2" t="n">
        <f aca="false">MOD($B$4*(E158-C158*$H$12)+D158,$B$5)</f>
        <v>8</v>
      </c>
      <c r="F159" s="2" t="str">
        <f aca="false">IF(E159=$H$11,"sí","")</f>
        <v/>
      </c>
      <c r="G159" s="2" t="str">
        <f aca="false">IF(F159="sí",IF(EXACT(B159,$B$8),"OCURRENCIA","COLISIÓN"),"")</f>
        <v/>
      </c>
      <c r="H159" s="2" t="n">
        <f aca="false">IF(F159&lt;&gt;"sí",0,IFERROR(MATCH(0,INDEX(--(MID(B159,ROW($A$1:$A$15),1)=MID($B$8,ROW($A$1:$A$15),1)),0),0),$B$6))</f>
        <v>0</v>
      </c>
    </row>
    <row r="160" customFormat="false" ht="15" hidden="false" customHeight="false" outlineLevel="0" collapsed="false">
      <c r="A160" s="2" t="n">
        <v>131</v>
      </c>
      <c r="B160" s="2" t="str">
        <f aca="false">MID($B$7,A160+1,$B$6)</f>
        <v>educational tec</v>
      </c>
      <c r="C160" s="2" t="n">
        <f aca="false">CODE(MID($B$7,A160+1,1))</f>
        <v>101</v>
      </c>
      <c r="D160" s="2" t="n">
        <f aca="false">IF(A160+$B$6&lt;LEN($B$7),CODE(MID($B$7,A160+$B$6+1,1)),"")</f>
        <v>104</v>
      </c>
      <c r="E160" s="2" t="n">
        <f aca="false">MOD($B$4*(E159-C159*$H$12)+D159,$B$5)</f>
        <v>45</v>
      </c>
      <c r="F160" s="2" t="str">
        <f aca="false">IF(E160=$H$11,"sí","")</f>
        <v/>
      </c>
      <c r="G160" s="2" t="str">
        <f aca="false">IF(F160="sí",IF(EXACT(B160,$B$8),"OCURRENCIA","COLISIÓN"),"")</f>
        <v/>
      </c>
      <c r="H160" s="2" t="n">
        <f aca="false">IF(F160&lt;&gt;"sí",0,IFERROR(MATCH(0,INDEX(--(MID(B160,ROW($A$1:$A$15),1)=MID($B$8,ROW($A$1:$A$15),1)),0),0),$B$6))</f>
        <v>0</v>
      </c>
    </row>
    <row r="161" customFormat="false" ht="15" hidden="false" customHeight="false" outlineLevel="0" collapsed="false">
      <c r="A161" s="2" t="n">
        <v>132</v>
      </c>
      <c r="B161" s="2" t="str">
        <f aca="false">MID($B$7,A161+1,$B$6)</f>
        <v>ducational tech</v>
      </c>
      <c r="C161" s="2" t="n">
        <f aca="false">CODE(MID($B$7,A161+1,1))</f>
        <v>100</v>
      </c>
      <c r="D161" s="2" t="n">
        <f aca="false">IF(A161+$B$6&lt;LEN($B$7),CODE(MID($B$7,A161+$B$6+1,1)),"")</f>
        <v>110</v>
      </c>
      <c r="E161" s="2" t="n">
        <f aca="false">MOD($B$4*(E160-C160*$H$12)+D160,$B$5)</f>
        <v>85</v>
      </c>
      <c r="F161" s="2" t="str">
        <f aca="false">IF(E161=$H$11,"sí","")</f>
        <v/>
      </c>
      <c r="G161" s="2" t="str">
        <f aca="false">IF(F161="sí",IF(EXACT(B161,$B$8),"OCURRENCIA","COLISIÓN"),"")</f>
        <v/>
      </c>
      <c r="H161" s="2" t="n">
        <f aca="false">IF(F161&lt;&gt;"sí",0,IFERROR(MATCH(0,INDEX(--(MID(B161,ROW($A$1:$A$15),1)=MID($B$8,ROW($A$1:$A$15),1)),0),0),$B$6))</f>
        <v>0</v>
      </c>
    </row>
    <row r="162" customFormat="false" ht="15" hidden="false" customHeight="false" outlineLevel="0" collapsed="false">
      <c r="A162" s="2" t="n">
        <v>133</v>
      </c>
      <c r="B162" s="2" t="str">
        <f aca="false">MID($B$7,A162+1,$B$6)</f>
        <v>ucational techn</v>
      </c>
      <c r="C162" s="2" t="n">
        <f aca="false">CODE(MID($B$7,A162+1,1))</f>
        <v>117</v>
      </c>
      <c r="D162" s="2" t="n">
        <f aca="false">IF(A162+$B$6&lt;LEN($B$7),CODE(MID($B$7,A162+$B$6+1,1)),"")</f>
        <v>111</v>
      </c>
      <c r="E162" s="2" t="n">
        <f aca="false">MOD($B$4*(E161-C161*$H$12)+D161,$B$5)</f>
        <v>48</v>
      </c>
      <c r="F162" s="2" t="str">
        <f aca="false">IF(E162=$H$11,"sí","")</f>
        <v/>
      </c>
      <c r="G162" s="2" t="str">
        <f aca="false">IF(F162="sí",IF(EXACT(B162,$B$8),"OCURRENCIA","COLISIÓN"),"")</f>
        <v/>
      </c>
      <c r="H162" s="2" t="n">
        <f aca="false">IF(F162&lt;&gt;"sí",0,IFERROR(MATCH(0,INDEX(--(MID(B162,ROW($A$1:$A$15),1)=MID($B$8,ROW($A$1:$A$15),1)),0),0),$B$6))</f>
        <v>0</v>
      </c>
    </row>
    <row r="163" customFormat="false" ht="15" hidden="false" customHeight="false" outlineLevel="0" collapsed="false">
      <c r="A163" s="2" t="n">
        <v>134</v>
      </c>
      <c r="B163" s="2" t="str">
        <f aca="false">MID($B$7,A163+1,$B$6)</f>
        <v>cational techno</v>
      </c>
      <c r="C163" s="2" t="n">
        <f aca="false">CODE(MID($B$7,A163+1,1))</f>
        <v>99</v>
      </c>
      <c r="D163" s="2" t="n">
        <f aca="false">IF(A163+$B$6&lt;LEN($B$7),CODE(MID($B$7,A163+$B$6+1,1)),"")</f>
        <v>108</v>
      </c>
      <c r="E163" s="2" t="n">
        <f aca="false">MOD($B$4*(E162-C162*$H$12)+D162,$B$5)</f>
        <v>3</v>
      </c>
      <c r="F163" s="2" t="str">
        <f aca="false">IF(E163=$H$11,"sí","")</f>
        <v/>
      </c>
      <c r="G163" s="2" t="str">
        <f aca="false">IF(F163="sí",IF(EXACT(B163,$B$8),"OCURRENCIA","COLISIÓN"),"")</f>
        <v/>
      </c>
      <c r="H163" s="2" t="n">
        <f aca="false">IF(F163&lt;&gt;"sí",0,IFERROR(MATCH(0,INDEX(--(MID(B163,ROW($A$1:$A$15),1)=MID($B$8,ROW($A$1:$A$15),1)),0),0),$B$6))</f>
        <v>0</v>
      </c>
    </row>
    <row r="164" customFormat="false" ht="15" hidden="false" customHeight="false" outlineLevel="0" collapsed="false">
      <c r="A164" s="2" t="n">
        <v>135</v>
      </c>
      <c r="B164" s="2" t="str">
        <f aca="false">MID($B$7,A164+1,$B$6)</f>
        <v>ational technol</v>
      </c>
      <c r="C164" s="2" t="n">
        <f aca="false">CODE(MID($B$7,A164+1,1))</f>
        <v>97</v>
      </c>
      <c r="D164" s="2" t="n">
        <f aca="false">IF(A164+$B$6&lt;LEN($B$7),CODE(MID($B$7,A164+$B$6+1,1)),"")</f>
        <v>111</v>
      </c>
      <c r="E164" s="2" t="n">
        <f aca="false">MOD($B$4*(E163-C163*$H$12)+D163,$B$5)</f>
        <v>5</v>
      </c>
      <c r="F164" s="2" t="str">
        <f aca="false">IF(E164=$H$11,"sí","")</f>
        <v/>
      </c>
      <c r="G164" s="2" t="str">
        <f aca="false">IF(F164="sí",IF(EXACT(B164,$B$8),"OCURRENCIA","COLISIÓN"),"")</f>
        <v/>
      </c>
      <c r="H164" s="2" t="n">
        <f aca="false">IF(F164&lt;&gt;"sí",0,IFERROR(MATCH(0,INDEX(--(MID(B164,ROW($A$1:$A$15),1)=MID($B$8,ROW($A$1:$A$15),1)),0),0),$B$6))</f>
        <v>0</v>
      </c>
    </row>
    <row r="165" customFormat="false" ht="15" hidden="false" customHeight="false" outlineLevel="0" collapsed="false">
      <c r="A165" s="2" t="n">
        <v>136</v>
      </c>
      <c r="B165" s="2" t="str">
        <f aca="false">MID($B$7,A165+1,$B$6)</f>
        <v>tional technolo</v>
      </c>
      <c r="C165" s="2" t="n">
        <f aca="false">CODE(MID($B$7,A165+1,1))</f>
        <v>116</v>
      </c>
      <c r="D165" s="2" t="n">
        <f aca="false">IF(A165+$B$6&lt;LEN($B$7),CODE(MID($B$7,A165+$B$6+1,1)),"")</f>
        <v>103</v>
      </c>
      <c r="E165" s="2" t="n">
        <f aca="false">MOD($B$4*(E164-C164*$H$12)+D164,$B$5)</f>
        <v>33</v>
      </c>
      <c r="F165" s="2" t="str">
        <f aca="false">IF(E165=$H$11,"sí","")</f>
        <v/>
      </c>
      <c r="G165" s="2" t="str">
        <f aca="false">IF(F165="sí",IF(EXACT(B165,$B$8),"OCURRENCIA","COLISIÓN"),"")</f>
        <v/>
      </c>
      <c r="H165" s="2" t="n">
        <f aca="false">IF(F165&lt;&gt;"sí",0,IFERROR(MATCH(0,INDEX(--(MID(B165,ROW($A$1:$A$15),1)=MID($B$8,ROW($A$1:$A$15),1)),0),0),$B$6))</f>
        <v>0</v>
      </c>
    </row>
    <row r="166" customFormat="false" ht="15" hidden="false" customHeight="false" outlineLevel="0" collapsed="false">
      <c r="A166" s="2" t="n">
        <v>137</v>
      </c>
      <c r="B166" s="2" t="str">
        <f aca="false">MID($B$7,A166+1,$B$6)</f>
        <v>ional technolog</v>
      </c>
      <c r="C166" s="2" t="n">
        <f aca="false">CODE(MID($B$7,A166+1,1))</f>
        <v>105</v>
      </c>
      <c r="D166" s="2" t="n">
        <f aca="false">IF(A166+$B$6&lt;LEN($B$7),CODE(MID($B$7,A166+$B$6+1,1)),"")</f>
        <v>121</v>
      </c>
      <c r="E166" s="2" t="n">
        <f aca="false">MOD($B$4*(E165-C165*$H$12)+D165,$B$5)</f>
        <v>34</v>
      </c>
      <c r="F166" s="2" t="str">
        <f aca="false">IF(E166=$H$11,"sí","")</f>
        <v/>
      </c>
      <c r="G166" s="2" t="str">
        <f aca="false">IF(F166="sí",IF(EXACT(B166,$B$8),"OCURRENCIA","COLISIÓN"),"")</f>
        <v/>
      </c>
      <c r="H166" s="2" t="n">
        <f aca="false">IF(F166&lt;&gt;"sí",0,IFERROR(MATCH(0,INDEX(--(MID(B166,ROW($A$1:$A$15),1)=MID($B$8,ROW($A$1:$A$15),1)),0),0),$B$6))</f>
        <v>0</v>
      </c>
    </row>
    <row r="167" customFormat="false" ht="15" hidden="false" customHeight="false" outlineLevel="0" collapsed="false">
      <c r="A167" s="2" t="n">
        <v>138</v>
      </c>
      <c r="B167" s="2" t="str">
        <f aca="false">MID($B$7,A167+1,$B$6)</f>
        <v>onal technology</v>
      </c>
      <c r="C167" s="2" t="n">
        <f aca="false">CODE(MID($B$7,A167+1,1))</f>
        <v>111</v>
      </c>
      <c r="D167" s="2" t="n">
        <f aca="false">IF(A167+$B$6&lt;LEN($B$7),CODE(MID($B$7,A167+$B$6+1,1)),"")</f>
        <v>46</v>
      </c>
      <c r="E167" s="2" t="n">
        <f aca="false">MOD($B$4*(E166-C166*$H$12)+D166,$B$5)</f>
        <v>6</v>
      </c>
      <c r="F167" s="2" t="str">
        <f aca="false">IF(E167=$H$11,"sí","")</f>
        <v/>
      </c>
      <c r="G167" s="2" t="str">
        <f aca="false">IF(F167="sí",IF(EXACT(B167,$B$8),"OCURRENCIA","COLISIÓN"),"")</f>
        <v/>
      </c>
      <c r="H167" s="2" t="n">
        <f aca="false">IF(F167&lt;&gt;"sí",0,IFERROR(MATCH(0,INDEX(--(MID(B167,ROW($A$1:$A$15),1)=MID($B$8,ROW($A$1:$A$15),1)),0),0),$B$6))</f>
        <v>0</v>
      </c>
    </row>
    <row r="168" customFormat="false" ht="15" hidden="false" customHeight="false" outlineLevel="0" collapsed="false">
      <c r="A168" s="2" t="n">
        <v>139</v>
      </c>
      <c r="B168" s="2" t="str">
        <f aca="false">MID($B$7,A168+1,$B$6)</f>
        <v>nal technology.</v>
      </c>
      <c r="C168" s="2" t="n">
        <f aca="false">CODE(MID($B$7,A168+1,1))</f>
        <v>110</v>
      </c>
      <c r="D168" s="2" t="str">
        <f aca="false">IF(A168+$B$6&lt;LEN($B$7),CODE(MID($B$7,A168+$B$6+1,1)),"")</f>
        <v/>
      </c>
      <c r="E168" s="2" t="n">
        <f aca="false">MOD($B$4*(E167-C167*$H$12)+D167,$B$5)</f>
        <v>44</v>
      </c>
      <c r="F168" s="2" t="str">
        <f aca="false">IF(E168=$H$11,"sí","")</f>
        <v/>
      </c>
      <c r="G168" s="2" t="str">
        <f aca="false">IF(F168="sí",IF(EXACT(B168,$B$8),"OCURRENCIA","COLISIÓN"),"")</f>
        <v/>
      </c>
      <c r="H168" s="2" t="n">
        <f aca="false">IF(F168&lt;&gt;"sí",0,IFERROR(MATCH(0,INDEX(--(MID(B168,ROW($A$1:$A$15),1)=MID($B$8,ROW($A$1:$A$15),1)),0),0),$B$6))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0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1" min="9" style="0" width="14"/>
  </cols>
  <sheetData>
    <row r="1" customFormat="false" ht="16.15" hidden="false" customHeight="false" outlineLevel="0" collapsed="false">
      <c r="A1" s="9" t="s">
        <v>577</v>
      </c>
    </row>
    <row r="2" customFormat="false" ht="15" hidden="false" customHeight="false" outlineLevel="0" collapsed="false">
      <c r="A2" s="10" t="s">
        <v>578</v>
      </c>
    </row>
    <row r="4" customFormat="false" ht="35.05" hidden="false" customHeight="false" outlineLevel="0" collapsed="false">
      <c r="A4" s="7" t="s">
        <v>579</v>
      </c>
      <c r="B4" s="7" t="s">
        <v>495</v>
      </c>
      <c r="C4" s="7" t="s">
        <v>580</v>
      </c>
      <c r="D4" s="7" t="s">
        <v>548</v>
      </c>
      <c r="E4" s="7" t="s">
        <v>581</v>
      </c>
      <c r="F4" s="7" t="s">
        <v>582</v>
      </c>
      <c r="G4" s="7" t="s">
        <v>583</v>
      </c>
      <c r="H4" s="7" t="s">
        <v>584</v>
      </c>
      <c r="I4" s="7" t="s">
        <v>585</v>
      </c>
      <c r="J4" s="7" t="s">
        <v>586</v>
      </c>
      <c r="K4" s="7" t="s">
        <v>587</v>
      </c>
    </row>
    <row r="5" customFormat="false" ht="15" hidden="false" customHeight="false" outlineLevel="0" collapsed="false">
      <c r="A5" s="4" t="n">
        <v>1</v>
      </c>
      <c r="B5" s="4" t="n">
        <v>28268</v>
      </c>
      <c r="C5" s="4" t="s">
        <v>61</v>
      </c>
      <c r="D5" s="4" t="n">
        <v>2</v>
      </c>
      <c r="E5" s="4" t="s">
        <v>588</v>
      </c>
      <c r="F5" s="4" t="n">
        <v>170</v>
      </c>
      <c r="G5" s="26" t="n">
        <v>0.00185</v>
      </c>
      <c r="H5" s="26" t="n">
        <v>0.18088</v>
      </c>
      <c r="I5" s="4" t="n">
        <v>30139</v>
      </c>
      <c r="J5" s="27" t="n">
        <f aca="false">I5/B5</f>
        <v>1.06618791566436</v>
      </c>
      <c r="K5" s="28" t="n">
        <f aca="false">G5/(G5+H5)</f>
        <v>0.010124227001587</v>
      </c>
    </row>
    <row r="6" customFormat="false" ht="15" hidden="false" customHeight="false" outlineLevel="0" collapsed="false">
      <c r="A6" s="4" t="n">
        <v>1</v>
      </c>
      <c r="B6" s="4" t="n">
        <v>28268</v>
      </c>
      <c r="C6" s="4" t="s">
        <v>61</v>
      </c>
      <c r="D6" s="4" t="n">
        <v>2</v>
      </c>
      <c r="E6" s="4" t="s">
        <v>589</v>
      </c>
      <c r="F6" s="4" t="n">
        <v>170</v>
      </c>
      <c r="G6" s="26" t="n">
        <v>0.00565</v>
      </c>
      <c r="H6" s="26" t="n">
        <v>0.20033</v>
      </c>
      <c r="I6" s="4" t="n">
        <v>15745</v>
      </c>
      <c r="J6" s="27" t="n">
        <f aca="false">I6/B6</f>
        <v>0.556990236309608</v>
      </c>
      <c r="K6" s="28" t="n">
        <f aca="false">G6/(G6+H6)</f>
        <v>0.0274298475580153</v>
      </c>
    </row>
    <row r="7" customFormat="false" ht="15" hidden="false" customHeight="false" outlineLevel="0" collapsed="false">
      <c r="A7" s="4" t="n">
        <v>1</v>
      </c>
      <c r="B7" s="4" t="n">
        <v>28268</v>
      </c>
      <c r="C7" s="4" t="s">
        <v>61</v>
      </c>
      <c r="D7" s="4" t="n">
        <v>2</v>
      </c>
      <c r="E7" s="4" t="s">
        <v>590</v>
      </c>
      <c r="F7" s="4" t="n">
        <v>170</v>
      </c>
      <c r="G7" s="26" t="n">
        <v>0.0014</v>
      </c>
      <c r="H7" s="26" t="n">
        <v>0.31677</v>
      </c>
      <c r="I7" s="4" t="n">
        <v>28607</v>
      </c>
      <c r="J7" s="27" t="n">
        <f aca="false">I7/B7</f>
        <v>1.011992358851</v>
      </c>
      <c r="K7" s="28" t="n">
        <f aca="false">G7/(G7+H7)</f>
        <v>0.00440016343464186</v>
      </c>
    </row>
    <row r="8" customFormat="false" ht="15" hidden="false" customHeight="false" outlineLevel="0" collapsed="false">
      <c r="A8" s="4" t="n">
        <v>1</v>
      </c>
      <c r="B8" s="4" t="n">
        <v>28268</v>
      </c>
      <c r="C8" s="4" t="s">
        <v>591</v>
      </c>
      <c r="D8" s="4" t="n">
        <v>4</v>
      </c>
      <c r="E8" s="4" t="s">
        <v>588</v>
      </c>
      <c r="F8" s="4" t="n">
        <v>8</v>
      </c>
      <c r="G8" s="26" t="n">
        <v>0.00071</v>
      </c>
      <c r="H8" s="26" t="n">
        <v>0.07499</v>
      </c>
      <c r="I8" s="4" t="n">
        <v>29268</v>
      </c>
      <c r="J8" s="27" t="n">
        <f aca="false">I8/B8</f>
        <v>1.03537568982595</v>
      </c>
      <c r="K8" s="28" t="n">
        <f aca="false">G8/(G8+H8)</f>
        <v>0.00937912813738441</v>
      </c>
    </row>
    <row r="9" customFormat="false" ht="15" hidden="false" customHeight="false" outlineLevel="0" collapsed="false">
      <c r="A9" s="4" t="n">
        <v>1</v>
      </c>
      <c r="B9" s="4" t="n">
        <v>28268</v>
      </c>
      <c r="C9" s="4" t="s">
        <v>591</v>
      </c>
      <c r="D9" s="4" t="n">
        <v>4</v>
      </c>
      <c r="E9" s="4" t="s">
        <v>589</v>
      </c>
      <c r="F9" s="4" t="n">
        <v>8</v>
      </c>
      <c r="G9" s="26" t="n">
        <v>0.00236</v>
      </c>
      <c r="H9" s="26" t="n">
        <v>0.05084</v>
      </c>
      <c r="I9" s="4" t="n">
        <v>8210</v>
      </c>
      <c r="J9" s="27" t="n">
        <f aca="false">I9/B9</f>
        <v>0.290434413471063</v>
      </c>
      <c r="K9" s="28" t="n">
        <f aca="false">G9/(G9+H9)</f>
        <v>0.0443609022556391</v>
      </c>
    </row>
    <row r="10" customFormat="false" ht="15" hidden="false" customHeight="false" outlineLevel="0" collapsed="false">
      <c r="A10" s="4" t="n">
        <v>1</v>
      </c>
      <c r="B10" s="4" t="n">
        <v>28268</v>
      </c>
      <c r="C10" s="4" t="s">
        <v>591</v>
      </c>
      <c r="D10" s="4" t="n">
        <v>4</v>
      </c>
      <c r="E10" s="4" t="s">
        <v>590</v>
      </c>
      <c r="F10" s="4" t="n">
        <v>8</v>
      </c>
      <c r="G10" s="26" t="n">
        <v>0.0008</v>
      </c>
      <c r="H10" s="26" t="n">
        <v>0.40149</v>
      </c>
      <c r="I10" s="4" t="n">
        <v>28297</v>
      </c>
      <c r="J10" s="27" t="n">
        <f aca="false">I10/B10</f>
        <v>1.00102589500495</v>
      </c>
      <c r="K10" s="28" t="n">
        <f aca="false">G10/(G10+H10)</f>
        <v>0.00198861517810535</v>
      </c>
    </row>
    <row r="11" customFormat="false" ht="15" hidden="false" customHeight="false" outlineLevel="0" collapsed="false">
      <c r="A11" s="4" t="n">
        <v>1</v>
      </c>
      <c r="B11" s="4" t="n">
        <v>28268</v>
      </c>
      <c r="C11" s="4" t="s">
        <v>187</v>
      </c>
      <c r="D11" s="4" t="n">
        <v>8</v>
      </c>
      <c r="E11" s="4" t="s">
        <v>588</v>
      </c>
      <c r="F11" s="4" t="n">
        <v>40</v>
      </c>
      <c r="G11" s="26" t="n">
        <v>0.00066</v>
      </c>
      <c r="H11" s="26" t="n">
        <v>0.08733</v>
      </c>
      <c r="I11" s="4" t="n">
        <v>29201</v>
      </c>
      <c r="J11" s="27" t="n">
        <f aca="false">I11/B11</f>
        <v>1.03300551860761</v>
      </c>
      <c r="K11" s="28" t="n">
        <f aca="false">G11/(G11+H11)</f>
        <v>0.00750085236958745</v>
      </c>
    </row>
    <row r="12" customFormat="false" ht="15" hidden="false" customHeight="false" outlineLevel="0" collapsed="false">
      <c r="A12" s="4" t="n">
        <v>1</v>
      </c>
      <c r="B12" s="4" t="n">
        <v>28268</v>
      </c>
      <c r="C12" s="4" t="s">
        <v>187</v>
      </c>
      <c r="D12" s="4" t="n">
        <v>8</v>
      </c>
      <c r="E12" s="4" t="s">
        <v>589</v>
      </c>
      <c r="F12" s="4" t="n">
        <v>40</v>
      </c>
      <c r="G12" s="26" t="n">
        <v>0.00234</v>
      </c>
      <c r="H12" s="26" t="n">
        <v>0.03272</v>
      </c>
      <c r="I12" s="4" t="n">
        <v>4995</v>
      </c>
      <c r="J12" s="27" t="n">
        <f aca="false">I12/B12</f>
        <v>0.176701570680628</v>
      </c>
      <c r="K12" s="28" t="n">
        <f aca="false">G12/(G12+H12)</f>
        <v>0.0667427267541358</v>
      </c>
    </row>
    <row r="13" customFormat="false" ht="15" hidden="false" customHeight="false" outlineLevel="0" collapsed="false">
      <c r="A13" s="4" t="n">
        <v>1</v>
      </c>
      <c r="B13" s="4" t="n">
        <v>28268</v>
      </c>
      <c r="C13" s="4" t="s">
        <v>187</v>
      </c>
      <c r="D13" s="4" t="n">
        <v>8</v>
      </c>
      <c r="E13" s="4" t="s">
        <v>590</v>
      </c>
      <c r="F13" s="4" t="n">
        <v>40</v>
      </c>
      <c r="G13" s="26" t="n">
        <v>0.00055</v>
      </c>
      <c r="H13" s="26" t="n">
        <v>0.31504</v>
      </c>
      <c r="I13" s="4" t="n">
        <v>28581</v>
      </c>
      <c r="J13" s="27" t="n">
        <f aca="false">I13/B13</f>
        <v>1.01107259091552</v>
      </c>
      <c r="K13" s="28" t="n">
        <f aca="false">G13/(G13+H13)</f>
        <v>0.00174276751481352</v>
      </c>
    </row>
    <row r="14" customFormat="false" ht="15" hidden="false" customHeight="false" outlineLevel="0" collapsed="false">
      <c r="A14" s="4" t="n">
        <v>1</v>
      </c>
      <c r="B14" s="4" t="n">
        <v>28268</v>
      </c>
      <c r="C14" s="4" t="s">
        <v>89</v>
      </c>
      <c r="D14" s="4" t="n">
        <v>10</v>
      </c>
      <c r="E14" s="4" t="s">
        <v>588</v>
      </c>
      <c r="F14" s="4" t="n">
        <v>37</v>
      </c>
      <c r="G14" s="26" t="n">
        <v>0.00038</v>
      </c>
      <c r="H14" s="26" t="n">
        <v>0.07935</v>
      </c>
      <c r="I14" s="4" t="n">
        <v>30272</v>
      </c>
      <c r="J14" s="27" t="n">
        <f aca="false">I14/B14</f>
        <v>1.07089288241121</v>
      </c>
      <c r="K14" s="28" t="n">
        <f aca="false">G14/(G14+H14)</f>
        <v>0.00476608553869309</v>
      </c>
    </row>
    <row r="15" customFormat="false" ht="15" hidden="false" customHeight="false" outlineLevel="0" collapsed="false">
      <c r="A15" s="4" t="n">
        <v>1</v>
      </c>
      <c r="B15" s="4" t="n">
        <v>28268</v>
      </c>
      <c r="C15" s="4" t="s">
        <v>89</v>
      </c>
      <c r="D15" s="4" t="n">
        <v>10</v>
      </c>
      <c r="E15" s="4" t="s">
        <v>589</v>
      </c>
      <c r="F15" s="4" t="n">
        <v>37</v>
      </c>
      <c r="G15" s="26" t="n">
        <v>0.00083</v>
      </c>
      <c r="H15" s="26" t="n">
        <v>0.02412</v>
      </c>
      <c r="I15" s="4" t="n">
        <v>4227</v>
      </c>
      <c r="J15" s="27" t="n">
        <f aca="false">I15/B15</f>
        <v>0.149533040894297</v>
      </c>
      <c r="K15" s="28" t="n">
        <f aca="false">G15/(G15+H15)</f>
        <v>0.0332665330661323</v>
      </c>
    </row>
    <row r="16" customFormat="false" ht="15" hidden="false" customHeight="false" outlineLevel="0" collapsed="false">
      <c r="A16" s="4" t="n">
        <v>1</v>
      </c>
      <c r="B16" s="4" t="n">
        <v>28268</v>
      </c>
      <c r="C16" s="4" t="s">
        <v>89</v>
      </c>
      <c r="D16" s="4" t="n">
        <v>10</v>
      </c>
      <c r="E16" s="4" t="s">
        <v>590</v>
      </c>
      <c r="F16" s="4" t="n">
        <v>37</v>
      </c>
      <c r="G16" s="26" t="n">
        <v>0.00075</v>
      </c>
      <c r="H16" s="26" t="n">
        <v>0.33846</v>
      </c>
      <c r="I16" s="4" t="n">
        <v>28629</v>
      </c>
      <c r="J16" s="27" t="n">
        <f aca="false">I16/B16</f>
        <v>1.01277062402717</v>
      </c>
      <c r="K16" s="28" t="n">
        <f aca="false">G16/(G16+H16)</f>
        <v>0.00221101972229592</v>
      </c>
    </row>
    <row r="17" customFormat="false" ht="15" hidden="false" customHeight="false" outlineLevel="0" collapsed="false">
      <c r="A17" s="4" t="n">
        <v>1</v>
      </c>
      <c r="B17" s="4" t="n">
        <v>28268</v>
      </c>
      <c r="C17" s="4" t="s">
        <v>592</v>
      </c>
      <c r="D17" s="4" t="n">
        <v>34</v>
      </c>
      <c r="E17" s="4" t="s">
        <v>588</v>
      </c>
      <c r="F17" s="4" t="n">
        <v>5</v>
      </c>
      <c r="G17" s="26" t="n">
        <v>0.00058</v>
      </c>
      <c r="H17" s="26" t="n">
        <v>0.07701</v>
      </c>
      <c r="I17" s="4" t="n">
        <v>28812</v>
      </c>
      <c r="J17" s="27" t="n">
        <f aca="false">I17/B17</f>
        <v>1.01924437526532</v>
      </c>
      <c r="K17" s="28" t="n">
        <f aca="false">G17/(G17+H17)</f>
        <v>0.00747519010181725</v>
      </c>
    </row>
    <row r="18" customFormat="false" ht="15" hidden="false" customHeight="false" outlineLevel="0" collapsed="false">
      <c r="A18" s="4" t="n">
        <v>1</v>
      </c>
      <c r="B18" s="4" t="n">
        <v>28268</v>
      </c>
      <c r="C18" s="4" t="s">
        <v>592</v>
      </c>
      <c r="D18" s="4" t="n">
        <v>34</v>
      </c>
      <c r="E18" s="4" t="s">
        <v>589</v>
      </c>
      <c r="F18" s="4" t="n">
        <v>5</v>
      </c>
      <c r="G18" s="26" t="n">
        <v>0.0013</v>
      </c>
      <c r="H18" s="26" t="n">
        <v>0.01134</v>
      </c>
      <c r="I18" s="4" t="n">
        <v>2110</v>
      </c>
      <c r="J18" s="27" t="n">
        <f aca="false">I18/B18</f>
        <v>0.0746427055327579</v>
      </c>
      <c r="K18" s="28" t="n">
        <f aca="false">G18/(G18+H18)</f>
        <v>0.102848101265823</v>
      </c>
    </row>
    <row r="19" customFormat="false" ht="15" hidden="false" customHeight="false" outlineLevel="0" collapsed="false">
      <c r="A19" s="4" t="n">
        <v>1</v>
      </c>
      <c r="B19" s="4" t="n">
        <v>28268</v>
      </c>
      <c r="C19" s="4" t="s">
        <v>592</v>
      </c>
      <c r="D19" s="4" t="n">
        <v>34</v>
      </c>
      <c r="E19" s="4" t="s">
        <v>590</v>
      </c>
      <c r="F19" s="4" t="n">
        <v>5</v>
      </c>
      <c r="G19" s="26" t="n">
        <v>0.00139</v>
      </c>
      <c r="H19" s="26" t="n">
        <v>0.30336</v>
      </c>
      <c r="I19" s="4" t="n">
        <v>28405</v>
      </c>
      <c r="J19" s="27" t="n">
        <f aca="false">I19/B19</f>
        <v>1.00484646950616</v>
      </c>
      <c r="K19" s="28" t="n">
        <f aca="false">G19/(G19+H19)</f>
        <v>0.0045611156685808</v>
      </c>
    </row>
    <row r="20" customFormat="false" ht="15" hidden="false" customHeight="false" outlineLevel="0" collapsed="false">
      <c r="A20" s="4" t="n">
        <v>1</v>
      </c>
      <c r="B20" s="4" t="n">
        <v>28268</v>
      </c>
      <c r="C20" s="4" t="s">
        <v>593</v>
      </c>
      <c r="D20" s="4" t="n">
        <v>36</v>
      </c>
      <c r="E20" s="4" t="s">
        <v>588</v>
      </c>
      <c r="F20" s="4" t="n">
        <v>6</v>
      </c>
      <c r="G20" s="26" t="n">
        <v>0.00187</v>
      </c>
      <c r="H20" s="26" t="n">
        <v>0.10778</v>
      </c>
      <c r="I20" s="4" t="n">
        <v>30275</v>
      </c>
      <c r="J20" s="27" t="n">
        <f aca="false">I20/B20</f>
        <v>1.07099900948069</v>
      </c>
      <c r="K20" s="28" t="n">
        <f aca="false">G20/(G20+H20)</f>
        <v>0.0170542635658915</v>
      </c>
    </row>
    <row r="21" customFormat="false" ht="15" hidden="false" customHeight="false" outlineLevel="0" collapsed="false">
      <c r="A21" s="4" t="n">
        <v>1</v>
      </c>
      <c r="B21" s="4" t="n">
        <v>28268</v>
      </c>
      <c r="C21" s="4" t="s">
        <v>593</v>
      </c>
      <c r="D21" s="4" t="n">
        <v>36</v>
      </c>
      <c r="E21" s="4" t="s">
        <v>589</v>
      </c>
      <c r="F21" s="4" t="n">
        <v>6</v>
      </c>
      <c r="G21" s="26" t="n">
        <v>0.00123</v>
      </c>
      <c r="H21" s="26" t="n">
        <v>0.01813</v>
      </c>
      <c r="I21" s="4" t="n">
        <v>2642</v>
      </c>
      <c r="J21" s="27" t="n">
        <f aca="false">I21/B21</f>
        <v>0.0934625725201641</v>
      </c>
      <c r="K21" s="28" t="n">
        <f aca="false">G21/(G21+H21)</f>
        <v>0.0635330578512397</v>
      </c>
    </row>
    <row r="22" customFormat="false" ht="15" hidden="false" customHeight="false" outlineLevel="0" collapsed="false">
      <c r="A22" s="4" t="n">
        <v>1</v>
      </c>
      <c r="B22" s="4" t="n">
        <v>28268</v>
      </c>
      <c r="C22" s="4" t="s">
        <v>593</v>
      </c>
      <c r="D22" s="4" t="n">
        <v>36</v>
      </c>
      <c r="E22" s="4" t="s">
        <v>590</v>
      </c>
      <c r="F22" s="4" t="n">
        <v>6</v>
      </c>
      <c r="G22" s="26" t="n">
        <v>0.00112</v>
      </c>
      <c r="H22" s="26" t="n">
        <v>0.32265</v>
      </c>
      <c r="I22" s="4" t="n">
        <v>28449</v>
      </c>
      <c r="J22" s="27" t="n">
        <f aca="false">I22/B22</f>
        <v>1.0064029998585</v>
      </c>
      <c r="K22" s="28" t="n">
        <f aca="false">G22/(G22+H22)</f>
        <v>0.00345924576087964</v>
      </c>
    </row>
    <row r="23" customFormat="false" ht="15" hidden="false" customHeight="false" outlineLevel="0" collapsed="false">
      <c r="A23" s="4" t="n">
        <v>1</v>
      </c>
      <c r="B23" s="4" t="n">
        <v>28268</v>
      </c>
      <c r="C23" s="4" t="s">
        <v>594</v>
      </c>
      <c r="D23" s="4" t="n">
        <v>45</v>
      </c>
      <c r="E23" s="4" t="s">
        <v>588</v>
      </c>
      <c r="F23" s="4" t="n">
        <v>0</v>
      </c>
      <c r="G23" s="26" t="n">
        <v>0.00048</v>
      </c>
      <c r="H23" s="26" t="n">
        <v>0.09031</v>
      </c>
      <c r="I23" s="4" t="n">
        <v>29966</v>
      </c>
      <c r="J23" s="27" t="n">
        <f aca="false">I23/B23</f>
        <v>1.06006792132447</v>
      </c>
      <c r="K23" s="28" t="n">
        <f aca="false">G23/(G23+H23)</f>
        <v>0.00528692587289349</v>
      </c>
    </row>
    <row r="24" customFormat="false" ht="15" hidden="false" customHeight="false" outlineLevel="0" collapsed="false">
      <c r="A24" s="4" t="n">
        <v>1</v>
      </c>
      <c r="B24" s="4" t="n">
        <v>28268</v>
      </c>
      <c r="C24" s="4" t="s">
        <v>594</v>
      </c>
      <c r="D24" s="4" t="n">
        <v>45</v>
      </c>
      <c r="E24" s="4" t="s">
        <v>589</v>
      </c>
      <c r="F24" s="4" t="n">
        <v>0</v>
      </c>
      <c r="G24" s="26" t="n">
        <v>0.00107</v>
      </c>
      <c r="H24" s="26" t="n">
        <v>0.01349</v>
      </c>
      <c r="I24" s="4" t="n">
        <v>1615</v>
      </c>
      <c r="J24" s="27" t="n">
        <f aca="false">I24/B24</f>
        <v>0.0571317390689118</v>
      </c>
      <c r="K24" s="28" t="n">
        <f aca="false">G24/(G24+H24)</f>
        <v>0.073489010989011</v>
      </c>
    </row>
    <row r="25" customFormat="false" ht="15" hidden="false" customHeight="false" outlineLevel="0" collapsed="false">
      <c r="A25" s="4" t="n">
        <v>1</v>
      </c>
      <c r="B25" s="4" t="n">
        <v>28268</v>
      </c>
      <c r="C25" s="4" t="s">
        <v>594</v>
      </c>
      <c r="D25" s="4" t="n">
        <v>45</v>
      </c>
      <c r="E25" s="4" t="s">
        <v>590</v>
      </c>
      <c r="F25" s="4" t="n">
        <v>0</v>
      </c>
      <c r="G25" s="26" t="n">
        <v>0.00143</v>
      </c>
      <c r="H25" s="26" t="n">
        <v>0.33406</v>
      </c>
      <c r="I25" s="4" t="n">
        <v>28224</v>
      </c>
      <c r="J25" s="27" t="n">
        <f aca="false">I25/B25</f>
        <v>0.998443469647658</v>
      </c>
      <c r="K25" s="28" t="n">
        <f aca="false">G25/(G25+H25)</f>
        <v>0.00426242212882649</v>
      </c>
    </row>
    <row r="26" customFormat="false" ht="15" hidden="false" customHeight="false" outlineLevel="0" collapsed="false">
      <c r="A26" s="4" t="n">
        <v>10</v>
      </c>
      <c r="B26" s="4" t="n">
        <v>282680</v>
      </c>
      <c r="C26" s="4" t="s">
        <v>61</v>
      </c>
      <c r="D26" s="4" t="n">
        <v>2</v>
      </c>
      <c r="E26" s="4" t="s">
        <v>588</v>
      </c>
      <c r="F26" s="4" t="n">
        <v>1700</v>
      </c>
      <c r="G26" s="26" t="n">
        <v>0.00079</v>
      </c>
      <c r="H26" s="26" t="n">
        <v>0.94671</v>
      </c>
      <c r="I26" s="4" t="n">
        <v>301390</v>
      </c>
      <c r="J26" s="27" t="n">
        <f aca="false">I26/B26</f>
        <v>1.06618791566436</v>
      </c>
      <c r="K26" s="28" t="n">
        <f aca="false">G26/(G26+H26)</f>
        <v>0.00083377308707124</v>
      </c>
    </row>
    <row r="27" customFormat="false" ht="15" hidden="false" customHeight="false" outlineLevel="0" collapsed="false">
      <c r="A27" s="4" t="n">
        <v>10</v>
      </c>
      <c r="B27" s="4" t="n">
        <v>282680</v>
      </c>
      <c r="C27" s="4" t="s">
        <v>61</v>
      </c>
      <c r="D27" s="4" t="n">
        <v>2</v>
      </c>
      <c r="E27" s="4" t="s">
        <v>589</v>
      </c>
      <c r="F27" s="4" t="n">
        <v>1700</v>
      </c>
      <c r="G27" s="26" t="n">
        <v>0.00085</v>
      </c>
      <c r="H27" s="26" t="n">
        <v>1.00541</v>
      </c>
      <c r="I27" s="4" t="n">
        <v>157450</v>
      </c>
      <c r="J27" s="27" t="n">
        <f aca="false">I27/B27</f>
        <v>0.556990236309608</v>
      </c>
      <c r="K27" s="28" t="n">
        <f aca="false">G27/(G27+H27)</f>
        <v>0.000844712102239978</v>
      </c>
    </row>
    <row r="28" customFormat="false" ht="15" hidden="false" customHeight="false" outlineLevel="0" collapsed="false">
      <c r="A28" s="4" t="n">
        <v>10</v>
      </c>
      <c r="B28" s="4" t="n">
        <v>282680</v>
      </c>
      <c r="C28" s="4" t="s">
        <v>61</v>
      </c>
      <c r="D28" s="4" t="n">
        <v>2</v>
      </c>
      <c r="E28" s="4" t="s">
        <v>590</v>
      </c>
      <c r="F28" s="4" t="n">
        <v>1700</v>
      </c>
      <c r="G28" s="26" t="n">
        <v>0.00064</v>
      </c>
      <c r="H28" s="26" t="n">
        <v>2.98278</v>
      </c>
      <c r="I28" s="4" t="n">
        <v>286079</v>
      </c>
      <c r="J28" s="27" t="n">
        <f aca="false">I28/B28</f>
        <v>1.01202419697184</v>
      </c>
      <c r="K28" s="28" t="n">
        <f aca="false">G28/(G28+H28)</f>
        <v>0.000214518907830611</v>
      </c>
    </row>
    <row r="29" customFormat="false" ht="15" hidden="false" customHeight="false" outlineLevel="0" collapsed="false">
      <c r="A29" s="4" t="n">
        <v>10</v>
      </c>
      <c r="B29" s="4" t="n">
        <v>282680</v>
      </c>
      <c r="C29" s="4" t="s">
        <v>591</v>
      </c>
      <c r="D29" s="4" t="n">
        <v>4</v>
      </c>
      <c r="E29" s="4" t="s">
        <v>588</v>
      </c>
      <c r="F29" s="4" t="n">
        <v>80</v>
      </c>
      <c r="G29" s="26" t="n">
        <v>0.00047</v>
      </c>
      <c r="H29" s="26" t="n">
        <v>0.86045</v>
      </c>
      <c r="I29" s="4" t="n">
        <v>292680</v>
      </c>
      <c r="J29" s="27" t="n">
        <f aca="false">I29/B29</f>
        <v>1.03537568982595</v>
      </c>
      <c r="K29" s="28" t="n">
        <f aca="false">G29/(G29+H29)</f>
        <v>0.000545927612321702</v>
      </c>
    </row>
    <row r="30" customFormat="false" ht="15" hidden="false" customHeight="false" outlineLevel="0" collapsed="false">
      <c r="A30" s="4" t="n">
        <v>10</v>
      </c>
      <c r="B30" s="4" t="n">
        <v>282680</v>
      </c>
      <c r="C30" s="4" t="s">
        <v>591</v>
      </c>
      <c r="D30" s="4" t="n">
        <v>4</v>
      </c>
      <c r="E30" s="4" t="s">
        <v>589</v>
      </c>
      <c r="F30" s="4" t="n">
        <v>80</v>
      </c>
      <c r="G30" s="26" t="n">
        <v>0.00075</v>
      </c>
      <c r="H30" s="26" t="n">
        <v>0.51855</v>
      </c>
      <c r="I30" s="4" t="n">
        <v>82109</v>
      </c>
      <c r="J30" s="27" t="n">
        <f aca="false">I30/B30</f>
        <v>0.290466251591906</v>
      </c>
      <c r="K30" s="28" t="n">
        <f aca="false">G30/(G30+H30)</f>
        <v>0.00144425187752744</v>
      </c>
    </row>
    <row r="31" customFormat="false" ht="15" hidden="false" customHeight="false" outlineLevel="0" collapsed="false">
      <c r="A31" s="4" t="n">
        <v>10</v>
      </c>
      <c r="B31" s="4" t="n">
        <v>282680</v>
      </c>
      <c r="C31" s="4" t="s">
        <v>591</v>
      </c>
      <c r="D31" s="4" t="n">
        <v>4</v>
      </c>
      <c r="E31" s="4" t="s">
        <v>590</v>
      </c>
      <c r="F31" s="4" t="n">
        <v>80</v>
      </c>
      <c r="G31" s="26" t="n">
        <v>0.00119</v>
      </c>
      <c r="H31" s="26" t="n">
        <v>3.93083</v>
      </c>
      <c r="I31" s="4" t="n">
        <v>282997</v>
      </c>
      <c r="J31" s="27" t="n">
        <f aca="false">I31/B31</f>
        <v>1.00112140936748</v>
      </c>
      <c r="K31" s="28" t="n">
        <f aca="false">G31/(G31+H31)</f>
        <v>0.000302643425008011</v>
      </c>
    </row>
    <row r="32" customFormat="false" ht="15" hidden="false" customHeight="false" outlineLevel="0" collapsed="false">
      <c r="A32" s="4" t="n">
        <v>10</v>
      </c>
      <c r="B32" s="4" t="n">
        <v>282680</v>
      </c>
      <c r="C32" s="4" t="s">
        <v>187</v>
      </c>
      <c r="D32" s="4" t="n">
        <v>8</v>
      </c>
      <c r="E32" s="4" t="s">
        <v>588</v>
      </c>
      <c r="F32" s="4" t="n">
        <v>400</v>
      </c>
      <c r="G32" s="26" t="n">
        <v>0.00041</v>
      </c>
      <c r="H32" s="26" t="n">
        <v>0.68357</v>
      </c>
      <c r="I32" s="4" t="n">
        <v>292010</v>
      </c>
      <c r="J32" s="27" t="n">
        <f aca="false">I32/B32</f>
        <v>1.03300551860761</v>
      </c>
      <c r="K32" s="28" t="n">
        <f aca="false">G32/(G32+H32)</f>
        <v>0.000599432731951227</v>
      </c>
    </row>
    <row r="33" customFormat="false" ht="15" hidden="false" customHeight="false" outlineLevel="0" collapsed="false">
      <c r="A33" s="4" t="n">
        <v>10</v>
      </c>
      <c r="B33" s="4" t="n">
        <v>282680</v>
      </c>
      <c r="C33" s="4" t="s">
        <v>187</v>
      </c>
      <c r="D33" s="4" t="n">
        <v>8</v>
      </c>
      <c r="E33" s="4" t="s">
        <v>589</v>
      </c>
      <c r="F33" s="4" t="n">
        <v>400</v>
      </c>
      <c r="G33" s="26" t="n">
        <v>0.00089</v>
      </c>
      <c r="H33" s="26" t="n">
        <v>0.26143</v>
      </c>
      <c r="I33" s="4" t="n">
        <v>49950</v>
      </c>
      <c r="J33" s="27" t="n">
        <f aca="false">I33/B33</f>
        <v>0.176701570680628</v>
      </c>
      <c r="K33" s="28" t="n">
        <f aca="false">G33/(G33+H33)</f>
        <v>0.00339280268374504</v>
      </c>
    </row>
    <row r="34" customFormat="false" ht="15" hidden="false" customHeight="false" outlineLevel="0" collapsed="false">
      <c r="A34" s="4" t="n">
        <v>10</v>
      </c>
      <c r="B34" s="4" t="n">
        <v>282680</v>
      </c>
      <c r="C34" s="4" t="s">
        <v>187</v>
      </c>
      <c r="D34" s="4" t="n">
        <v>8</v>
      </c>
      <c r="E34" s="4" t="s">
        <v>590</v>
      </c>
      <c r="F34" s="4" t="n">
        <v>400</v>
      </c>
      <c r="G34" s="26" t="n">
        <v>0.0005</v>
      </c>
      <c r="H34" s="26" t="n">
        <v>2.58209</v>
      </c>
      <c r="I34" s="4" t="n">
        <v>285873</v>
      </c>
      <c r="J34" s="27" t="n">
        <f aca="false">I34/B34</f>
        <v>1.01129545776143</v>
      </c>
      <c r="K34" s="28" t="n">
        <f aca="false">G34/(G34+H34)</f>
        <v>0.00019360409511382</v>
      </c>
    </row>
    <row r="35" customFormat="false" ht="15" hidden="false" customHeight="false" outlineLevel="0" collapsed="false">
      <c r="A35" s="4" t="n">
        <v>10</v>
      </c>
      <c r="B35" s="4" t="n">
        <v>282680</v>
      </c>
      <c r="C35" s="4" t="s">
        <v>89</v>
      </c>
      <c r="D35" s="4" t="n">
        <v>10</v>
      </c>
      <c r="E35" s="4" t="s">
        <v>588</v>
      </c>
      <c r="F35" s="4" t="n">
        <v>370</v>
      </c>
      <c r="G35" s="26" t="n">
        <v>0.00034</v>
      </c>
      <c r="H35" s="26" t="n">
        <v>0.68884</v>
      </c>
      <c r="I35" s="4" t="n">
        <v>302720</v>
      </c>
      <c r="J35" s="27" t="n">
        <f aca="false">I35/B35</f>
        <v>1.07089288241121</v>
      </c>
      <c r="K35" s="28" t="n">
        <f aca="false">G35/(G35+H35)</f>
        <v>0.000493339911198816</v>
      </c>
    </row>
    <row r="36" customFormat="false" ht="15" hidden="false" customHeight="false" outlineLevel="0" collapsed="false">
      <c r="A36" s="4" t="n">
        <v>10</v>
      </c>
      <c r="B36" s="4" t="n">
        <v>282680</v>
      </c>
      <c r="C36" s="4" t="s">
        <v>89</v>
      </c>
      <c r="D36" s="4" t="n">
        <v>10</v>
      </c>
      <c r="E36" s="4" t="s">
        <v>589</v>
      </c>
      <c r="F36" s="4" t="n">
        <v>370</v>
      </c>
      <c r="G36" s="26" t="n">
        <v>0.00105</v>
      </c>
      <c r="H36" s="26" t="n">
        <v>0.22089</v>
      </c>
      <c r="I36" s="4" t="n">
        <v>42261</v>
      </c>
      <c r="J36" s="27" t="n">
        <f aca="false">I36/B36</f>
        <v>0.149501202773454</v>
      </c>
      <c r="K36" s="28" t="n">
        <f aca="false">G36/(G36+H36)</f>
        <v>0.00473100838064342</v>
      </c>
    </row>
    <row r="37" customFormat="false" ht="15" hidden="false" customHeight="false" outlineLevel="0" collapsed="false">
      <c r="A37" s="4" t="n">
        <v>10</v>
      </c>
      <c r="B37" s="4" t="n">
        <v>282680</v>
      </c>
      <c r="C37" s="4" t="s">
        <v>89</v>
      </c>
      <c r="D37" s="4" t="n">
        <v>10</v>
      </c>
      <c r="E37" s="4" t="s">
        <v>590</v>
      </c>
      <c r="F37" s="4" t="n">
        <v>370</v>
      </c>
      <c r="G37" s="26" t="n">
        <v>0.00055</v>
      </c>
      <c r="H37" s="26" t="n">
        <v>2.5827</v>
      </c>
      <c r="I37" s="4" t="n">
        <v>286371</v>
      </c>
      <c r="J37" s="27" t="n">
        <f aca="false">I37/B37</f>
        <v>1.01305716711476</v>
      </c>
      <c r="K37" s="28" t="n">
        <f aca="false">G37/(G37+H37)</f>
        <v>0.000212910093873996</v>
      </c>
    </row>
    <row r="38" customFormat="false" ht="15" hidden="false" customHeight="false" outlineLevel="0" collapsed="false">
      <c r="A38" s="4" t="n">
        <v>10</v>
      </c>
      <c r="B38" s="4" t="n">
        <v>282680</v>
      </c>
      <c r="C38" s="4" t="s">
        <v>592</v>
      </c>
      <c r="D38" s="4" t="n">
        <v>34</v>
      </c>
      <c r="E38" s="4" t="s">
        <v>588</v>
      </c>
      <c r="F38" s="4" t="n">
        <v>50</v>
      </c>
      <c r="G38" s="26" t="n">
        <v>0.00038</v>
      </c>
      <c r="H38" s="26" t="n">
        <v>0.55643</v>
      </c>
      <c r="I38" s="4" t="n">
        <v>288120</v>
      </c>
      <c r="J38" s="27" t="n">
        <f aca="false">I38/B38</f>
        <v>1.01924437526532</v>
      </c>
      <c r="K38" s="28" t="n">
        <f aca="false">G38/(G38+H38)</f>
        <v>0.000682459007560927</v>
      </c>
    </row>
    <row r="39" customFormat="false" ht="15" hidden="false" customHeight="false" outlineLevel="0" collapsed="false">
      <c r="A39" s="4" t="n">
        <v>10</v>
      </c>
      <c r="B39" s="4" t="n">
        <v>282680</v>
      </c>
      <c r="C39" s="4" t="s">
        <v>592</v>
      </c>
      <c r="D39" s="4" t="n">
        <v>34</v>
      </c>
      <c r="E39" s="4" t="s">
        <v>589</v>
      </c>
      <c r="F39" s="4" t="n">
        <v>50</v>
      </c>
      <c r="G39" s="26" t="n">
        <v>0.00102</v>
      </c>
      <c r="H39" s="26" t="n">
        <v>0.0972</v>
      </c>
      <c r="I39" s="4" t="n">
        <v>21361</v>
      </c>
      <c r="J39" s="27" t="n">
        <f aca="false">I39/B39</f>
        <v>0.0755660110372152</v>
      </c>
      <c r="K39" s="28" t="n">
        <f aca="false">G39/(G39+H39)</f>
        <v>0.0103848503359805</v>
      </c>
    </row>
    <row r="40" customFormat="false" ht="15" hidden="false" customHeight="false" outlineLevel="0" collapsed="false">
      <c r="A40" s="4" t="n">
        <v>10</v>
      </c>
      <c r="B40" s="4" t="n">
        <v>282680</v>
      </c>
      <c r="C40" s="4" t="s">
        <v>592</v>
      </c>
      <c r="D40" s="4" t="n">
        <v>34</v>
      </c>
      <c r="E40" s="4" t="s">
        <v>590</v>
      </c>
      <c r="F40" s="4" t="n">
        <v>50</v>
      </c>
      <c r="G40" s="26" t="n">
        <v>0.00081</v>
      </c>
      <c r="H40" s="26" t="n">
        <v>2.57048</v>
      </c>
      <c r="I40" s="4" t="n">
        <v>284347</v>
      </c>
      <c r="J40" s="27" t="n">
        <f aca="false">I40/B40</f>
        <v>1.00589712749399</v>
      </c>
      <c r="K40" s="28" t="n">
        <f aca="false">G40/(G40+H40)</f>
        <v>0.000315016975914813</v>
      </c>
    </row>
    <row r="41" customFormat="false" ht="15" hidden="false" customHeight="false" outlineLevel="0" collapsed="false">
      <c r="A41" s="4" t="n">
        <v>10</v>
      </c>
      <c r="B41" s="4" t="n">
        <v>282680</v>
      </c>
      <c r="C41" s="4" t="s">
        <v>593</v>
      </c>
      <c r="D41" s="4" t="n">
        <v>36</v>
      </c>
      <c r="E41" s="4" t="s">
        <v>588</v>
      </c>
      <c r="F41" s="4" t="n">
        <v>60</v>
      </c>
      <c r="G41" s="26" t="n">
        <v>0.00038</v>
      </c>
      <c r="H41" s="26" t="n">
        <v>0.64198</v>
      </c>
      <c r="I41" s="4" t="n">
        <v>302750</v>
      </c>
      <c r="J41" s="27" t="n">
        <f aca="false">I41/B41</f>
        <v>1.07099900948069</v>
      </c>
      <c r="K41" s="28" t="n">
        <f aca="false">G41/(G41+H41)</f>
        <v>0.000591568590821346</v>
      </c>
    </row>
    <row r="42" customFormat="false" ht="15" hidden="false" customHeight="false" outlineLevel="0" collapsed="false">
      <c r="A42" s="4" t="n">
        <v>10</v>
      </c>
      <c r="B42" s="4" t="n">
        <v>282680</v>
      </c>
      <c r="C42" s="4" t="s">
        <v>593</v>
      </c>
      <c r="D42" s="4" t="n">
        <v>36</v>
      </c>
      <c r="E42" s="4" t="s">
        <v>589</v>
      </c>
      <c r="F42" s="4" t="n">
        <v>60</v>
      </c>
      <c r="G42" s="26" t="n">
        <v>0.00137</v>
      </c>
      <c r="H42" s="26" t="n">
        <v>0.12069</v>
      </c>
      <c r="I42" s="4" t="n">
        <v>26465</v>
      </c>
      <c r="J42" s="27" t="n">
        <f aca="false">I42/B42</f>
        <v>0.0936217631243809</v>
      </c>
      <c r="K42" s="28" t="n">
        <f aca="false">G42/(G42+H42)</f>
        <v>0.0112239882025233</v>
      </c>
    </row>
    <row r="43" customFormat="false" ht="15" hidden="false" customHeight="false" outlineLevel="0" collapsed="false">
      <c r="A43" s="4" t="n">
        <v>10</v>
      </c>
      <c r="B43" s="4" t="n">
        <v>282680</v>
      </c>
      <c r="C43" s="4" t="s">
        <v>593</v>
      </c>
      <c r="D43" s="4" t="n">
        <v>36</v>
      </c>
      <c r="E43" s="4" t="s">
        <v>590</v>
      </c>
      <c r="F43" s="4" t="n">
        <v>60</v>
      </c>
      <c r="G43" s="26" t="n">
        <v>0.00085</v>
      </c>
      <c r="H43" s="26" t="n">
        <v>2.55548</v>
      </c>
      <c r="I43" s="4" t="n">
        <v>284805</v>
      </c>
      <c r="J43" s="27" t="n">
        <f aca="false">I43/B43</f>
        <v>1.00751733408801</v>
      </c>
      <c r="K43" s="28" t="n">
        <f aca="false">G43/(G43+H43)</f>
        <v>0.000332507931292126</v>
      </c>
    </row>
    <row r="44" customFormat="false" ht="15" hidden="false" customHeight="false" outlineLevel="0" collapsed="false">
      <c r="A44" s="4" t="n">
        <v>10</v>
      </c>
      <c r="B44" s="4" t="n">
        <v>282680</v>
      </c>
      <c r="C44" s="4" t="s">
        <v>594</v>
      </c>
      <c r="D44" s="4" t="n">
        <v>45</v>
      </c>
      <c r="E44" s="4" t="s">
        <v>588</v>
      </c>
      <c r="F44" s="4" t="n">
        <v>0</v>
      </c>
      <c r="G44" s="26" t="n">
        <v>0.00059</v>
      </c>
      <c r="H44" s="26" t="n">
        <v>0.66622</v>
      </c>
      <c r="I44" s="4" t="n">
        <v>299660</v>
      </c>
      <c r="J44" s="27" t="n">
        <f aca="false">I44/B44</f>
        <v>1.06006792132447</v>
      </c>
      <c r="K44" s="28" t="n">
        <f aca="false">G44/(G44+H44)</f>
        <v>0.000884809765900331</v>
      </c>
    </row>
    <row r="45" customFormat="false" ht="15" hidden="false" customHeight="false" outlineLevel="0" collapsed="false">
      <c r="A45" s="4" t="n">
        <v>10</v>
      </c>
      <c r="B45" s="4" t="n">
        <v>282680</v>
      </c>
      <c r="C45" s="4" t="s">
        <v>594</v>
      </c>
      <c r="D45" s="4" t="n">
        <v>45</v>
      </c>
      <c r="E45" s="4" t="s">
        <v>589</v>
      </c>
      <c r="F45" s="4" t="n">
        <v>0</v>
      </c>
      <c r="G45" s="26" t="n">
        <v>0.00141</v>
      </c>
      <c r="H45" s="26" t="n">
        <v>0.08854</v>
      </c>
      <c r="I45" s="4" t="n">
        <v>16330</v>
      </c>
      <c r="J45" s="27" t="n">
        <f aca="false">I45/B45</f>
        <v>0.057768501485779</v>
      </c>
      <c r="K45" s="28" t="n">
        <f aca="false">G45/(G45+H45)</f>
        <v>0.0156753752084491</v>
      </c>
    </row>
    <row r="46" customFormat="false" ht="15" hidden="false" customHeight="false" outlineLevel="0" collapsed="false">
      <c r="A46" s="4" t="n">
        <v>10</v>
      </c>
      <c r="B46" s="4" t="n">
        <v>282680</v>
      </c>
      <c r="C46" s="4" t="s">
        <v>594</v>
      </c>
      <c r="D46" s="4" t="n">
        <v>45</v>
      </c>
      <c r="E46" s="4" t="s">
        <v>590</v>
      </c>
      <c r="F46" s="4" t="n">
        <v>0</v>
      </c>
      <c r="G46" s="26" t="n">
        <v>0.00105</v>
      </c>
      <c r="H46" s="26" t="n">
        <v>2.56477</v>
      </c>
      <c r="I46" s="4" t="n">
        <v>282636</v>
      </c>
      <c r="J46" s="27" t="n">
        <f aca="false">I46/B46</f>
        <v>0.999844346964766</v>
      </c>
      <c r="K46" s="28" t="n">
        <f aca="false">G46/(G46+H46)</f>
        <v>0.00040922590049185</v>
      </c>
    </row>
    <row r="47" customFormat="false" ht="15" hidden="false" customHeight="false" outlineLevel="0" collapsed="false">
      <c r="A47" s="4" t="n">
        <v>100</v>
      </c>
      <c r="B47" s="4" t="n">
        <v>2826800</v>
      </c>
      <c r="C47" s="4" t="s">
        <v>61</v>
      </c>
      <c r="D47" s="4" t="n">
        <v>2</v>
      </c>
      <c r="E47" s="4" t="s">
        <v>588</v>
      </c>
      <c r="F47" s="4" t="n">
        <v>17000</v>
      </c>
      <c r="G47" s="26" t="n">
        <v>0.00103</v>
      </c>
      <c r="H47" s="26" t="n">
        <v>7.68328</v>
      </c>
      <c r="I47" s="4" t="n">
        <v>3013900</v>
      </c>
      <c r="J47" s="27" t="n">
        <f aca="false">I47/B47</f>
        <v>1.06618791566436</v>
      </c>
      <c r="K47" s="28" t="n">
        <f aca="false">G47/(G47+H47)</f>
        <v>0.000134039360723344</v>
      </c>
    </row>
    <row r="48" customFormat="false" ht="15" hidden="false" customHeight="false" outlineLevel="0" collapsed="false">
      <c r="A48" s="4" t="n">
        <v>100</v>
      </c>
      <c r="B48" s="4" t="n">
        <v>2826800</v>
      </c>
      <c r="C48" s="4" t="s">
        <v>61</v>
      </c>
      <c r="D48" s="4" t="n">
        <v>2</v>
      </c>
      <c r="E48" s="4" t="s">
        <v>589</v>
      </c>
      <c r="F48" s="4" t="n">
        <v>17000</v>
      </c>
      <c r="G48" s="26" t="n">
        <v>0.00164</v>
      </c>
      <c r="H48" s="26" t="n">
        <v>8.4128</v>
      </c>
      <c r="I48" s="4" t="n">
        <v>1574500</v>
      </c>
      <c r="J48" s="27" t="n">
        <f aca="false">I48/B48</f>
        <v>0.556990236309608</v>
      </c>
      <c r="K48" s="28" t="n">
        <f aca="false">G48/(G48+H48)</f>
        <v>0.000194903047618142</v>
      </c>
    </row>
    <row r="49" customFormat="false" ht="15" hidden="false" customHeight="false" outlineLevel="0" collapsed="false">
      <c r="A49" s="4" t="n">
        <v>100</v>
      </c>
      <c r="B49" s="4" t="n">
        <v>2826800</v>
      </c>
      <c r="C49" s="4" t="s">
        <v>61</v>
      </c>
      <c r="D49" s="4" t="n">
        <v>2</v>
      </c>
      <c r="E49" s="4" t="s">
        <v>590</v>
      </c>
      <c r="F49" s="4" t="n">
        <v>17000</v>
      </c>
      <c r="G49" s="26" t="n">
        <v>0.00118</v>
      </c>
      <c r="H49" s="26" t="n">
        <v>25.07968</v>
      </c>
      <c r="I49" s="4" t="n">
        <v>2860799</v>
      </c>
      <c r="J49" s="27" t="n">
        <f aca="false">I49/B49</f>
        <v>1.01202738078393</v>
      </c>
      <c r="K49" s="28" t="n">
        <f aca="false">G49/(G49+H49)</f>
        <v>4.70478285034883E-005</v>
      </c>
    </row>
    <row r="50" customFormat="false" ht="15" hidden="false" customHeight="false" outlineLevel="0" collapsed="false">
      <c r="A50" s="4" t="n">
        <v>100</v>
      </c>
      <c r="B50" s="4" t="n">
        <v>2826800</v>
      </c>
      <c r="C50" s="4" t="s">
        <v>591</v>
      </c>
      <c r="D50" s="4" t="n">
        <v>4</v>
      </c>
      <c r="E50" s="4" t="s">
        <v>588</v>
      </c>
      <c r="F50" s="4" t="n">
        <v>800</v>
      </c>
      <c r="G50" s="26" t="n">
        <v>0.00105</v>
      </c>
      <c r="H50" s="26" t="n">
        <v>7.60746</v>
      </c>
      <c r="I50" s="4" t="n">
        <v>2926800</v>
      </c>
      <c r="J50" s="27" t="n">
        <f aca="false">I50/B50</f>
        <v>1.03537568982595</v>
      </c>
      <c r="K50" s="28" t="n">
        <f aca="false">G50/(G50+H50)</f>
        <v>0.000138003367282162</v>
      </c>
    </row>
    <row r="51" customFormat="false" ht="15" hidden="false" customHeight="false" outlineLevel="0" collapsed="false">
      <c r="A51" s="4" t="n">
        <v>100</v>
      </c>
      <c r="B51" s="4" t="n">
        <v>2826800</v>
      </c>
      <c r="C51" s="4" t="s">
        <v>591</v>
      </c>
      <c r="D51" s="4" t="n">
        <v>4</v>
      </c>
      <c r="E51" s="4" t="s">
        <v>589</v>
      </c>
      <c r="F51" s="4" t="n">
        <v>800</v>
      </c>
      <c r="G51" s="26" t="n">
        <v>0.00173</v>
      </c>
      <c r="H51" s="26" t="n">
        <v>4.65309</v>
      </c>
      <c r="I51" s="4" t="n">
        <v>821099</v>
      </c>
      <c r="J51" s="27" t="n">
        <f aca="false">I51/B51</f>
        <v>0.29046943540399</v>
      </c>
      <c r="K51" s="28" t="n">
        <f aca="false">G51/(G51+H51)</f>
        <v>0.000371657765498988</v>
      </c>
    </row>
    <row r="52" customFormat="false" ht="15" hidden="false" customHeight="false" outlineLevel="0" collapsed="false">
      <c r="A52" s="4" t="n">
        <v>100</v>
      </c>
      <c r="B52" s="4" t="n">
        <v>2826800</v>
      </c>
      <c r="C52" s="4" t="s">
        <v>591</v>
      </c>
      <c r="D52" s="4" t="n">
        <v>4</v>
      </c>
      <c r="E52" s="4" t="s">
        <v>590</v>
      </c>
      <c r="F52" s="4" t="n">
        <v>800</v>
      </c>
      <c r="G52" s="26" t="n">
        <v>0.00154</v>
      </c>
      <c r="H52" s="26" t="n">
        <v>29.78515</v>
      </c>
      <c r="I52" s="4" t="n">
        <v>2829997</v>
      </c>
      <c r="J52" s="27" t="n">
        <f aca="false">I52/B52</f>
        <v>1.00113096080374</v>
      </c>
      <c r="K52" s="28" t="n">
        <f aca="false">G52/(G52+H52)</f>
        <v>5.1700944280818E-005</v>
      </c>
    </row>
    <row r="53" customFormat="false" ht="15" hidden="false" customHeight="false" outlineLevel="0" collapsed="false">
      <c r="A53" s="4" t="n">
        <v>100</v>
      </c>
      <c r="B53" s="4" t="n">
        <v>2826800</v>
      </c>
      <c r="C53" s="4" t="s">
        <v>187</v>
      </c>
      <c r="D53" s="4" t="n">
        <v>8</v>
      </c>
      <c r="E53" s="4" t="s">
        <v>588</v>
      </c>
      <c r="F53" s="4" t="n">
        <v>4000</v>
      </c>
      <c r="G53" s="26" t="n">
        <v>0.00102</v>
      </c>
      <c r="H53" s="26" t="n">
        <v>7.152</v>
      </c>
      <c r="I53" s="4" t="n">
        <v>2920100</v>
      </c>
      <c r="J53" s="27" t="n">
        <f aca="false">I53/B53</f>
        <v>1.03300551860761</v>
      </c>
      <c r="K53" s="28" t="n">
        <f aca="false">G53/(G53+H53)</f>
        <v>0.000142597112827869</v>
      </c>
    </row>
    <row r="54" customFormat="false" ht="15" hidden="false" customHeight="false" outlineLevel="0" collapsed="false">
      <c r="A54" s="4" t="n">
        <v>100</v>
      </c>
      <c r="B54" s="4" t="n">
        <v>2826800</v>
      </c>
      <c r="C54" s="4" t="s">
        <v>187</v>
      </c>
      <c r="D54" s="4" t="n">
        <v>8</v>
      </c>
      <c r="E54" s="4" t="s">
        <v>589</v>
      </c>
      <c r="F54" s="4" t="n">
        <v>4000</v>
      </c>
      <c r="G54" s="26" t="n">
        <v>0.00133</v>
      </c>
      <c r="H54" s="26" t="n">
        <v>2.60544</v>
      </c>
      <c r="I54" s="4" t="n">
        <v>499500</v>
      </c>
      <c r="J54" s="27" t="n">
        <f aca="false">I54/B54</f>
        <v>0.176701570680628</v>
      </c>
      <c r="K54" s="28" t="n">
        <f aca="false">G54/(G54+H54)</f>
        <v>0.000510209953313871</v>
      </c>
    </row>
    <row r="55" customFormat="false" ht="15" hidden="false" customHeight="false" outlineLevel="0" collapsed="false">
      <c r="A55" s="4" t="n">
        <v>100</v>
      </c>
      <c r="B55" s="4" t="n">
        <v>2826800</v>
      </c>
      <c r="C55" s="4" t="s">
        <v>187</v>
      </c>
      <c r="D55" s="4" t="n">
        <v>8</v>
      </c>
      <c r="E55" s="4" t="s">
        <v>590</v>
      </c>
      <c r="F55" s="4" t="n">
        <v>4000</v>
      </c>
      <c r="G55" s="26" t="n">
        <v>0.00127</v>
      </c>
      <c r="H55" s="26" t="n">
        <v>25.36865</v>
      </c>
      <c r="I55" s="4" t="n">
        <v>2858793</v>
      </c>
      <c r="J55" s="27" t="n">
        <f aca="false">I55/B55</f>
        <v>1.01131774444602</v>
      </c>
      <c r="K55" s="28" t="n">
        <f aca="false">G55/(G55+H55)</f>
        <v>5.00592828042028E-005</v>
      </c>
    </row>
    <row r="56" customFormat="false" ht="15" hidden="false" customHeight="false" outlineLevel="0" collapsed="false">
      <c r="A56" s="4" t="n">
        <v>100</v>
      </c>
      <c r="B56" s="4" t="n">
        <v>2826800</v>
      </c>
      <c r="C56" s="4" t="s">
        <v>89</v>
      </c>
      <c r="D56" s="4" t="n">
        <v>10</v>
      </c>
      <c r="E56" s="4" t="s">
        <v>588</v>
      </c>
      <c r="F56" s="4" t="n">
        <v>3700</v>
      </c>
      <c r="G56" s="26" t="n">
        <v>0.00105</v>
      </c>
      <c r="H56" s="26" t="n">
        <v>7.07989</v>
      </c>
      <c r="I56" s="4" t="n">
        <v>3027200</v>
      </c>
      <c r="J56" s="27" t="n">
        <f aca="false">I56/B56</f>
        <v>1.07089288241121</v>
      </c>
      <c r="K56" s="28" t="n">
        <f aca="false">G56/(G56+H56)</f>
        <v>0.000148285397136538</v>
      </c>
    </row>
    <row r="57" customFormat="false" ht="15" hidden="false" customHeight="false" outlineLevel="0" collapsed="false">
      <c r="A57" s="4" t="n">
        <v>100</v>
      </c>
      <c r="B57" s="4" t="n">
        <v>2826800</v>
      </c>
      <c r="C57" s="4" t="s">
        <v>89</v>
      </c>
      <c r="D57" s="4" t="n">
        <v>10</v>
      </c>
      <c r="E57" s="4" t="s">
        <v>589</v>
      </c>
      <c r="F57" s="4" t="n">
        <v>3700</v>
      </c>
      <c r="G57" s="26" t="n">
        <v>0.00118</v>
      </c>
      <c r="H57" s="26" t="n">
        <v>2.00218</v>
      </c>
      <c r="I57" s="4" t="n">
        <v>422601</v>
      </c>
      <c r="J57" s="27" t="n">
        <f aca="false">I57/B57</f>
        <v>0.14949801896137</v>
      </c>
      <c r="K57" s="28" t="n">
        <f aca="false">G57/(G57+H57)</f>
        <v>0.000589010462423129</v>
      </c>
    </row>
    <row r="58" customFormat="false" ht="15" hidden="false" customHeight="false" outlineLevel="0" collapsed="false">
      <c r="A58" s="4" t="n">
        <v>100</v>
      </c>
      <c r="B58" s="4" t="n">
        <v>2826800</v>
      </c>
      <c r="C58" s="4" t="s">
        <v>89</v>
      </c>
      <c r="D58" s="4" t="n">
        <v>10</v>
      </c>
      <c r="E58" s="4" t="s">
        <v>590</v>
      </c>
      <c r="F58" s="4" t="n">
        <v>3700</v>
      </c>
      <c r="G58" s="26" t="n">
        <v>0.00115</v>
      </c>
      <c r="H58" s="26" t="n">
        <v>25.36889</v>
      </c>
      <c r="I58" s="4" t="n">
        <v>2863791</v>
      </c>
      <c r="J58" s="27" t="n">
        <f aca="false">I58/B58</f>
        <v>1.01308582142352</v>
      </c>
      <c r="K58" s="28" t="n">
        <f aca="false">G58/(G58+H58)</f>
        <v>4.53290574236383E-005</v>
      </c>
    </row>
    <row r="59" customFormat="false" ht="15" hidden="false" customHeight="false" outlineLevel="0" collapsed="false">
      <c r="A59" s="4" t="n">
        <v>100</v>
      </c>
      <c r="B59" s="4" t="n">
        <v>2826800</v>
      </c>
      <c r="C59" s="4" t="s">
        <v>592</v>
      </c>
      <c r="D59" s="4" t="n">
        <v>34</v>
      </c>
      <c r="E59" s="4" t="s">
        <v>588</v>
      </c>
      <c r="F59" s="4" t="n">
        <v>500</v>
      </c>
      <c r="G59" s="26" t="n">
        <v>0.00113</v>
      </c>
      <c r="H59" s="26" t="n">
        <v>7.39192</v>
      </c>
      <c r="I59" s="4" t="n">
        <v>2881200</v>
      </c>
      <c r="J59" s="27" t="n">
        <f aca="false">I59/B59</f>
        <v>1.01924437526532</v>
      </c>
      <c r="K59" s="28" t="n">
        <f aca="false">G59/(G59+H59)</f>
        <v>0.000152846254252305</v>
      </c>
    </row>
    <row r="60" customFormat="false" ht="15" hidden="false" customHeight="false" outlineLevel="0" collapsed="false">
      <c r="A60" s="4" t="n">
        <v>100</v>
      </c>
      <c r="B60" s="4" t="n">
        <v>2826800</v>
      </c>
      <c r="C60" s="4" t="s">
        <v>592</v>
      </c>
      <c r="D60" s="4" t="n">
        <v>34</v>
      </c>
      <c r="E60" s="4" t="s">
        <v>589</v>
      </c>
      <c r="F60" s="4" t="n">
        <v>500</v>
      </c>
      <c r="G60" s="26" t="n">
        <v>0.00158</v>
      </c>
      <c r="H60" s="26" t="n">
        <v>1.08387</v>
      </c>
      <c r="I60" s="4" t="n">
        <v>213871</v>
      </c>
      <c r="J60" s="27" t="n">
        <f aca="false">I60/B60</f>
        <v>0.075658341587661</v>
      </c>
      <c r="K60" s="28" t="n">
        <f aca="false">G60/(G60+H60)</f>
        <v>0.00145561748583537</v>
      </c>
    </row>
    <row r="61" customFormat="false" ht="15" hidden="false" customHeight="false" outlineLevel="0" collapsed="false">
      <c r="A61" s="4" t="n">
        <v>100</v>
      </c>
      <c r="B61" s="4" t="n">
        <v>2826800</v>
      </c>
      <c r="C61" s="4" t="s">
        <v>592</v>
      </c>
      <c r="D61" s="4" t="n">
        <v>34</v>
      </c>
      <c r="E61" s="4" t="s">
        <v>590</v>
      </c>
      <c r="F61" s="4" t="n">
        <v>500</v>
      </c>
      <c r="G61" s="26" t="n">
        <v>0.00154</v>
      </c>
      <c r="H61" s="26" t="n">
        <v>25.6637</v>
      </c>
      <c r="I61" s="4" t="n">
        <v>2843767</v>
      </c>
      <c r="J61" s="27" t="n">
        <f aca="false">I61/B61</f>
        <v>1.00600219329277</v>
      </c>
      <c r="K61" s="28" t="n">
        <f aca="false">G61/(G61+H61)</f>
        <v>6.0003335250323E-005</v>
      </c>
    </row>
    <row r="62" customFormat="false" ht="15" hidden="false" customHeight="false" outlineLevel="0" collapsed="false">
      <c r="A62" s="4" t="n">
        <v>100</v>
      </c>
      <c r="B62" s="4" t="n">
        <v>2826800</v>
      </c>
      <c r="C62" s="4" t="s">
        <v>593</v>
      </c>
      <c r="D62" s="4" t="n">
        <v>36</v>
      </c>
      <c r="E62" s="4" t="s">
        <v>588</v>
      </c>
      <c r="F62" s="4" t="n">
        <v>600</v>
      </c>
      <c r="G62" s="26" t="n">
        <v>0.00111</v>
      </c>
      <c r="H62" s="26" t="n">
        <v>7.52562</v>
      </c>
      <c r="I62" s="4" t="n">
        <v>3027500</v>
      </c>
      <c r="J62" s="27" t="n">
        <f aca="false">I62/B62</f>
        <v>1.07099900948069</v>
      </c>
      <c r="K62" s="28" t="n">
        <f aca="false">G62/(G62+H62)</f>
        <v>0.000147474401234002</v>
      </c>
    </row>
    <row r="63" customFormat="false" ht="15" hidden="false" customHeight="false" outlineLevel="0" collapsed="false">
      <c r="A63" s="4" t="n">
        <v>100</v>
      </c>
      <c r="B63" s="4" t="n">
        <v>2826800</v>
      </c>
      <c r="C63" s="4" t="s">
        <v>593</v>
      </c>
      <c r="D63" s="4" t="n">
        <v>36</v>
      </c>
      <c r="E63" s="4" t="s">
        <v>589</v>
      </c>
      <c r="F63" s="4" t="n">
        <v>600</v>
      </c>
      <c r="G63" s="26" t="n">
        <v>0.00168</v>
      </c>
      <c r="H63" s="26" t="n">
        <v>1.2203</v>
      </c>
      <c r="I63" s="4" t="n">
        <v>264695</v>
      </c>
      <c r="J63" s="27" t="n">
        <f aca="false">I63/B63</f>
        <v>0.0936376821848026</v>
      </c>
      <c r="K63" s="28" t="n">
        <f aca="false">G63/(G63+H63)</f>
        <v>0.0013748179184602</v>
      </c>
    </row>
    <row r="64" customFormat="false" ht="15" hidden="false" customHeight="false" outlineLevel="0" collapsed="false">
      <c r="A64" s="4" t="n">
        <v>100</v>
      </c>
      <c r="B64" s="4" t="n">
        <v>2826800</v>
      </c>
      <c r="C64" s="4" t="s">
        <v>593</v>
      </c>
      <c r="D64" s="4" t="n">
        <v>36</v>
      </c>
      <c r="E64" s="4" t="s">
        <v>590</v>
      </c>
      <c r="F64" s="4" t="n">
        <v>600</v>
      </c>
      <c r="G64" s="26" t="n">
        <v>0.0016</v>
      </c>
      <c r="H64" s="26" t="n">
        <v>25.55981</v>
      </c>
      <c r="I64" s="4" t="n">
        <v>2848365</v>
      </c>
      <c r="J64" s="27" t="n">
        <f aca="false">I64/B64</f>
        <v>1.00762876751097</v>
      </c>
      <c r="K64" s="28" t="n">
        <f aca="false">G64/(G64+H64)</f>
        <v>6.25943561016392E-005</v>
      </c>
    </row>
    <row r="65" customFormat="false" ht="15" hidden="false" customHeight="false" outlineLevel="0" collapsed="false">
      <c r="A65" s="4" t="n">
        <v>100</v>
      </c>
      <c r="B65" s="4" t="n">
        <v>2826800</v>
      </c>
      <c r="C65" s="4" t="s">
        <v>594</v>
      </c>
      <c r="D65" s="4" t="n">
        <v>45</v>
      </c>
      <c r="E65" s="4" t="s">
        <v>588</v>
      </c>
      <c r="F65" s="4" t="n">
        <v>0</v>
      </c>
      <c r="G65" s="26" t="n">
        <v>0.0011</v>
      </c>
      <c r="H65" s="26" t="n">
        <v>7.46083</v>
      </c>
      <c r="I65" s="4" t="n">
        <v>2996600</v>
      </c>
      <c r="J65" s="27" t="n">
        <f aca="false">I65/B65</f>
        <v>1.06006792132447</v>
      </c>
      <c r="K65" s="28" t="n">
        <f aca="false">G65/(G65+H65)</f>
        <v>0.000147414944927117</v>
      </c>
    </row>
    <row r="66" customFormat="false" ht="15" hidden="false" customHeight="false" outlineLevel="0" collapsed="false">
      <c r="A66" s="4" t="n">
        <v>100</v>
      </c>
      <c r="B66" s="4" t="n">
        <v>2826800</v>
      </c>
      <c r="C66" s="4" t="s">
        <v>594</v>
      </c>
      <c r="D66" s="4" t="n">
        <v>45</v>
      </c>
      <c r="E66" s="4" t="s">
        <v>589</v>
      </c>
      <c r="F66" s="4" t="n">
        <v>0</v>
      </c>
      <c r="G66" s="26" t="n">
        <v>0.00126</v>
      </c>
      <c r="H66" s="26" t="n">
        <v>0.90778</v>
      </c>
      <c r="I66" s="4" t="n">
        <v>163480</v>
      </c>
      <c r="J66" s="27" t="n">
        <f aca="false">I66/B66</f>
        <v>0.0578321777274657</v>
      </c>
      <c r="K66" s="28" t="n">
        <f aca="false">G66/(G66+H66)</f>
        <v>0.00138607762034674</v>
      </c>
    </row>
    <row r="67" customFormat="false" ht="15" hidden="false" customHeight="false" outlineLevel="0" collapsed="false">
      <c r="A67" s="4" t="n">
        <v>100</v>
      </c>
      <c r="B67" s="4" t="n">
        <v>2826800</v>
      </c>
      <c r="C67" s="4" t="s">
        <v>594</v>
      </c>
      <c r="D67" s="4" t="n">
        <v>45</v>
      </c>
      <c r="E67" s="4" t="s">
        <v>590</v>
      </c>
      <c r="F67" s="4" t="n">
        <v>0</v>
      </c>
      <c r="G67" s="26" t="n">
        <v>0.00166</v>
      </c>
      <c r="H67" s="26" t="n">
        <v>25.56846</v>
      </c>
      <c r="I67" s="4" t="n">
        <v>2826756</v>
      </c>
      <c r="J67" s="27" t="n">
        <f aca="false">I67/B67</f>
        <v>0.999984434696477</v>
      </c>
      <c r="K67" s="28" t="n">
        <f aca="false">G67/(G67+H67)</f>
        <v>6.49195232560504E-005</v>
      </c>
    </row>
    <row r="69" customFormat="false" ht="15" hidden="false" customHeight="false" outlineLevel="0" collapsed="false">
      <c r="A69" s="3" t="s">
        <v>595</v>
      </c>
    </row>
    <row r="70" customFormat="false" ht="15" hidden="false" customHeight="false" outlineLevel="0" collapsed="false">
      <c r="E70" s="2" t="s">
        <v>588</v>
      </c>
      <c r="J70" s="29" t="n">
        <f aca="false">AVERAGEIF($E$5:$E$67,E70,$J$5:$J$67)</f>
        <v>1.05082475893994</v>
      </c>
      <c r="K70" s="28" t="n">
        <f aca="false">_xlfn.MAXIFS($K$5:$K$67,$E$5:$E$67,E70)</f>
        <v>0.0170542635658915</v>
      </c>
      <c r="L70" s="2" t="s">
        <v>596</v>
      </c>
    </row>
    <row r="71" customFormat="false" ht="15" hidden="false" customHeight="false" outlineLevel="0" collapsed="false">
      <c r="E71" s="2" t="s">
        <v>589</v>
      </c>
      <c r="J71" s="29" t="n">
        <f aca="false">AVERAGEIF($E$5:$E$67,E71,$J$5:$J$67)</f>
        <v>0.20001425134933</v>
      </c>
      <c r="K71" s="28" t="n">
        <f aca="false">_xlfn.MAXIFS($K$5:$K$67,$E$5:$E$67,E71)</f>
        <v>0.102848101265823</v>
      </c>
    </row>
    <row r="72" customFormat="false" ht="15" hidden="false" customHeight="false" outlineLevel="0" collapsed="false">
      <c r="E72" s="2" t="s">
        <v>590</v>
      </c>
      <c r="J72" s="29" t="n">
        <f aca="false">AVERAGEIF($E$5:$E$67,E72,$J$5:$J$67)</f>
        <v>1.00707089288241</v>
      </c>
      <c r="K72" s="28" t="n">
        <f aca="false">_xlfn.MAXIFS($K$5:$K$67,$E$5:$E$67,E72)</f>
        <v>0.0045611156685808</v>
      </c>
    </row>
    <row r="75" customFormat="false" ht="15" hidden="false" customHeight="false" outlineLevel="0" collapsed="false">
      <c r="A75" s="3" t="s">
        <v>597</v>
      </c>
    </row>
    <row r="76" customFormat="false" ht="46.25" hidden="false" customHeight="false" outlineLevel="0" collapsed="false">
      <c r="A76" s="7" t="s">
        <v>581</v>
      </c>
      <c r="B76" s="7" t="s">
        <v>495</v>
      </c>
      <c r="C76" s="7" t="s">
        <v>585</v>
      </c>
      <c r="D76" s="7" t="s">
        <v>586</v>
      </c>
    </row>
    <row r="77" customFormat="false" ht="15" hidden="false" customHeight="false" outlineLevel="0" collapsed="false">
      <c r="A77" s="4" t="s">
        <v>588</v>
      </c>
      <c r="B77" s="4" t="n">
        <v>100000</v>
      </c>
      <c r="C77" s="4" t="n">
        <v>100000</v>
      </c>
      <c r="D77" s="30" t="n">
        <f aca="false">C77/B77</f>
        <v>1</v>
      </c>
    </row>
    <row r="78" customFormat="false" ht="15" hidden="false" customHeight="false" outlineLevel="0" collapsed="false">
      <c r="A78" s="4" t="s">
        <v>589</v>
      </c>
      <c r="B78" s="4" t="n">
        <v>100000</v>
      </c>
      <c r="C78" s="4" t="n">
        <v>999910</v>
      </c>
      <c r="D78" s="30" t="n">
        <f aca="false">C78/B78</f>
        <v>9.9991</v>
      </c>
    </row>
    <row r="79" customFormat="false" ht="15" hidden="false" customHeight="false" outlineLevel="0" collapsed="false">
      <c r="A79" s="4" t="s">
        <v>590</v>
      </c>
      <c r="B79" s="4" t="n">
        <v>100000</v>
      </c>
      <c r="C79" s="4" t="n">
        <v>1099901</v>
      </c>
      <c r="D79" s="30" t="n">
        <f aca="false">C79/B79</f>
        <v>10.99901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6.15" hidden="false" customHeight="false" outlineLevel="0" collapsed="false">
      <c r="A1" s="9" t="s">
        <v>598</v>
      </c>
    </row>
    <row r="2" customFormat="false" ht="15" hidden="false" customHeight="false" outlineLevel="0" collapsed="false">
      <c r="A2" s="10" t="s">
        <v>599</v>
      </c>
    </row>
    <row r="4" customFormat="false" ht="15" hidden="false" customHeight="false" outlineLevel="0" collapsed="false">
      <c r="A4" s="3" t="s">
        <v>600</v>
      </c>
      <c r="B4" s="4" t="n">
        <v>114</v>
      </c>
    </row>
    <row r="5" customFormat="false" ht="15" hidden="false" customHeight="false" outlineLevel="0" collapsed="false">
      <c r="A5" s="3" t="s">
        <v>601</v>
      </c>
      <c r="B5" s="4" t="n">
        <v>93</v>
      </c>
    </row>
    <row r="6" customFormat="false" ht="15" hidden="false" customHeight="false" outlineLevel="0" collapsed="false">
      <c r="A6" s="3" t="s">
        <v>602</v>
      </c>
      <c r="B6" s="4" t="n">
        <v>987</v>
      </c>
    </row>
    <row r="7" customFormat="false" ht="15" hidden="false" customHeight="false" outlineLevel="0" collapsed="false">
      <c r="A7" s="3" t="s">
        <v>603</v>
      </c>
      <c r="B7" s="4" t="n">
        <v>100</v>
      </c>
    </row>
    <row r="8" customFormat="false" ht="15" hidden="false" customHeight="false" outlineLevel="0" collapsed="false">
      <c r="A8" s="3" t="s">
        <v>604</v>
      </c>
      <c r="B8" s="4" t="n">
        <v>20</v>
      </c>
    </row>
    <row r="9" customFormat="false" ht="15" hidden="false" customHeight="false" outlineLevel="0" collapsed="false">
      <c r="A9" s="3" t="s">
        <v>605</v>
      </c>
      <c r="B9" s="4" t="n">
        <v>15</v>
      </c>
    </row>
    <row r="11" customFormat="false" ht="15" hidden="false" customHeight="false" outlineLevel="0" collapsed="false">
      <c r="A11" s="7" t="s">
        <v>380</v>
      </c>
      <c r="B11" s="7" t="s">
        <v>606</v>
      </c>
      <c r="C11" s="7" t="s">
        <v>607</v>
      </c>
      <c r="D11" s="7" t="s">
        <v>608</v>
      </c>
    </row>
    <row r="12" customFormat="false" ht="15" hidden="false" customHeight="false" outlineLevel="0" collapsed="false">
      <c r="A12" s="2" t="s">
        <v>384</v>
      </c>
      <c r="B12" s="2" t="s">
        <v>609</v>
      </c>
      <c r="C12" s="31" t="n">
        <f aca="false">15*B4*B5+7*B4+3*B5+18</f>
        <v>160125</v>
      </c>
      <c r="D12" s="2" t="s">
        <v>610</v>
      </c>
    </row>
    <row r="13" customFormat="false" ht="15" hidden="false" customHeight="false" outlineLevel="0" collapsed="false">
      <c r="A13" s="2" t="s">
        <v>611</v>
      </c>
      <c r="B13" s="2" t="s">
        <v>612</v>
      </c>
      <c r="C13" s="31" t="n">
        <f aca="false">21*B4*B5+7*B4+3*B5+19</f>
        <v>223738</v>
      </c>
      <c r="D13" s="2" t="s">
        <v>610</v>
      </c>
    </row>
    <row r="14" customFormat="false" ht="15" hidden="false" customHeight="false" outlineLevel="0" collapsed="false">
      <c r="A14" s="2" t="s">
        <v>613</v>
      </c>
      <c r="B14" s="2" t="s">
        <v>614</v>
      </c>
      <c r="C14" s="31" t="n">
        <f aca="false">9*B6+28</f>
        <v>8911</v>
      </c>
      <c r="D14" s="2" t="s">
        <v>615</v>
      </c>
    </row>
    <row r="15" customFormat="false" ht="15" hidden="false" customHeight="false" outlineLevel="0" collapsed="false">
      <c r="A15" s="2" t="s">
        <v>616</v>
      </c>
      <c r="B15" s="2" t="s">
        <v>617</v>
      </c>
      <c r="C15" s="31" t="n">
        <f aca="false">6*B4+3*B5+15</f>
        <v>978</v>
      </c>
      <c r="D15" s="2" t="s">
        <v>618</v>
      </c>
    </row>
    <row r="16" customFormat="false" ht="15" hidden="false" customHeight="false" outlineLevel="0" collapsed="false">
      <c r="A16" s="2" t="s">
        <v>619</v>
      </c>
      <c r="B16" s="2" t="s">
        <v>620</v>
      </c>
      <c r="C16" s="31" t="n">
        <f aca="false">3*B7*B4+7*B4+3*B7+9</f>
        <v>35307</v>
      </c>
      <c r="D16" s="2" t="s">
        <v>621</v>
      </c>
    </row>
    <row r="17" customFormat="false" ht="15" hidden="false" customHeight="false" outlineLevel="0" collapsed="false">
      <c r="A17" s="2" t="s">
        <v>622</v>
      </c>
      <c r="B17" s="2" t="s">
        <v>623</v>
      </c>
      <c r="C17" s="31" t="n">
        <f aca="false">COMBIN(2*B8-1,3)-COMBIN(B8,3)</f>
        <v>7999</v>
      </c>
      <c r="D17" s="2" t="s">
        <v>624</v>
      </c>
    </row>
    <row r="18" customFormat="false" ht="15" hidden="false" customHeight="false" outlineLevel="0" collapsed="false">
      <c r="A18" s="2" t="s">
        <v>625</v>
      </c>
      <c r="B18" s="2" t="s">
        <v>626</v>
      </c>
      <c r="C18" s="31" t="n">
        <f aca="false">7*B9+1</f>
        <v>106</v>
      </c>
      <c r="D18" s="2" t="s">
        <v>627</v>
      </c>
    </row>
    <row r="20" customFormat="false" ht="15" hidden="false" customHeight="false" outlineLevel="0" collapsed="false">
      <c r="A20" s="2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2026-10-28T23:59:15Z</dcterms:created>
  <dc:creator>openpyxl</dc:creator>
  <dc:description/>
  <dc:language>en-US</dc:language>
  <cp:lastModifiedBy/>
  <dcterms:modified xsi:type="dcterms:W3CDTF">2026-10-28T23:59:16Z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